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d.docs.live.net/fd580a51959735e8/Documents/CDA/HCF - Jim Anderson/"/>
    </mc:Choice>
  </mc:AlternateContent>
  <xr:revisionPtr revIDLastSave="206" documentId="8_{78BA6D5D-275A-4837-8219-ED45149BDB83}" xr6:coauthVersionLast="47" xr6:coauthVersionMax="47" xr10:uidLastSave="{EF0BF2A6-72D7-4C91-9988-DFB8FF7898DB}"/>
  <bookViews>
    <workbookView xWindow="-110" yWindow="-110" windowWidth="25820" windowHeight="15500" activeTab="3" xr2:uid="{2F13B965-D43E-4001-AEB7-D9D814EB310D}"/>
  </bookViews>
  <sheets>
    <sheet name="Finance Questions" sheetId="1" r:id="rId1"/>
    <sheet name="Operations" sheetId="6" r:id="rId2"/>
    <sheet name="Sheet1" sheetId="7" state="hidden" r:id="rId3"/>
    <sheet name="Sales" sheetId="2" r:id="rId4"/>
    <sheet name="Product Mix Matrix" sheetId="4" r:id="rId5"/>
    <sheet name="CustList" sheetId="3" r:id="rId6"/>
  </sheets>
  <definedNames>
    <definedName name="_xlnm.Print_Area" localSheetId="0">'Finance Questions'!$B$39:$D$52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alcChain>
</file>

<file path=xl/sharedStrings.xml><?xml version="1.0" encoding="utf-8"?>
<sst xmlns="http://schemas.openxmlformats.org/spreadsheetml/2006/main" count="225" uniqueCount="198">
  <si>
    <t>TOPIC</t>
  </si>
  <si>
    <t>QUESTIONS</t>
  </si>
  <si>
    <t>ANSWERS</t>
  </si>
  <si>
    <t>CDA's Commentary</t>
  </si>
  <si>
    <t>P&amp;L</t>
  </si>
  <si>
    <t>Why does beg inventory 2026 not match ending inventory 2025, please correct if error and resend financials</t>
  </si>
  <si>
    <t>If looking at the reviewed financials CSH groups all inventory raw materials and finished goods.  The HCF internal statements that shows beginning inventory of $203,836 on the income statement is just the finished goods.  Please let me know which numbers you are looking at that shows the discrepencies.  Thanks</t>
  </si>
  <si>
    <t>PIXELLE</t>
  </si>
  <si>
    <t>What is the reason for the large increase in Pixelle sales from average of 550k to 1.9M run rate?</t>
  </si>
  <si>
    <t>Pixelle was running some of this product in Chillicothe at the mill. When they closed the mill they came to us and asked if we could run the majority of it for them. We had to ramp up to 3 shifts. We currently can sheet it better than the mill ever could. Faster less QC issues etc. Averaging 500 tons a month.</t>
  </si>
  <si>
    <t>How do you know this 2026 Pixelle Sales run rate will continue in next 3 years?</t>
  </si>
  <si>
    <t>We have had multiple conversations with them for many months. We have asked them to find a backup so if we have down time, they have a secondary source. They have one other partner that can run a truck every couple months. We run a truck a day.</t>
  </si>
  <si>
    <t>Scrap/Rebates</t>
  </si>
  <si>
    <t>Why is scrap/rebates up in 2026 11-12%</t>
  </si>
  <si>
    <t xml:space="preserve">Mainly scrap from the sheeter operation, that we take to the main plant in Hillsboro and bail it in our automated bailer with converyer system. We sell the scrap to a recycler and we keep all of the proceeds. </t>
  </si>
  <si>
    <t>Sales Decline</t>
  </si>
  <si>
    <t>What is the reason for 10% average sales decline every year starting in from 2015 through 2026?</t>
  </si>
  <si>
    <t xml:space="preserve">Mainly products maturing and being replaced by blank copy paper. Goping to a blank sheet without perfs and ink. </t>
  </si>
  <si>
    <t>G. Fordyce Division</t>
  </si>
  <si>
    <t>If G. Fordyce Division was sale of industrial equipment, how much Sales and Profit were attributable to that business in 2024, 2025 and 2026?</t>
  </si>
  <si>
    <t>Uploaded file to the financial information folder 8/27/26</t>
  </si>
  <si>
    <t>Supplies</t>
  </si>
  <si>
    <t>Why are supplies up 27%?</t>
  </si>
  <si>
    <t>The accounts that are combined on the reviewed financials and the ones that were pulled from the internal YTD 6/30/26 are not the same gl accounts.   For correct comparision the internal number for supplies should be $167191 and move $37,171 to the HCF buyout  line.  When comparing the same accounts for HCF there is a 7.6% increase caused mostly by price increases on products in this account.</t>
  </si>
  <si>
    <t>Buyout and outside purchases</t>
  </si>
  <si>
    <t>Please explain the buyout and outside purchases which was about 2.5-3% of Sales until 2026. Where did this sales and expense go in 2026?</t>
  </si>
  <si>
    <t>The majority of the buyout/outside purchases is in the G Fordyce Division.  We typically combine them at year end review.   For YTD 6/30/26 their expense for this catagory is $50,304.</t>
  </si>
  <si>
    <t>Healthcare</t>
  </si>
  <si>
    <t>Why run rate up 38% from 2025 almost 170k run rate on the Self funded plan?</t>
  </si>
  <si>
    <t>Self funded plans flucuate with the claims cost and during 2026 we do have a high cost claimaint.  Benefits run calendar year for employees but the plan runs from May1-April 30th.  The high cost claimant has met the stop loss spec so we will be reimbursed for any claims that claimant occurs through April of 2026.</t>
  </si>
  <si>
    <t>Was there an high claim, will the run rate continue into HY2 2026 and 2027?</t>
  </si>
  <si>
    <t>Only if we have another employee who becomes a high cost claimant.</t>
  </si>
  <si>
    <t>Salaries</t>
  </si>
  <si>
    <t>You itemized pictures of 12 people in the writeup but the # of employee summary has 13. Who am I missing?</t>
  </si>
  <si>
    <t>Terri Pummill and Jason Miller (outside sales/sales service)is on Salary I dont think they are on the initial list of key employees</t>
  </si>
  <si>
    <t>Under "Labor" can you tell me how much Labor is Salary Production and who it is.  It was combined into Production wages in 2026</t>
  </si>
  <si>
    <t>Salary Production wages for YTD 6/2026 are $148,405.  This number contains all plant managers and production managers and Steve and Rob.</t>
  </si>
  <si>
    <t>Purchase Discts</t>
  </si>
  <si>
    <t>What was the jump in purchase discts for in 2025?</t>
  </si>
  <si>
    <t>2025 Purchase discounts is $52,627 and 2024 was $62,632.  Please give me which numbers you are looking at that shows a jump in 2025.</t>
  </si>
  <si>
    <t xml:space="preserve">in 2025, the Accountant lumped Purchase Discounts and Returns together, hence why it shot up to $170k that year. </t>
  </si>
  <si>
    <t>Professional Fees</t>
  </si>
  <si>
    <t>Please itemize what is in here</t>
  </si>
  <si>
    <t>2025 Breakdown - Arehart Consulting $54,696 (IT Consulting), CSH $23,960 (tax preparation and annual financial review, Hileman $2,178 (401K adminstrator fees)  the balance of the account are other small vendors.</t>
  </si>
  <si>
    <t>Plate making system</t>
  </si>
  <si>
    <t>What system do you use, age?  Is there a maintenance contract? Cost?</t>
  </si>
  <si>
    <t>Kodak Trendsetter 400-Purchased in 2012.  Uploading the contract and pricing informationto the real property &amp; equipment folder 9/2/26</t>
  </si>
  <si>
    <t>Bonus</t>
  </si>
  <si>
    <t>Appears that this may be a newer item in 2025 and 2026. Who and what is it for?</t>
  </si>
  <si>
    <t>HCF started paying employee bonuses based on profits.  In 2025 there was also a bonus payment made to the President and Vice President for taxes.</t>
  </si>
  <si>
    <t>SYSTEMS</t>
  </si>
  <si>
    <t>What ERP system?</t>
  </si>
  <si>
    <t>We use Plantrol for quotes and orders but everything flows into our custom software which is on IBM I series platform.  The software was developed by Arehart Consulting and runs our invoicing, order entry, shipping, inventory and accounting systems.</t>
  </si>
  <si>
    <t>Payroll services</t>
  </si>
  <si>
    <t>What payroll service do you use?</t>
  </si>
  <si>
    <t>Paycor</t>
  </si>
  <si>
    <t>Employee contracts</t>
  </si>
  <si>
    <t>Are there any employee contracts? If so, who?</t>
  </si>
  <si>
    <t>No</t>
  </si>
  <si>
    <t>Please explain the differences in the below yr to yr</t>
  </si>
  <si>
    <t>Can you tell me who is in which salary line item?</t>
  </si>
  <si>
    <t>Customer Service Team/Hillsboro office/ Iowa Remote/ PA remote</t>
  </si>
  <si>
    <t>T.Derck and N Jones</t>
  </si>
  <si>
    <t>The Office Salaries on the review includes Sales Service/Outside Sales and Employee Bonus</t>
  </si>
  <si>
    <t>R Smith and B Hargett</t>
  </si>
  <si>
    <t>Documents to provide</t>
  </si>
  <si>
    <t>PAPER Cost</t>
  </si>
  <si>
    <r>
      <t>Please provide latest, paper pricing from all vendors</t>
    </r>
    <r>
      <rPr>
        <b/>
        <sz val="10"/>
        <rFont val="Arial"/>
        <family val="2"/>
      </rPr>
      <t xml:space="preserve"> per item</t>
    </r>
    <r>
      <rPr>
        <sz val="10"/>
        <rFont val="Arial"/>
        <family val="2"/>
      </rPr>
      <t xml:space="preserve"> and notate last increase for that vendor.  If increased this year, please provide prior paper pricing as well.</t>
    </r>
  </si>
  <si>
    <t>all paper pricing was uploaded</t>
  </si>
  <si>
    <t>PAPER Inventory</t>
  </si>
  <si>
    <t>Please provide paper inventory with quantity, unit price, extended $, date received into inventory, that matches the Balance sheet for 6/30/2026. Also provide the same for the rest of raw materials</t>
  </si>
  <si>
    <t>Complete inventory valuations and reconcilation to 6/30/26 balance sheet uploaded to Financial Folder 9/01/26</t>
  </si>
  <si>
    <t>Payroll Master Control Report</t>
  </si>
  <si>
    <t>Please provide 6/30/2026 PDF and excel version (if possible) of what ADP calls "Master Control" payroll data.  This includes each employee YTD and Qtr. information as well as company totals.  Also provide 2025 full year.</t>
  </si>
  <si>
    <t>Uploaded to Labor &amp; employment folder 8/27/26</t>
  </si>
  <si>
    <t>Vendor or other contracts, agreements</t>
  </si>
  <si>
    <t>Please list and provide any contracts written or verbal</t>
  </si>
  <si>
    <t xml:space="preserve">There are no contract with vendors.  We do purchase a large amount of manufacturing supplies on consignment with The Oldham Group. </t>
  </si>
  <si>
    <t>Leases and rentals</t>
  </si>
  <si>
    <t>Please provide all lease and rental agreements, to include locations, warehouse, trucking, copiers etc.</t>
  </si>
  <si>
    <t>Uploaded to Financial Information 9/2/26 - Leases (buildings) and admin contracts</t>
  </si>
  <si>
    <t>Employee Handbook</t>
  </si>
  <si>
    <t>Please provide</t>
  </si>
  <si>
    <t>Uploaded to Employee Benefits Tab 8/27/26</t>
  </si>
  <si>
    <t>Employee Benefits Guide / Information</t>
  </si>
  <si>
    <t>Uploaded to Empployment matters folder 9/2/26 Medben TPA contract and Healthcare SPD</t>
  </si>
  <si>
    <t>Complete employee census</t>
  </si>
  <si>
    <t>Healthcare Claims</t>
  </si>
  <si>
    <t>Last 24 months of claim information (monthly, including membership by plan) along with high cost claims exceeding $50k</t>
  </si>
  <si>
    <t>Uploaded to Employment matters folder 9/2/26</t>
  </si>
  <si>
    <t>Healthcare Contracts</t>
  </si>
  <si>
    <t>Administrative and stop loss contracts (PBM if available)</t>
  </si>
  <si>
    <t>Retirement Plan</t>
  </si>
  <si>
    <t>Please provide benefits information, latest plan balances and documentation of compliance</t>
  </si>
  <si>
    <t>Uploaded plan document to employment matters folder 9/2/26/ and 2nd qtr 2026 balance and 2025 5500 tax return</t>
  </si>
  <si>
    <t>Please provide any employee contracts</t>
  </si>
  <si>
    <t>No Employee contracts</t>
  </si>
  <si>
    <t>Equipment List by location</t>
  </si>
  <si>
    <t>Please provide when time permits</t>
  </si>
  <si>
    <t>See HCF Overview for the current equipment list</t>
  </si>
  <si>
    <t>Believe this is in Folder 9. On the left hand side it states the location of each major piece of equipment. Will ask Ronda/Rob for updated list. may be outdated.</t>
  </si>
  <si>
    <t xml:space="preserve">Who is capable of running the Hillsboro plant now and manage the consolidation?								</t>
  </si>
  <si>
    <t xml:space="preserve">Between Rob, Ronda and Brooke and Our Customer Service Manager Noah Jones we Dont foresee any issues at all . This team is good )) </t>
  </si>
  <si>
    <t>What is the current $ of production capacity in Angola and Hillsboro with the current team?</t>
  </si>
  <si>
    <t>Currently in Angola we have 7 Press operators, our benchmark average is 2500.00 per shift per employee. Hillsboro has 12 operators and we would benchmark the same. Of course we all know the run lengths really dictate how much we run a day in dollars.</t>
  </si>
  <si>
    <t xml:space="preserve">What is the make, model and specs of the Pixelle sheeter?						</t>
  </si>
  <si>
    <t>Lenox CSS-52",  11"-18" cut length, contunuous batch delivery, sheets four webs at a time</t>
  </si>
  <si>
    <t xml:space="preserve">How do you manufacture integrated labels and forms?					</t>
  </si>
  <si>
    <t>With a Tamarack, WIP rolls are printed at the press and then die cut and the adhesive is laid down at the Tamarack</t>
  </si>
  <si>
    <t xml:space="preserve">How do you manufacture integrated cards?				</t>
  </si>
  <si>
    <t xml:space="preserve">with a tamarack </t>
  </si>
  <si>
    <r>
      <t xml:space="preserve">Items required in </t>
    </r>
    <r>
      <rPr>
        <b/>
        <i/>
        <sz val="18"/>
        <color theme="1"/>
        <rFont val="Arial"/>
        <family val="2"/>
      </rPr>
      <t>advance</t>
    </r>
    <r>
      <rPr>
        <b/>
        <sz val="18"/>
        <color theme="1"/>
        <rFont val="Arial"/>
        <family val="2"/>
      </rPr>
      <t xml:space="preserve"> of an onsite visit - will be discussed during the visit</t>
    </r>
  </si>
  <si>
    <t>Customer Details</t>
  </si>
  <si>
    <t>Customer List – fill in Excel spreadsheet "CustList"</t>
  </si>
  <si>
    <t>Sent 8/26/26. In Folder 11.</t>
  </si>
  <si>
    <t>Pixlle</t>
  </si>
  <si>
    <t>Describe the Pixelle work
Is this work contractual?  If so, please provide details; terms, SLA’s, etc…</t>
  </si>
  <si>
    <t xml:space="preserve">The Pixelle converting is a book of business that we have helped Pixelle, (actually started when it was Glatfelter) withsince about 2011. originally started out as sheeting mainly their "Go Bond" copy paper and then turned into alot more items.We run about 65 regular items and aprox 20 or so custom items. we have never had a contract with them really. But we are working on getting one right now.  they supply us with all raw materials and all packaging materials, we then sheet it and package it and they come and pick it up. AProx. 1.5 truckloads a day. we bill them by the weight going back to them. terms are 30 days.   </t>
  </si>
  <si>
    <t>Products</t>
  </si>
  <si>
    <t>Provide a brief description of each product category and fill in the matrix on the product mix matrix worksheet</t>
  </si>
  <si>
    <t>uploaded 9.1.26 (Folder 11)</t>
  </si>
  <si>
    <t>What product category does the following products reside
	Integrated label &amp; forms and Integrated cards 
	Jumbo Rolls</t>
  </si>
  <si>
    <t>Contracts</t>
  </si>
  <si>
    <t>Summary of any special written or unwritten arrangements with top customers.</t>
  </si>
  <si>
    <t xml:space="preserve">none </t>
  </si>
  <si>
    <t>o   Any written contracts with customers?  If so, please provide.</t>
  </si>
  <si>
    <t>none we have never been big fans of signing contracts with customers on rebates etc.</t>
  </si>
  <si>
    <t>Terms</t>
  </si>
  <si>
    <t>What are your standard payment terms?</t>
  </si>
  <si>
    <t>2% 15 Net 30</t>
  </si>
  <si>
    <t xml:space="preserve"> Do you have special terms with any customers? Beyond top 50 customers referenced in spreadsheet.</t>
  </si>
  <si>
    <t>Uploaded 9/1/26 to Products and Customers File 11</t>
  </si>
  <si>
    <t>Service Levels</t>
  </si>
  <si>
    <t>Current service levels</t>
  </si>
  <si>
    <t>Quote turn time</t>
  </si>
  <si>
    <t>1-2 hours</t>
  </si>
  <si>
    <t>Proof turn time</t>
  </si>
  <si>
    <t>we turn most proofs in one day, our comp dept consists of 2 employees that work remote.</t>
  </si>
  <si>
    <t>Standard Delivery – if different by product line please provide</t>
  </si>
  <si>
    <t>8-10 days on most items if raw materias are available. If it has to  go through our bindary dept. we are looking at 20 days</t>
  </si>
  <si>
    <t>Current OTD%</t>
  </si>
  <si>
    <t>For orders from 3/2/2025 to present - 85.15% on time.</t>
  </si>
  <si>
    <t>Pricing - Market Basket</t>
  </si>
  <si>
    <r>
      <t xml:space="preserve">Provide a market basket of jobs covering the product mix by quantity.  Please provide a </t>
    </r>
    <r>
      <rPr>
        <b/>
        <sz val="18"/>
        <color rgb="FF000000"/>
        <rFont val="Arial"/>
        <family val="2"/>
      </rPr>
      <t>minimum of 5 orders by product category</t>
    </r>
    <r>
      <rPr>
        <sz val="18"/>
        <color rgb="FF000000"/>
        <rFont val="Arial"/>
        <family val="2"/>
      </rPr>
      <t xml:space="preserve"> (listed in the product mix matrix) and a </t>
    </r>
    <r>
      <rPr>
        <b/>
        <sz val="18"/>
        <color rgb="FF000000"/>
        <rFont val="Arial"/>
        <family val="2"/>
      </rPr>
      <t>minimum of 2 orders each in the following quantity ranges: &lt;100m; 100m-500m; &gt;500m</t>
    </r>
  </si>
  <si>
    <t>Sales by Product PDFs are in Folder 11. Jobs have been uploaded to Products and Customers folder with the exception of Sheeter (Pixelle) jobs.  We are still working on those. 9/3/26</t>
  </si>
  <si>
    <r>
      <t xml:space="preserve">Items to be discussed </t>
    </r>
    <r>
      <rPr>
        <b/>
        <i/>
        <sz val="18"/>
        <color theme="1"/>
        <rFont val="Arial"/>
        <family val="2"/>
      </rPr>
      <t>during</t>
    </r>
    <r>
      <rPr>
        <b/>
        <sz val="18"/>
        <color theme="1"/>
        <rFont val="Arial"/>
        <family val="2"/>
      </rPr>
      <t xml:space="preserve"> an onsite visit - information not required in advance</t>
    </r>
  </si>
  <si>
    <t>Warranty</t>
  </si>
  <si>
    <r>
      <t xml:space="preserve">·        Are there </t>
    </r>
    <r>
      <rPr>
        <sz val="18"/>
        <color theme="1"/>
        <rFont val="Arial"/>
        <family val="2"/>
      </rPr>
      <t>any warranty or product issues</t>
    </r>
    <r>
      <rPr>
        <sz val="18"/>
        <color rgb="FF000000"/>
        <rFont val="Arial"/>
        <family val="2"/>
      </rPr>
      <t xml:space="preserve"> with current or former customers?</t>
    </r>
  </si>
  <si>
    <t>Retention</t>
  </si>
  <si>
    <t>·        Have you lost a customer or business at an existing customer in the last 3 years? If so, when and why?</t>
  </si>
  <si>
    <t>Great Lakes Label runs Meijers RX receipts, we ran those for a few years and then they changed software programs and went to another format. that was 54k a month or so. we also lost a few really big old Superior orders that Im assuming you guys run . ))))) Also had some large jumbo roll jobs, that have been transitioned to copy paper.</t>
  </si>
  <si>
    <t>Pricing</t>
  </si>
  <si>
    <t>·        Describe overall pricing strategy</t>
  </si>
  <si>
    <t>Our benchmark is to shoot for a 42% GP coming out of manufacturing, that would be just paper, labor and cartons.</t>
  </si>
  <si>
    <t>·        Price increases – provide last 2 years history and how executed.</t>
  </si>
  <si>
    <t>we just put through a stock price increase effective 9.1.26. But over the last two years we have adjusted raw material pricing in the Plantrol to accomidate all mill increases and then some. we pad plantrol pricing about 6-8%</t>
  </si>
  <si>
    <t>Sales</t>
  </si>
  <si>
    <t>·        Opportunity Pipeline – describe new business opportunities with existing customers and prospects.</t>
  </si>
  <si>
    <t xml:space="preserve">we do have the possibility to run multiple truckloads of jumbo roll product for Millcraft. (maybe you guys are doing them?)We committed to 5 trucks a month. Then had to walk away from it, because of time restraints and mill allocations at the time.we also have been running some work for a Manufacturer in Detrroit that has basically decided to stop manufacturing and act as a dist. for all of their volume. we have sold them about 104K this year they have just recently made this decision. They have about 1.5 million. he'll give it to us as long as we keep him competitive.  </t>
  </si>
  <si>
    <t>Freight Sales</t>
  </si>
  <si>
    <t>·  Freight: do you markup?   Net impact?</t>
  </si>
  <si>
    <t>There is some mark up on freight to cover the additional expenses that come in after invoicing.  For YTD 2026 the net impact is positive $11,044.</t>
  </si>
  <si>
    <t>Advertising</t>
  </si>
  <si>
    <t>o   Contracts with trade publications, i.e. Print and Promo</t>
  </si>
  <si>
    <t>we had been advertising in Print and Promo's two largest months, nothing this year</t>
  </si>
  <si>
    <t>Shows – trade shows that you have committed to attending or have traditionally attended</t>
  </si>
  <si>
    <t>none</t>
  </si>
  <si>
    <t>Product</t>
  </si>
  <si>
    <t>Cut Sheets – Custom*</t>
  </si>
  <si>
    <t>Sheeter (Pixelle)*</t>
  </si>
  <si>
    <t>Snapset – Custom*</t>
  </si>
  <si>
    <t>Stock Tab / Continuous / Singles / Cut Sheets*</t>
  </si>
  <si>
    <t>Continuous, Custom*</t>
  </si>
  <si>
    <t>Quantity Range</t>
  </si>
  <si>
    <t>No. of Orders</t>
  </si>
  <si>
    <t>Revenue / Category</t>
  </si>
  <si>
    <t>&lt;25m</t>
  </si>
  <si>
    <t>25m-100m</t>
  </si>
  <si>
    <t>100m-500m</t>
  </si>
  <si>
    <t>500m-1mm</t>
  </si>
  <si>
    <t>1mm+</t>
  </si>
  <si>
    <t>Totals</t>
  </si>
  <si>
    <t>9/1/2026 Added in the product folder HCF breakout of products for 2025 and YTD June 2026</t>
  </si>
  <si>
    <t xml:space="preserve">trying to break it down by run length. Having to do some programming to do that. </t>
  </si>
  <si>
    <t>In Folder 11 of VDR</t>
  </si>
  <si>
    <t>HCF ID - NO Dist name</t>
  </si>
  <si>
    <t>City</t>
  </si>
  <si>
    <t>ST</t>
  </si>
  <si>
    <t>Sales YTD 2026</t>
  </si>
  <si>
    <t>Sales 2025 YTD</t>
  </si>
  <si>
    <t>Sales 2025</t>
  </si>
  <si>
    <t>Sales 2024</t>
  </si>
  <si>
    <t>Sales 2023</t>
  </si>
  <si>
    <t>Product Mix % 2026</t>
  </si>
  <si>
    <t>Rebate: Y/N, if Y %</t>
  </si>
  <si>
    <t>Credit Status</t>
  </si>
  <si>
    <t>Primary HCF Relationship</t>
  </si>
  <si>
    <t xml:space="preserve"> Risk - post acquisition: Low/Med/High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</si>
</sst>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2" formatCode="_(&quot;$&quot;* #,##0_);_(&quot;$&quot;* \(#,##0\);_(&quot;$&quot;* &quot;-&quot;_);_(@_)"/>
    <numFmt numFmtId="44" formatCode="_(&quot;$&quot;* #,##0.00_);_(&quot;$&quot;* \(#,##0.00\);_(&quot;$&quot;* &quot;-&quot;??_);_(@_)"/>
  </numFmts>
  <fonts count="21">
    <font>
      <sz val="11"/>
      <color theme="1"/>
      <name val="Aptos Narrow"/>
      <family val="2"/>
      <scheme val="minor"/>
    </font>
    <font>
      <b/>
      <sz val="10"/>
      <name val="Arial"/>
      <family val="2"/>
    </font>
    <font>
      <sz val="10"/>
      <name val="Arial"/>
      <family val="2"/>
    </font>
    <font>
      <sz val="11"/>
      <color theme="1"/>
      <name val="Aptos Narrow"/>
      <family val="2"/>
      <scheme val="minor"/>
    </font>
    <font>
      <sz val="10"/>
      <color theme="1"/>
      <name val="Arial"/>
      <family val="2"/>
    </font>
    <font>
      <sz val="11"/>
      <color rgb="FF000000"/>
      <name val="Calibri"/>
      <family val="2"/>
    </font>
    <font>
      <sz val="10"/>
      <color theme="1"/>
      <name val="Aptos Narrow"/>
      <family val="2"/>
      <scheme val="minor"/>
    </font>
    <font>
      <sz val="18"/>
      <color theme="1"/>
      <name val="Aptos Narrow"/>
      <family val="2"/>
      <scheme val="minor"/>
    </font>
    <font>
      <b/>
      <sz val="18"/>
      <name val="Arial"/>
      <family val="2"/>
    </font>
    <font>
      <sz val="18"/>
      <name val="Arial"/>
      <family val="2"/>
    </font>
    <font>
      <b/>
      <sz val="18"/>
      <color rgb="FF000000"/>
      <name val="Calibri"/>
      <family val="2"/>
    </font>
    <font>
      <b/>
      <sz val="18"/>
      <color theme="1"/>
      <name val="Aptos Narrow"/>
      <family val="2"/>
      <scheme val="minor"/>
    </font>
    <font>
      <sz val="18"/>
      <color rgb="FF000000"/>
      <name val="Calibri"/>
      <family val="2"/>
    </font>
    <font>
      <sz val="18"/>
      <color theme="1"/>
      <name val="Arial"/>
      <family val="2"/>
    </font>
    <font>
      <b/>
      <sz val="18"/>
      <color theme="1"/>
      <name val="Arial"/>
      <family val="2"/>
    </font>
    <font>
      <b/>
      <i/>
      <sz val="18"/>
      <color theme="1"/>
      <name val="Arial"/>
      <family val="2"/>
    </font>
    <font>
      <b/>
      <sz val="18"/>
      <color rgb="FF000000"/>
      <name val="Arial"/>
      <family val="2"/>
    </font>
    <font>
      <sz val="18"/>
      <color rgb="FF000000"/>
      <name val="Arial"/>
      <family val="2"/>
    </font>
    <font>
      <sz val="22"/>
      <color theme="1"/>
      <name val="Aptos Narrow"/>
      <family val="2"/>
      <scheme val="minor"/>
    </font>
    <font>
      <b/>
      <i/>
      <sz val="20"/>
      <color rgb="FFFF0000"/>
      <name val="Aptos Narrow"/>
      <family val="2"/>
      <scheme val="minor"/>
    </font>
    <font>
      <b/>
      <sz val="12"/>
      <color rgb="FF000000"/>
      <name val="Arial"/>
      <family val="2"/>
    </font>
  </fonts>
  <fills count="5">
    <fill>
      <patternFill patternType="none"/>
    </fill>
    <fill>
      <patternFill patternType="gray125"/>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s>
  <borders count="2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ashed">
        <color indexed="64"/>
      </right>
      <top style="dashed">
        <color indexed="64"/>
      </top>
      <bottom style="double">
        <color indexed="64"/>
      </bottom>
      <diagonal/>
    </border>
    <border>
      <left style="dashed">
        <color indexed="64"/>
      </left>
      <right style="dashed">
        <color indexed="64"/>
      </right>
      <top style="dashed">
        <color indexed="64"/>
      </top>
      <bottom style="double">
        <color indexed="64"/>
      </bottom>
      <diagonal/>
    </border>
    <border>
      <left style="dashed">
        <color indexed="64"/>
      </left>
      <right style="medium">
        <color indexed="64"/>
      </right>
      <top style="dashed">
        <color indexed="64"/>
      </top>
      <bottom style="double">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01">
    <xf numFmtId="0" fontId="0" fillId="0" borderId="0" xfId="0"/>
    <xf numFmtId="0" fontId="1" fillId="2" borderId="0" xfId="0" applyFont="1" applyFill="1"/>
    <xf numFmtId="0" fontId="0" fillId="0" borderId="0" xfId="0" applyAlignment="1">
      <alignment vertical="center"/>
    </xf>
    <xf numFmtId="0" fontId="2" fillId="0" borderId="6"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xf>
    <xf numFmtId="0" fontId="0" fillId="0" borderId="7" xfId="0" applyBorder="1" applyAlignment="1">
      <alignment vertical="center"/>
    </xf>
    <xf numFmtId="0" fontId="0" fillId="0" borderId="3" xfId="0" applyBorder="1" applyAlignment="1">
      <alignment vertical="center"/>
    </xf>
    <xf numFmtId="0" fontId="2" fillId="0" borderId="5" xfId="0" applyFont="1" applyBorder="1" applyAlignment="1">
      <alignment vertical="center"/>
    </xf>
    <xf numFmtId="0" fontId="0" fillId="0" borderId="1" xfId="0" applyBorder="1" applyAlignment="1">
      <alignment vertical="center"/>
    </xf>
    <xf numFmtId="0" fontId="2" fillId="0" borderId="1" xfId="0" applyFont="1" applyBorder="1" applyAlignment="1">
      <alignment vertical="center"/>
    </xf>
    <xf numFmtId="0" fontId="1" fillId="2" borderId="4" xfId="0" applyFont="1" applyFill="1" applyBorder="1" applyAlignment="1">
      <alignment horizontal="center" vertical="center"/>
    </xf>
    <xf numFmtId="0" fontId="2" fillId="0" borderId="8" xfId="0" applyFont="1" applyBorder="1" applyAlignment="1">
      <alignment vertical="center"/>
    </xf>
    <xf numFmtId="0" fontId="2" fillId="0" borderId="9" xfId="0" applyFont="1" applyBorder="1" applyAlignment="1">
      <alignment vertical="center" wrapText="1"/>
    </xf>
    <xf numFmtId="0" fontId="0" fillId="0" borderId="10" xfId="0" applyBorder="1" applyAlignment="1">
      <alignment vertical="center"/>
    </xf>
    <xf numFmtId="0" fontId="0" fillId="0" borderId="5" xfId="0" applyBorder="1" applyAlignment="1">
      <alignment vertical="center"/>
    </xf>
    <xf numFmtId="0" fontId="2" fillId="0" borderId="2" xfId="0" applyFont="1" applyBorder="1" applyAlignment="1">
      <alignment vertical="center"/>
    </xf>
    <xf numFmtId="0" fontId="0" fillId="0" borderId="3" xfId="0" applyBorder="1"/>
    <xf numFmtId="0" fontId="1" fillId="2" borderId="0" xfId="0" applyFont="1" applyFill="1" applyAlignment="1">
      <alignment vertical="center"/>
    </xf>
    <xf numFmtId="0" fontId="6" fillId="0" borderId="0" xfId="0" applyFont="1"/>
    <xf numFmtId="42" fontId="6" fillId="0" borderId="0" xfId="1" applyNumberFormat="1" applyFont="1"/>
    <xf numFmtId="9" fontId="6" fillId="0" borderId="0" xfId="2" applyFont="1"/>
    <xf numFmtId="0" fontId="4" fillId="0" borderId="0" xfId="0" applyFont="1"/>
    <xf numFmtId="0" fontId="5" fillId="0" borderId="0" xfId="0" applyFont="1" applyAlignment="1">
      <alignment horizontal="justify" vertical="center" wrapText="1"/>
    </xf>
    <xf numFmtId="0" fontId="7" fillId="0" borderId="0" xfId="0" applyFont="1"/>
    <xf numFmtId="0" fontId="8" fillId="2" borderId="4" xfId="0" applyFont="1" applyFill="1" applyBorder="1" applyAlignment="1">
      <alignment horizontal="center" vertical="center"/>
    </xf>
    <xf numFmtId="0" fontId="9" fillId="0" borderId="6" xfId="0" applyFont="1" applyBorder="1" applyAlignment="1">
      <alignment vertical="center" wrapText="1"/>
    </xf>
    <xf numFmtId="0" fontId="9" fillId="0" borderId="2" xfId="0" applyFont="1" applyBorder="1" applyAlignment="1">
      <alignment vertical="center" wrapText="1"/>
    </xf>
    <xf numFmtId="0" fontId="7" fillId="0" borderId="3" xfId="0" applyFont="1" applyBorder="1" applyAlignment="1">
      <alignment vertical="center"/>
    </xf>
    <xf numFmtId="0" fontId="9" fillId="0" borderId="9" xfId="0" applyFont="1" applyBorder="1" applyAlignment="1">
      <alignment vertical="center" wrapText="1"/>
    </xf>
    <xf numFmtId="0" fontId="7" fillId="0" borderId="10" xfId="0" applyFont="1" applyBorder="1" applyAlignment="1">
      <alignment vertical="center"/>
    </xf>
    <xf numFmtId="0" fontId="10" fillId="0" borderId="15" xfId="0" applyFont="1" applyBorder="1" applyAlignment="1">
      <alignment horizontal="justify" vertical="center" wrapText="1"/>
    </xf>
    <xf numFmtId="0" fontId="11" fillId="0" borderId="18" xfId="0" applyFont="1" applyBorder="1"/>
    <xf numFmtId="9" fontId="10" fillId="0" borderId="19" xfId="2" applyFont="1" applyBorder="1" applyAlignment="1">
      <alignment horizontal="center" vertical="center" wrapText="1"/>
    </xf>
    <xf numFmtId="9" fontId="10" fillId="0" borderId="20" xfId="2" applyFont="1" applyBorder="1" applyAlignment="1">
      <alignment horizontal="center" vertical="center" wrapText="1"/>
    </xf>
    <xf numFmtId="0" fontId="10" fillId="0" borderId="18" xfId="0" applyFont="1" applyBorder="1" applyAlignment="1">
      <alignment horizontal="justify" vertical="center" wrapText="1"/>
    </xf>
    <xf numFmtId="3" fontId="12" fillId="0" borderId="19" xfId="2" applyNumberFormat="1" applyFont="1" applyBorder="1" applyAlignment="1">
      <alignment horizontal="center" vertical="center" wrapText="1"/>
    </xf>
    <xf numFmtId="6" fontId="12" fillId="0" borderId="19" xfId="2" applyNumberFormat="1" applyFont="1" applyBorder="1" applyAlignment="1">
      <alignment horizontal="center" vertical="center" wrapText="1"/>
    </xf>
    <xf numFmtId="6" fontId="12" fillId="0" borderId="20" xfId="2" applyNumberFormat="1" applyFont="1" applyBorder="1" applyAlignment="1">
      <alignment horizontal="center" vertical="center" wrapText="1"/>
    </xf>
    <xf numFmtId="0" fontId="10" fillId="0" borderId="24" xfId="0" applyFont="1" applyBorder="1" applyAlignment="1">
      <alignment horizontal="justify" vertical="center" wrapText="1"/>
    </xf>
    <xf numFmtId="3" fontId="12" fillId="0" borderId="25" xfId="2" applyNumberFormat="1" applyFont="1" applyBorder="1" applyAlignment="1">
      <alignment horizontal="center" vertical="center" wrapText="1"/>
    </xf>
    <xf numFmtId="6" fontId="12" fillId="0" borderId="25" xfId="2" applyNumberFormat="1" applyFont="1" applyBorder="1" applyAlignment="1">
      <alignment horizontal="center" vertical="center" wrapText="1"/>
    </xf>
    <xf numFmtId="6" fontId="12" fillId="0" borderId="26" xfId="2" applyNumberFormat="1" applyFont="1" applyBorder="1" applyAlignment="1">
      <alignment horizontal="center" vertical="center" wrapText="1"/>
    </xf>
    <xf numFmtId="0" fontId="10" fillId="0" borderId="21" xfId="0" applyFont="1" applyBorder="1" applyAlignment="1">
      <alignment horizontal="justify" vertical="center" wrapText="1"/>
    </xf>
    <xf numFmtId="3" fontId="7" fillId="0" borderId="22" xfId="0" applyNumberFormat="1" applyFont="1" applyBorder="1" applyAlignment="1">
      <alignment horizontal="center"/>
    </xf>
    <xf numFmtId="6" fontId="7" fillId="0" borderId="22" xfId="0" applyNumberFormat="1" applyFont="1" applyBorder="1" applyAlignment="1">
      <alignment horizontal="center"/>
    </xf>
    <xf numFmtId="6" fontId="7" fillId="0" borderId="23" xfId="0" applyNumberFormat="1" applyFont="1" applyBorder="1" applyAlignment="1">
      <alignment horizontal="center"/>
    </xf>
    <xf numFmtId="0" fontId="7" fillId="0" borderId="11" xfId="0" applyFont="1" applyBorder="1"/>
    <xf numFmtId="42" fontId="7" fillId="0" borderId="11" xfId="1" applyNumberFormat="1" applyFont="1" applyBorder="1"/>
    <xf numFmtId="9" fontId="7" fillId="0" borderId="11" xfId="2" applyFont="1" applyBorder="1"/>
    <xf numFmtId="0" fontId="13" fillId="0" borderId="0" xfId="0" applyFont="1"/>
    <xf numFmtId="0" fontId="14" fillId="3" borderId="1" xfId="0" applyFont="1" applyFill="1" applyBorder="1"/>
    <xf numFmtId="0" fontId="16" fillId="3" borderId="2" xfId="0" applyFont="1" applyFill="1" applyBorder="1" applyAlignment="1">
      <alignment horizontal="justify" vertical="center"/>
    </xf>
    <xf numFmtId="0" fontId="14" fillId="3" borderId="3" xfId="0" applyFont="1" applyFill="1" applyBorder="1"/>
    <xf numFmtId="0" fontId="8" fillId="2" borderId="12" xfId="0" applyFont="1" applyFill="1" applyBorder="1" applyAlignment="1">
      <alignment horizontal="center" vertical="center"/>
    </xf>
    <xf numFmtId="0" fontId="9" fillId="0" borderId="1" xfId="0" applyFont="1" applyBorder="1" applyAlignment="1">
      <alignment horizontal="left" vertical="center"/>
    </xf>
    <xf numFmtId="0" fontId="9" fillId="0" borderId="2" xfId="0" applyFont="1" applyBorder="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wrapText="1"/>
    </xf>
    <xf numFmtId="0" fontId="13" fillId="0" borderId="8" xfId="0" applyFont="1" applyBorder="1" applyAlignment="1">
      <alignment vertical="center"/>
    </xf>
    <xf numFmtId="0" fontId="17" fillId="0" borderId="9" xfId="0" applyFont="1" applyBorder="1" applyAlignment="1">
      <alignment horizontal="justify" vertical="center"/>
    </xf>
    <xf numFmtId="0" fontId="13" fillId="0" borderId="5" xfId="0" applyFont="1" applyBorder="1" applyAlignment="1">
      <alignment vertical="center"/>
    </xf>
    <xf numFmtId="0" fontId="17" fillId="0" borderId="6" xfId="0" applyFont="1" applyBorder="1" applyAlignment="1">
      <alignment horizontal="justify" vertical="center"/>
    </xf>
    <xf numFmtId="0" fontId="13" fillId="0" borderId="8" xfId="0" applyFont="1" applyBorder="1"/>
    <xf numFmtId="0" fontId="13" fillId="0" borderId="13" xfId="0" applyFont="1" applyBorder="1"/>
    <xf numFmtId="0" fontId="17" fillId="0" borderId="0" xfId="0" applyFont="1" applyAlignment="1">
      <alignment horizontal="justify" vertical="center"/>
    </xf>
    <xf numFmtId="0" fontId="9" fillId="0" borderId="8" xfId="0" applyFont="1" applyBorder="1"/>
    <xf numFmtId="0" fontId="13" fillId="0" borderId="9" xfId="0" applyFont="1" applyBorder="1"/>
    <xf numFmtId="0" fontId="13" fillId="0" borderId="5" xfId="0" applyFont="1" applyBorder="1"/>
    <xf numFmtId="0" fontId="14" fillId="4" borderId="1" xfId="0" applyFont="1" applyFill="1" applyBorder="1"/>
    <xf numFmtId="0" fontId="16" fillId="4" borderId="2" xfId="0" applyFont="1" applyFill="1" applyBorder="1" applyAlignment="1">
      <alignment horizontal="justify" vertical="center"/>
    </xf>
    <xf numFmtId="0" fontId="13" fillId="0" borderId="1" xfId="0" applyFont="1" applyBorder="1" applyAlignment="1">
      <alignment vertical="center"/>
    </xf>
    <xf numFmtId="0" fontId="17" fillId="0" borderId="2" xfId="0" applyFont="1" applyBorder="1" applyAlignment="1">
      <alignment horizontal="justify" vertical="center"/>
    </xf>
    <xf numFmtId="0" fontId="17" fillId="0" borderId="6" xfId="0" applyFont="1" applyBorder="1" applyAlignment="1">
      <alignment wrapText="1"/>
    </xf>
    <xf numFmtId="0" fontId="13" fillId="0" borderId="0" xfId="0" applyFont="1" applyAlignment="1">
      <alignment vertical="center"/>
    </xf>
    <xf numFmtId="0" fontId="8" fillId="0" borderId="11" xfId="0" applyFont="1" applyBorder="1" applyAlignment="1">
      <alignment horizontal="center" vertical="center" wrapText="1"/>
    </xf>
    <xf numFmtId="42" fontId="8" fillId="0" borderId="11" xfId="1" applyNumberFormat="1" applyFont="1" applyBorder="1" applyAlignment="1">
      <alignment horizontal="center" vertical="center" wrapText="1"/>
    </xf>
    <xf numFmtId="9" fontId="8" fillId="0" borderId="11" xfId="2" applyFont="1" applyBorder="1" applyAlignment="1">
      <alignment horizontal="center" vertical="center" wrapText="1"/>
    </xf>
    <xf numFmtId="0" fontId="18" fillId="0" borderId="11" xfId="0" applyFont="1" applyBorder="1" applyAlignment="1">
      <alignment horizontal="center" vertical="center"/>
    </xf>
    <xf numFmtId="0" fontId="18" fillId="0" borderId="0" xfId="0" applyFont="1" applyAlignment="1">
      <alignment horizontal="center" vertical="center"/>
    </xf>
    <xf numFmtId="0" fontId="0" fillId="0" borderId="3" xfId="0" applyBorder="1" applyAlignment="1">
      <alignment vertical="center" wrapText="1"/>
    </xf>
    <xf numFmtId="0" fontId="0" fillId="0" borderId="0" xfId="0" applyAlignment="1">
      <alignment vertical="center" wrapText="1"/>
    </xf>
    <xf numFmtId="0" fontId="0" fillId="0" borderId="0" xfId="0" applyAlignment="1">
      <alignment wrapText="1"/>
    </xf>
    <xf numFmtId="0" fontId="2" fillId="0" borderId="2" xfId="0" applyFont="1" applyBorder="1" applyAlignment="1">
      <alignment horizontal="left" vertical="top" wrapText="1"/>
    </xf>
    <xf numFmtId="0" fontId="7" fillId="0" borderId="7" xfId="0" applyFont="1" applyBorder="1" applyAlignment="1">
      <alignment vertical="center" wrapText="1"/>
    </xf>
    <xf numFmtId="0" fontId="7" fillId="0" borderId="3" xfId="0" applyFont="1" applyBorder="1" applyAlignment="1">
      <alignment vertical="center" wrapText="1"/>
    </xf>
    <xf numFmtId="0" fontId="19" fillId="0" borderId="1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0" xfId="0" applyFont="1" applyBorder="1" applyAlignment="1">
      <alignment horizontal="center" vertical="center" wrapText="1"/>
    </xf>
    <xf numFmtId="0" fontId="13" fillId="0" borderId="10" xfId="0" applyFont="1" applyBorder="1" applyAlignment="1">
      <alignment vertical="center" wrapText="1"/>
    </xf>
    <xf numFmtId="0" fontId="13" fillId="0" borderId="7" xfId="0" applyFont="1" applyBorder="1" applyAlignment="1">
      <alignment vertical="center" wrapText="1"/>
    </xf>
    <xf numFmtId="0" fontId="13" fillId="0" borderId="10" xfId="0" applyFont="1" applyBorder="1" applyAlignment="1">
      <alignment wrapText="1"/>
    </xf>
    <xf numFmtId="0" fontId="13" fillId="0" borderId="14" xfId="0" applyFont="1" applyBorder="1" applyAlignment="1">
      <alignment wrapText="1"/>
    </xf>
    <xf numFmtId="0" fontId="13" fillId="0" borderId="7" xfId="0" applyFont="1" applyBorder="1" applyAlignment="1">
      <alignment wrapText="1"/>
    </xf>
    <xf numFmtId="0" fontId="13" fillId="0" borderId="0" xfId="0" applyFont="1" applyAlignment="1">
      <alignment wrapText="1"/>
    </xf>
    <xf numFmtId="0" fontId="14" fillId="4" borderId="3" xfId="0" applyFont="1" applyFill="1" applyBorder="1" applyAlignment="1">
      <alignment wrapText="1"/>
    </xf>
    <xf numFmtId="0" fontId="8" fillId="2" borderId="12" xfId="0" applyFont="1" applyFill="1" applyBorder="1" applyAlignment="1">
      <alignment horizontal="center" vertical="center" wrapText="1"/>
    </xf>
    <xf numFmtId="0" fontId="13" fillId="0" borderId="3" xfId="0" applyFont="1" applyBorder="1" applyAlignment="1">
      <alignment vertical="center" wrapText="1"/>
    </xf>
    <xf numFmtId="0" fontId="20" fillId="0" borderId="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3495703</xdr:colOff>
      <xdr:row>14</xdr:row>
      <xdr:rowOff>226771</xdr:rowOff>
    </xdr:from>
    <xdr:to>
      <xdr:col>2</xdr:col>
      <xdr:colOff>5307087</xdr:colOff>
      <xdr:row>14</xdr:row>
      <xdr:rowOff>1190100</xdr:rowOff>
    </xdr:to>
    <xdr:pic>
      <xdr:nvPicPr>
        <xdr:cNvPr id="2" name="Picture 1">
          <a:extLst>
            <a:ext uri="{FF2B5EF4-FFF2-40B4-BE49-F238E27FC236}">
              <a16:creationId xmlns:a16="http://schemas.microsoft.com/office/drawing/2014/main" id="{465A49BD-20C7-4099-95E9-0100D85F8D97}"/>
            </a:ext>
          </a:extLst>
        </xdr:cNvPr>
        <xdr:cNvPicPr>
          <a:picLocks noChangeAspect="1"/>
        </xdr:cNvPicPr>
      </xdr:nvPicPr>
      <xdr:blipFill>
        <a:blip xmlns:r="http://schemas.openxmlformats.org/officeDocument/2006/relationships" r:embed="rId1"/>
        <a:stretch>
          <a:fillRect/>
        </a:stretch>
      </xdr:blipFill>
      <xdr:spPr>
        <a:xfrm>
          <a:off x="5924578" y="5722696"/>
          <a:ext cx="1811384" cy="963329"/>
        </a:xfrm>
        <a:prstGeom prst="rect">
          <a:avLst/>
        </a:prstGeom>
      </xdr:spPr>
    </xdr:pic>
    <xdr:clientData/>
  </xdr:twoCellAnchor>
  <xdr:twoCellAnchor editAs="oneCell">
    <xdr:from>
      <xdr:col>1</xdr:col>
      <xdr:colOff>1971676</xdr:colOff>
      <xdr:row>26</xdr:row>
      <xdr:rowOff>38100</xdr:rowOff>
    </xdr:from>
    <xdr:to>
      <xdr:col>2</xdr:col>
      <xdr:colOff>5282565</xdr:colOff>
      <xdr:row>28</xdr:row>
      <xdr:rowOff>34342</xdr:rowOff>
    </xdr:to>
    <xdr:pic>
      <xdr:nvPicPr>
        <xdr:cNvPr id="4" name="Picture 3">
          <a:extLst>
            <a:ext uri="{FF2B5EF4-FFF2-40B4-BE49-F238E27FC236}">
              <a16:creationId xmlns:a16="http://schemas.microsoft.com/office/drawing/2014/main" id="{49D4DC85-47E8-4B8C-B3DF-95B6C63D9FD1}"/>
            </a:ext>
            <a:ext uri="{147F2762-F138-4A5C-976F-8EAC2B608ADB}">
              <a16:predDERef xmlns:a16="http://schemas.microsoft.com/office/drawing/2014/main" pred="{465A49BD-20C7-4099-95E9-0100D85F8D97}"/>
            </a:ext>
          </a:extLst>
        </xdr:cNvPr>
        <xdr:cNvPicPr>
          <a:picLocks noChangeAspect="1"/>
        </xdr:cNvPicPr>
      </xdr:nvPicPr>
      <xdr:blipFill>
        <a:blip xmlns:r="http://schemas.openxmlformats.org/officeDocument/2006/relationships" r:embed="rId2"/>
        <a:stretch>
          <a:fillRect/>
        </a:stretch>
      </xdr:blipFill>
      <xdr:spPr>
        <a:xfrm>
          <a:off x="2190751" y="12296775"/>
          <a:ext cx="5520689" cy="358192"/>
        </a:xfrm>
        <a:prstGeom prst="rect">
          <a:avLst/>
        </a:prstGeom>
      </xdr:spPr>
    </xdr:pic>
    <xdr:clientData/>
  </xdr:twoCellAnchor>
  <xdr:twoCellAnchor editAs="oneCell">
    <xdr:from>
      <xdr:col>1</xdr:col>
      <xdr:colOff>1914526</xdr:colOff>
      <xdr:row>28</xdr:row>
      <xdr:rowOff>28575</xdr:rowOff>
    </xdr:from>
    <xdr:to>
      <xdr:col>2</xdr:col>
      <xdr:colOff>5257799</xdr:colOff>
      <xdr:row>36</xdr:row>
      <xdr:rowOff>87840</xdr:rowOff>
    </xdr:to>
    <xdr:pic>
      <xdr:nvPicPr>
        <xdr:cNvPr id="5" name="Picture 4">
          <a:extLst>
            <a:ext uri="{FF2B5EF4-FFF2-40B4-BE49-F238E27FC236}">
              <a16:creationId xmlns:a16="http://schemas.microsoft.com/office/drawing/2014/main" id="{4CAD36E7-29B8-488F-86E1-FDB2A6C58EFE}"/>
            </a:ext>
            <a:ext uri="{147F2762-F138-4A5C-976F-8EAC2B608ADB}">
              <a16:predDERef xmlns:a16="http://schemas.microsoft.com/office/drawing/2014/main" pred="{49D4DC85-47E8-4B8C-B3DF-95B6C63D9FD1}"/>
            </a:ext>
          </a:extLst>
        </xdr:cNvPr>
        <xdr:cNvPicPr>
          <a:picLocks noChangeAspect="1"/>
        </xdr:cNvPicPr>
      </xdr:nvPicPr>
      <xdr:blipFill>
        <a:blip xmlns:r="http://schemas.openxmlformats.org/officeDocument/2006/relationships" r:embed="rId3"/>
        <a:stretch>
          <a:fillRect/>
        </a:stretch>
      </xdr:blipFill>
      <xdr:spPr>
        <a:xfrm>
          <a:off x="2133601" y="12649200"/>
          <a:ext cx="5553073" cy="1507065"/>
        </a:xfrm>
        <a:prstGeom prst="rect">
          <a:avLst/>
        </a:prstGeom>
      </xdr:spPr>
    </xdr:pic>
    <xdr:clientData/>
  </xdr:twoCellAnchor>
  <xdr:twoCellAnchor>
    <xdr:from>
      <xdr:col>2</xdr:col>
      <xdr:colOff>2724150</xdr:colOff>
      <xdr:row>14</xdr:row>
      <xdr:rowOff>647700</xdr:rowOff>
    </xdr:from>
    <xdr:to>
      <xdr:col>2</xdr:col>
      <xdr:colOff>3343275</xdr:colOff>
      <xdr:row>14</xdr:row>
      <xdr:rowOff>647700</xdr:rowOff>
    </xdr:to>
    <xdr:cxnSp macro="">
      <xdr:nvCxnSpPr>
        <xdr:cNvPr id="7" name="Straight Arrow Connector 6">
          <a:extLst>
            <a:ext uri="{FF2B5EF4-FFF2-40B4-BE49-F238E27FC236}">
              <a16:creationId xmlns:a16="http://schemas.microsoft.com/office/drawing/2014/main" id="{C9282989-A4F3-44B4-08FF-1D18656D2570}"/>
            </a:ext>
          </a:extLst>
        </xdr:cNvPr>
        <xdr:cNvCxnSpPr/>
      </xdr:nvCxnSpPr>
      <xdr:spPr>
        <a:xfrm>
          <a:off x="5362575" y="6143625"/>
          <a:ext cx="619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71E4-FB7B-47DD-ACC1-D905F2B750E5}">
  <sheetPr>
    <pageSetUpPr fitToPage="1"/>
  </sheetPr>
  <dimension ref="B3:E52"/>
  <sheetViews>
    <sheetView zoomScale="115" zoomScaleNormal="115" workbookViewId="0">
      <selection activeCell="A5" sqref="A5"/>
    </sheetView>
  </sheetViews>
  <sheetFormatPr defaultColWidth="8.85546875" defaultRowHeight="14.45"/>
  <cols>
    <col min="1" max="1" width="3.28515625" customWidth="1"/>
    <col min="2" max="2" width="33.140625" style="2" customWidth="1"/>
    <col min="3" max="3" width="79.7109375" style="2" customWidth="1"/>
    <col min="4" max="4" width="80.85546875" style="2" customWidth="1"/>
    <col min="5" max="5" width="38.28515625" customWidth="1"/>
  </cols>
  <sheetData>
    <row r="3" spans="2:5" ht="15"/>
    <row r="4" spans="2:5" ht="15">
      <c r="B4" s="11" t="s">
        <v>0</v>
      </c>
      <c r="C4" s="11" t="s">
        <v>1</v>
      </c>
      <c r="D4" s="11" t="s">
        <v>2</v>
      </c>
      <c r="E4" s="11" t="s">
        <v>3</v>
      </c>
    </row>
    <row r="5" spans="2:5" ht="36" customHeight="1">
      <c r="B5" s="8" t="s">
        <v>4</v>
      </c>
      <c r="C5" s="3" t="s">
        <v>5</v>
      </c>
      <c r="D5" s="6" t="s">
        <v>6</v>
      </c>
    </row>
    <row r="6" spans="2:5" ht="36" customHeight="1">
      <c r="B6" s="9" t="s">
        <v>7</v>
      </c>
      <c r="C6" s="4" t="s">
        <v>8</v>
      </c>
      <c r="D6" s="7" t="s">
        <v>9</v>
      </c>
    </row>
    <row r="7" spans="2:5" ht="36" customHeight="1">
      <c r="B7" s="9" t="s">
        <v>7</v>
      </c>
      <c r="C7" s="4" t="s">
        <v>10</v>
      </c>
      <c r="D7" s="7" t="s">
        <v>11</v>
      </c>
    </row>
    <row r="8" spans="2:5" ht="36" customHeight="1">
      <c r="B8" s="10" t="s">
        <v>12</v>
      </c>
      <c r="C8" s="4" t="s">
        <v>13</v>
      </c>
      <c r="D8" s="7" t="s">
        <v>14</v>
      </c>
    </row>
    <row r="9" spans="2:5" ht="36" customHeight="1">
      <c r="B9" s="10" t="s">
        <v>15</v>
      </c>
      <c r="C9" s="4" t="s">
        <v>16</v>
      </c>
      <c r="D9" s="7" t="s">
        <v>17</v>
      </c>
    </row>
    <row r="10" spans="2:5" ht="42.75" customHeight="1">
      <c r="B10" s="9" t="s">
        <v>18</v>
      </c>
      <c r="C10" s="4" t="s">
        <v>19</v>
      </c>
      <c r="D10" s="7" t="s">
        <v>20</v>
      </c>
    </row>
    <row r="11" spans="2:5" ht="36" customHeight="1">
      <c r="B11" s="9" t="s">
        <v>21</v>
      </c>
      <c r="C11" s="4" t="s">
        <v>22</v>
      </c>
      <c r="D11" s="7" t="s">
        <v>23</v>
      </c>
    </row>
    <row r="12" spans="2:5" ht="43.7" customHeight="1">
      <c r="B12" s="9" t="s">
        <v>24</v>
      </c>
      <c r="C12" s="4" t="s">
        <v>25</v>
      </c>
      <c r="D12" s="7" t="s">
        <v>26</v>
      </c>
    </row>
    <row r="13" spans="2:5" ht="36" customHeight="1">
      <c r="B13" s="12" t="s">
        <v>27</v>
      </c>
      <c r="C13" s="13" t="s">
        <v>28</v>
      </c>
      <c r="D13" s="14" t="s">
        <v>29</v>
      </c>
    </row>
    <row r="14" spans="2:5" ht="36" customHeight="1">
      <c r="B14" s="15"/>
      <c r="C14" s="3" t="s">
        <v>30</v>
      </c>
      <c r="D14" s="6" t="s">
        <v>31</v>
      </c>
    </row>
    <row r="15" spans="2:5" ht="96" customHeight="1">
      <c r="B15" s="10" t="s">
        <v>32</v>
      </c>
      <c r="C15" s="83" t="s">
        <v>33</v>
      </c>
      <c r="D15" s="81" t="s">
        <v>34</v>
      </c>
    </row>
    <row r="16" spans="2:5" ht="43.7" customHeight="1">
      <c r="B16" s="10" t="s">
        <v>32</v>
      </c>
      <c r="C16" s="4" t="s">
        <v>35</v>
      </c>
      <c r="D16" s="7" t="s">
        <v>36</v>
      </c>
    </row>
    <row r="17" spans="2:5" ht="108.75" customHeight="1">
      <c r="B17" s="10" t="s">
        <v>37</v>
      </c>
      <c r="C17" s="16" t="s">
        <v>38</v>
      </c>
      <c r="D17" s="80" t="s">
        <v>39</v>
      </c>
      <c r="E17" s="81" t="s">
        <v>40</v>
      </c>
    </row>
    <row r="18" spans="2:5" ht="36" customHeight="1">
      <c r="B18" s="10" t="s">
        <v>41</v>
      </c>
      <c r="C18" s="16" t="s">
        <v>42</v>
      </c>
      <c r="D18" s="17" t="s">
        <v>43</v>
      </c>
    </row>
    <row r="19" spans="2:5" ht="36" customHeight="1">
      <c r="B19" s="10" t="s">
        <v>44</v>
      </c>
      <c r="C19" s="4" t="s">
        <v>45</v>
      </c>
      <c r="D19" s="7" t="s">
        <v>46</v>
      </c>
    </row>
    <row r="20" spans="2:5" ht="36" customHeight="1">
      <c r="B20" s="10" t="s">
        <v>47</v>
      </c>
      <c r="C20" s="4" t="s">
        <v>48</v>
      </c>
      <c r="D20" s="7" t="s">
        <v>49</v>
      </c>
    </row>
    <row r="21" spans="2:5" ht="36" customHeight="1">
      <c r="B21" s="10" t="s">
        <v>50</v>
      </c>
      <c r="C21" s="16" t="s">
        <v>51</v>
      </c>
      <c r="D21" s="7" t="s">
        <v>52</v>
      </c>
    </row>
    <row r="22" spans="2:5" ht="36" customHeight="1">
      <c r="B22" s="10" t="s">
        <v>53</v>
      </c>
      <c r="C22" s="16" t="s">
        <v>54</v>
      </c>
      <c r="D22" s="7" t="s">
        <v>55</v>
      </c>
    </row>
    <row r="23" spans="2:5" ht="36" customHeight="1">
      <c r="B23" s="10" t="s">
        <v>56</v>
      </c>
      <c r="C23" s="16" t="s">
        <v>57</v>
      </c>
      <c r="D23" s="7" t="s">
        <v>58</v>
      </c>
    </row>
    <row r="25" spans="2:5" ht="27" customHeight="1">
      <c r="B25" s="18" t="s">
        <v>59</v>
      </c>
      <c r="C25" s="18"/>
    </row>
    <row r="26" spans="2:5" ht="27" customHeight="1">
      <c r="B26" s="5" t="s">
        <v>60</v>
      </c>
      <c r="C26" s="5"/>
    </row>
    <row r="29" spans="2:5">
      <c r="D29" s="2" t="s">
        <v>61</v>
      </c>
    </row>
    <row r="30" spans="2:5">
      <c r="D30" s="2" t="s">
        <v>62</v>
      </c>
    </row>
    <row r="35" spans="2:4">
      <c r="D35" s="2" t="s">
        <v>63</v>
      </c>
    </row>
    <row r="36" spans="2:4">
      <c r="D36" s="2" t="s">
        <v>64</v>
      </c>
    </row>
    <row r="39" spans="2:4">
      <c r="B39" s="1" t="s">
        <v>65</v>
      </c>
    </row>
    <row r="40" spans="2:4" ht="46.35" customHeight="1">
      <c r="B40" s="10" t="s">
        <v>66</v>
      </c>
      <c r="C40" s="4" t="s">
        <v>67</v>
      </c>
      <c r="D40" s="17" t="s">
        <v>68</v>
      </c>
    </row>
    <row r="41" spans="2:4" ht="57.75" customHeight="1">
      <c r="B41" s="10" t="s">
        <v>69</v>
      </c>
      <c r="C41" s="4" t="s">
        <v>70</v>
      </c>
      <c r="D41" s="17" t="s">
        <v>71</v>
      </c>
    </row>
    <row r="42" spans="2:4" ht="57.75" customHeight="1">
      <c r="B42" s="10" t="s">
        <v>72</v>
      </c>
      <c r="C42" s="4" t="s">
        <v>73</v>
      </c>
      <c r="D42" s="17" t="s">
        <v>74</v>
      </c>
    </row>
    <row r="43" spans="2:4">
      <c r="B43" s="10" t="s">
        <v>75</v>
      </c>
      <c r="C43" s="4" t="s">
        <v>76</v>
      </c>
      <c r="D43" s="17" t="s">
        <v>77</v>
      </c>
    </row>
    <row r="44" spans="2:4" ht="24.95">
      <c r="B44" s="10" t="s">
        <v>78</v>
      </c>
      <c r="C44" s="4" t="s">
        <v>79</v>
      </c>
      <c r="D44" s="17" t="s">
        <v>80</v>
      </c>
    </row>
    <row r="45" spans="2:4">
      <c r="B45" s="10" t="s">
        <v>81</v>
      </c>
      <c r="C45" s="16" t="s">
        <v>82</v>
      </c>
      <c r="D45" s="17" t="s">
        <v>83</v>
      </c>
    </row>
    <row r="46" spans="2:4">
      <c r="B46" s="10" t="s">
        <v>84</v>
      </c>
      <c r="C46" s="16" t="s">
        <v>82</v>
      </c>
      <c r="D46" s="17" t="s">
        <v>85</v>
      </c>
    </row>
    <row r="47" spans="2:4">
      <c r="B47" s="10" t="s">
        <v>86</v>
      </c>
      <c r="C47" s="16" t="s">
        <v>82</v>
      </c>
      <c r="D47" s="17" t="s">
        <v>74</v>
      </c>
    </row>
    <row r="48" spans="2:4" ht="37.5">
      <c r="B48" s="10" t="s">
        <v>87</v>
      </c>
      <c r="C48" s="4" t="s">
        <v>88</v>
      </c>
      <c r="D48" s="17" t="s">
        <v>89</v>
      </c>
    </row>
    <row r="49" spans="2:5">
      <c r="B49" s="10" t="s">
        <v>90</v>
      </c>
      <c r="C49" s="4" t="s">
        <v>91</v>
      </c>
      <c r="D49" s="17" t="s">
        <v>89</v>
      </c>
    </row>
    <row r="50" spans="2:5" ht="24.95">
      <c r="B50" s="10" t="s">
        <v>92</v>
      </c>
      <c r="C50" s="4" t="s">
        <v>93</v>
      </c>
      <c r="D50" s="17" t="s">
        <v>94</v>
      </c>
    </row>
    <row r="51" spans="2:5">
      <c r="B51" s="10" t="s">
        <v>56</v>
      </c>
      <c r="C51" s="16" t="s">
        <v>95</v>
      </c>
      <c r="D51" s="17" t="s">
        <v>96</v>
      </c>
    </row>
    <row r="52" spans="2:5" ht="59.25" customHeight="1">
      <c r="B52" s="10" t="s">
        <v>97</v>
      </c>
      <c r="C52" s="16" t="s">
        <v>98</v>
      </c>
      <c r="D52" s="17" t="s">
        <v>99</v>
      </c>
      <c r="E52" s="81" t="s">
        <v>100</v>
      </c>
    </row>
  </sheetData>
  <pageMargins left="0" right="0" top="0.75" bottom="0.25" header="0.3" footer="0.3"/>
  <pageSetup scale="95" fitToHeight="3"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5F64-4760-164A-9121-F537732E9949}">
  <dimension ref="B1:C23"/>
  <sheetViews>
    <sheetView workbookViewId="0">
      <selection activeCell="B5" sqref="B5"/>
    </sheetView>
  </sheetViews>
  <sheetFormatPr defaultColWidth="10.85546875" defaultRowHeight="14.45"/>
  <cols>
    <col min="1" max="1" width="2.42578125" customWidth="1"/>
    <col min="2" max="2" width="86.42578125" customWidth="1"/>
    <col min="3" max="3" width="102.5703125" customWidth="1"/>
  </cols>
  <sheetData>
    <row r="1" spans="2:3" ht="23.45">
      <c r="B1" s="24"/>
      <c r="C1" s="24"/>
    </row>
    <row r="2" spans="2:3" ht="24" thickBot="1">
      <c r="B2" s="24"/>
      <c r="C2" s="24"/>
    </row>
    <row r="3" spans="2:3" ht="23.45" thickBot="1">
      <c r="B3" s="25" t="s">
        <v>1</v>
      </c>
      <c r="C3" s="25" t="s">
        <v>2</v>
      </c>
    </row>
    <row r="4" spans="2:3" s="82" customFormat="1" ht="47.25">
      <c r="B4" s="26" t="s">
        <v>101</v>
      </c>
      <c r="C4" s="84" t="s">
        <v>102</v>
      </c>
    </row>
    <row r="5" spans="2:3" s="82" customFormat="1" ht="90.75">
      <c r="B5" s="27" t="s">
        <v>103</v>
      </c>
      <c r="C5" s="85" t="s">
        <v>104</v>
      </c>
    </row>
    <row r="6" spans="2:3" s="82" customFormat="1" ht="47.25">
      <c r="B6" s="27" t="s">
        <v>105</v>
      </c>
      <c r="C6" s="85" t="s">
        <v>106</v>
      </c>
    </row>
    <row r="7" spans="2:3" s="82" customFormat="1" ht="45.75">
      <c r="B7" s="27" t="s">
        <v>107</v>
      </c>
      <c r="C7" s="85" t="s">
        <v>108</v>
      </c>
    </row>
    <row r="8" spans="2:3" s="82" customFormat="1" ht="24">
      <c r="B8" s="27" t="s">
        <v>109</v>
      </c>
      <c r="C8" s="85" t="s">
        <v>110</v>
      </c>
    </row>
    <row r="9" spans="2:3" ht="23.45">
      <c r="B9" s="27"/>
      <c r="C9" s="28"/>
    </row>
    <row r="10" spans="2:3" ht="23.45">
      <c r="B10" s="27"/>
      <c r="C10" s="28"/>
    </row>
    <row r="11" spans="2:3" ht="23.45">
      <c r="B11" s="27"/>
      <c r="C11" s="28"/>
    </row>
    <row r="12" spans="2:3" ht="23.45">
      <c r="B12" s="29"/>
      <c r="C12" s="30"/>
    </row>
    <row r="13" spans="2:3" ht="23.45">
      <c r="B13" s="24"/>
      <c r="C13" s="24"/>
    </row>
    <row r="14" spans="2:3" ht="23.45">
      <c r="B14" s="24"/>
      <c r="C14" s="24"/>
    </row>
    <row r="15" spans="2:3" ht="23.45">
      <c r="B15" s="24"/>
      <c r="C15" s="24"/>
    </row>
    <row r="16" spans="2:3" ht="23.45">
      <c r="B16" s="24"/>
      <c r="C16" s="24"/>
    </row>
    <row r="17" spans="2:3" ht="23.45">
      <c r="B17" s="24"/>
      <c r="C17" s="24"/>
    </row>
    <row r="18" spans="2:3" ht="23.45">
      <c r="B18" s="24"/>
      <c r="C18" s="24"/>
    </row>
    <row r="19" spans="2:3" ht="23.45">
      <c r="B19" s="24"/>
      <c r="C19" s="24"/>
    </row>
    <row r="20" spans="2:3" ht="23.45">
      <c r="B20" s="24"/>
      <c r="C20" s="24"/>
    </row>
    <row r="21" spans="2:3" ht="23.45">
      <c r="B21" s="24"/>
      <c r="C21" s="24"/>
    </row>
    <row r="22" spans="2:3" ht="23.45">
      <c r="B22" s="24"/>
      <c r="C22" s="24"/>
    </row>
    <row r="23" spans="2:3" ht="23.45">
      <c r="B23" s="24"/>
      <c r="C23"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DC65A-5216-48BA-949C-C03FEAFB15EF}">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F30F-CBDF-4F34-9C07-170D617FE668}">
  <sheetPr>
    <pageSetUpPr fitToPage="1"/>
  </sheetPr>
  <dimension ref="A1:D33"/>
  <sheetViews>
    <sheetView tabSelected="1" topLeftCell="B14" zoomScale="55" zoomScaleNormal="55" workbookViewId="0">
      <selection activeCell="D20" sqref="D20"/>
    </sheetView>
  </sheetViews>
  <sheetFormatPr defaultColWidth="8.5703125" defaultRowHeight="12.6"/>
  <cols>
    <col min="1" max="1" width="8.5703125" style="22"/>
    <col min="2" max="2" width="52" style="22" customWidth="1"/>
    <col min="3" max="3" width="72.140625" style="22" customWidth="1"/>
    <col min="4" max="4" width="121.42578125" style="22" customWidth="1"/>
    <col min="5" max="5" width="49.42578125" style="22" customWidth="1"/>
    <col min="6" max="11" width="15.5703125" style="22" customWidth="1"/>
    <col min="12" max="16384" width="8.5703125" style="22"/>
  </cols>
  <sheetData>
    <row r="1" spans="1:4" ht="22.5">
      <c r="A1" s="50"/>
      <c r="B1" s="50"/>
      <c r="C1" s="50"/>
      <c r="D1" s="50"/>
    </row>
    <row r="2" spans="1:4" ht="22.5">
      <c r="A2" s="50"/>
      <c r="B2" s="50"/>
      <c r="C2" s="50"/>
      <c r="D2" s="50"/>
    </row>
    <row r="3" spans="1:4" ht="23.45" thickBot="1">
      <c r="A3" s="50"/>
      <c r="B3" s="51" t="s">
        <v>111</v>
      </c>
      <c r="C3" s="52"/>
      <c r="D3" s="53"/>
    </row>
    <row r="4" spans="1:4" ht="23.1">
      <c r="A4" s="50"/>
      <c r="B4" s="54" t="s">
        <v>0</v>
      </c>
      <c r="C4" s="54" t="s">
        <v>1</v>
      </c>
      <c r="D4" s="54" t="s">
        <v>2</v>
      </c>
    </row>
    <row r="5" spans="1:4" ht="47.25">
      <c r="A5" s="50"/>
      <c r="B5" s="55" t="s">
        <v>112</v>
      </c>
      <c r="C5" s="56" t="s">
        <v>113</v>
      </c>
      <c r="D5" s="87" t="s">
        <v>114</v>
      </c>
    </row>
    <row r="6" spans="1:4" ht="137.25" customHeight="1">
      <c r="A6" s="50"/>
      <c r="B6" s="55" t="s">
        <v>115</v>
      </c>
      <c r="C6" s="56" t="s">
        <v>116</v>
      </c>
      <c r="D6" s="98" t="s">
        <v>117</v>
      </c>
    </row>
    <row r="7" spans="1:4" ht="71.25">
      <c r="A7" s="50"/>
      <c r="B7" s="57" t="s">
        <v>118</v>
      </c>
      <c r="C7" s="58" t="s">
        <v>119</v>
      </c>
      <c r="D7" s="88" t="s">
        <v>120</v>
      </c>
    </row>
    <row r="8" spans="1:4" ht="118.5">
      <c r="A8" s="50"/>
      <c r="B8" s="57" t="s">
        <v>118</v>
      </c>
      <c r="C8" s="58" t="s">
        <v>121</v>
      </c>
      <c r="D8" s="88" t="s">
        <v>120</v>
      </c>
    </row>
    <row r="9" spans="1:4" ht="47.25">
      <c r="A9" s="50"/>
      <c r="B9" s="59" t="s">
        <v>122</v>
      </c>
      <c r="C9" s="60" t="s">
        <v>123</v>
      </c>
      <c r="D9" s="89" t="s">
        <v>124</v>
      </c>
    </row>
    <row r="10" spans="1:4" ht="47.25">
      <c r="A10" s="50"/>
      <c r="B10" s="61"/>
      <c r="C10" s="62" t="s">
        <v>125</v>
      </c>
      <c r="D10" s="90" t="s">
        <v>126</v>
      </c>
    </row>
    <row r="11" spans="1:4" ht="24">
      <c r="A11" s="50"/>
      <c r="B11" s="63" t="s">
        <v>127</v>
      </c>
      <c r="C11" s="60" t="s">
        <v>128</v>
      </c>
      <c r="D11" s="91" t="s">
        <v>129</v>
      </c>
    </row>
    <row r="12" spans="1:4" ht="71.25">
      <c r="A12" s="50"/>
      <c r="B12" s="64"/>
      <c r="C12" s="65" t="s">
        <v>130</v>
      </c>
      <c r="D12" s="92" t="s">
        <v>131</v>
      </c>
    </row>
    <row r="13" spans="1:4" ht="24">
      <c r="A13" s="50"/>
      <c r="B13" s="66" t="s">
        <v>132</v>
      </c>
      <c r="C13" s="60" t="s">
        <v>133</v>
      </c>
      <c r="D13" s="91"/>
    </row>
    <row r="14" spans="1:4" ht="24">
      <c r="A14" s="50"/>
      <c r="B14" s="64"/>
      <c r="C14" s="65" t="s">
        <v>134</v>
      </c>
      <c r="D14" s="92" t="s">
        <v>135</v>
      </c>
    </row>
    <row r="15" spans="1:4" ht="47.25">
      <c r="A15" s="50"/>
      <c r="B15" s="64"/>
      <c r="C15" s="65" t="s">
        <v>136</v>
      </c>
      <c r="D15" s="92" t="s">
        <v>137</v>
      </c>
    </row>
    <row r="16" spans="1:4" ht="47.25">
      <c r="A16" s="50"/>
      <c r="B16" s="64"/>
      <c r="C16" s="65" t="s">
        <v>138</v>
      </c>
      <c r="D16" s="92" t="s">
        <v>139</v>
      </c>
    </row>
    <row r="17" spans="1:4" ht="24">
      <c r="A17" s="50"/>
      <c r="B17" s="64"/>
      <c r="C17" s="65" t="s">
        <v>140</v>
      </c>
      <c r="D17" s="92" t="s">
        <v>141</v>
      </c>
    </row>
    <row r="18" spans="1:4" ht="23.25">
      <c r="A18" s="50"/>
      <c r="B18" s="66" t="s">
        <v>142</v>
      </c>
      <c r="C18" s="67"/>
      <c r="D18" s="91"/>
    </row>
    <row r="19" spans="1:4" ht="143.25">
      <c r="A19" s="50"/>
      <c r="B19" s="68"/>
      <c r="C19" s="62" t="s">
        <v>143</v>
      </c>
      <c r="D19" s="93" t="s">
        <v>144</v>
      </c>
    </row>
    <row r="20" spans="1:4" ht="23.25">
      <c r="A20" s="50"/>
      <c r="B20" s="50"/>
      <c r="C20" s="50"/>
      <c r="D20" s="94"/>
    </row>
    <row r="21" spans="1:4" ht="23.25">
      <c r="A21" s="50"/>
      <c r="B21" s="50"/>
      <c r="C21" s="50"/>
      <c r="D21" s="94"/>
    </row>
    <row r="22" spans="1:4" ht="23.25">
      <c r="A22" s="50"/>
      <c r="B22" s="69" t="s">
        <v>145</v>
      </c>
      <c r="C22" s="70"/>
      <c r="D22" s="95"/>
    </row>
    <row r="23" spans="1:4" ht="23.25">
      <c r="A23" s="50"/>
      <c r="B23" s="54" t="s">
        <v>0</v>
      </c>
      <c r="C23" s="54" t="s">
        <v>1</v>
      </c>
      <c r="D23" s="96" t="s">
        <v>2</v>
      </c>
    </row>
    <row r="24" spans="1:4" ht="47.25">
      <c r="A24" s="50"/>
      <c r="B24" s="71" t="s">
        <v>146</v>
      </c>
      <c r="C24" s="72" t="s">
        <v>147</v>
      </c>
      <c r="D24" s="97"/>
    </row>
    <row r="25" spans="1:4" ht="130.5" customHeight="1">
      <c r="A25" s="50"/>
      <c r="B25" s="71" t="s">
        <v>148</v>
      </c>
      <c r="C25" s="72" t="s">
        <v>149</v>
      </c>
      <c r="D25" s="97" t="s">
        <v>150</v>
      </c>
    </row>
    <row r="26" spans="1:4" ht="98.25" customHeight="1">
      <c r="A26" s="50"/>
      <c r="B26" s="71" t="s">
        <v>151</v>
      </c>
      <c r="C26" s="72" t="s">
        <v>152</v>
      </c>
      <c r="D26" s="97" t="s">
        <v>153</v>
      </c>
    </row>
    <row r="27" spans="1:4" ht="110.25" customHeight="1">
      <c r="A27" s="50"/>
      <c r="B27" s="71" t="s">
        <v>151</v>
      </c>
      <c r="C27" s="72" t="s">
        <v>154</v>
      </c>
      <c r="D27" s="97" t="s">
        <v>155</v>
      </c>
    </row>
    <row r="28" spans="1:4" ht="239.25" customHeight="1">
      <c r="A28" s="50"/>
      <c r="B28" s="71" t="s">
        <v>156</v>
      </c>
      <c r="C28" s="72" t="s">
        <v>157</v>
      </c>
      <c r="D28" s="97" t="s">
        <v>158</v>
      </c>
    </row>
    <row r="29" spans="1:4" ht="52.5" customHeight="1">
      <c r="A29" s="50"/>
      <c r="B29" s="71" t="s">
        <v>159</v>
      </c>
      <c r="C29" s="72" t="s">
        <v>160</v>
      </c>
      <c r="D29" s="97" t="s">
        <v>161</v>
      </c>
    </row>
    <row r="30" spans="1:4" ht="47.25">
      <c r="A30" s="50"/>
      <c r="B30" s="59" t="s">
        <v>162</v>
      </c>
      <c r="C30" s="60" t="s">
        <v>163</v>
      </c>
      <c r="D30" s="89" t="s">
        <v>164</v>
      </c>
    </row>
    <row r="31" spans="1:4" ht="63.95" customHeight="1">
      <c r="A31" s="50"/>
      <c r="B31" s="68"/>
      <c r="C31" s="73" t="s">
        <v>165</v>
      </c>
      <c r="D31" s="90" t="s">
        <v>166</v>
      </c>
    </row>
    <row r="32" spans="1:4" ht="35.450000000000003" customHeight="1">
      <c r="A32" s="50"/>
      <c r="B32" s="50"/>
      <c r="C32" s="50"/>
      <c r="D32" s="74"/>
    </row>
    <row r="33" ht="22.7" customHeight="1"/>
  </sheetData>
  <pageMargins left="0" right="0" top="0.75" bottom="0.5" header="0.3" footer="0.3"/>
  <pageSetup scale="96" fitToHeight="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3A07D-8662-4606-935D-F7616C6D764E}">
  <dimension ref="A1:K10"/>
  <sheetViews>
    <sheetView workbookViewId="0">
      <selection activeCell="A10" sqref="A10"/>
    </sheetView>
  </sheetViews>
  <sheetFormatPr defaultColWidth="8.85546875" defaultRowHeight="14.45"/>
  <cols>
    <col min="1" max="1" width="30.140625" customWidth="1"/>
    <col min="2" max="11" width="18.5703125" customWidth="1"/>
  </cols>
  <sheetData>
    <row r="1" spans="1:11" ht="47.1" customHeight="1">
      <c r="A1" s="31" t="s">
        <v>167</v>
      </c>
      <c r="B1" s="99" t="s">
        <v>168</v>
      </c>
      <c r="C1" s="99"/>
      <c r="D1" s="99" t="s">
        <v>169</v>
      </c>
      <c r="E1" s="99"/>
      <c r="F1" s="99" t="s">
        <v>170</v>
      </c>
      <c r="G1" s="99"/>
      <c r="H1" s="99" t="s">
        <v>171</v>
      </c>
      <c r="I1" s="99"/>
      <c r="J1" s="99" t="s">
        <v>172</v>
      </c>
      <c r="K1" s="100"/>
    </row>
    <row r="2" spans="1:11" ht="47.1">
      <c r="A2" s="32" t="s">
        <v>173</v>
      </c>
      <c r="B2" s="33" t="s">
        <v>174</v>
      </c>
      <c r="C2" s="33" t="s">
        <v>175</v>
      </c>
      <c r="D2" s="33" t="s">
        <v>174</v>
      </c>
      <c r="E2" s="33" t="s">
        <v>175</v>
      </c>
      <c r="F2" s="33" t="s">
        <v>174</v>
      </c>
      <c r="G2" s="33" t="s">
        <v>175</v>
      </c>
      <c r="H2" s="33" t="s">
        <v>174</v>
      </c>
      <c r="I2" s="33" t="s">
        <v>175</v>
      </c>
      <c r="J2" s="33" t="s">
        <v>174</v>
      </c>
      <c r="K2" s="34" t="s">
        <v>175</v>
      </c>
    </row>
    <row r="3" spans="1:11" ht="23.45">
      <c r="A3" s="35" t="s">
        <v>176</v>
      </c>
      <c r="B3" s="36"/>
      <c r="C3" s="37"/>
      <c r="D3" s="36"/>
      <c r="E3" s="37"/>
      <c r="F3" s="36"/>
      <c r="G3" s="37"/>
      <c r="H3" s="36"/>
      <c r="I3" s="37"/>
      <c r="J3" s="36"/>
      <c r="K3" s="38"/>
    </row>
    <row r="4" spans="1:11" ht="23.45">
      <c r="A4" s="35" t="s">
        <v>177</v>
      </c>
      <c r="B4" s="36"/>
      <c r="C4" s="37"/>
      <c r="D4" s="36"/>
      <c r="E4" s="37"/>
      <c r="F4" s="36"/>
      <c r="G4" s="37"/>
      <c r="H4" s="36"/>
      <c r="I4" s="37"/>
      <c r="J4" s="36"/>
      <c r="K4" s="38"/>
    </row>
    <row r="5" spans="1:11" ht="23.45">
      <c r="A5" s="35" t="s">
        <v>178</v>
      </c>
      <c r="B5" s="36"/>
      <c r="C5" s="37"/>
      <c r="D5" s="36"/>
      <c r="E5" s="37"/>
      <c r="F5" s="36"/>
      <c r="G5" s="37"/>
      <c r="H5" s="36"/>
      <c r="I5" s="37"/>
      <c r="J5" s="36"/>
      <c r="K5" s="38"/>
    </row>
    <row r="6" spans="1:11" ht="23.45">
      <c r="A6" s="35" t="s">
        <v>179</v>
      </c>
      <c r="B6" s="36"/>
      <c r="C6" s="37"/>
      <c r="D6" s="36"/>
      <c r="E6" s="37"/>
      <c r="F6" s="36"/>
      <c r="G6" s="37"/>
      <c r="H6" s="36"/>
      <c r="I6" s="37"/>
      <c r="J6" s="36"/>
      <c r="K6" s="38"/>
    </row>
    <row r="7" spans="1:11" ht="24" thickBot="1">
      <c r="A7" s="39" t="s">
        <v>180</v>
      </c>
      <c r="B7" s="40"/>
      <c r="C7" s="41"/>
      <c r="D7" s="40"/>
      <c r="E7" s="41"/>
      <c r="F7" s="40"/>
      <c r="G7" s="41"/>
      <c r="H7" s="40"/>
      <c r="I7" s="41"/>
      <c r="J7" s="40"/>
      <c r="K7" s="42"/>
    </row>
    <row r="8" spans="1:11" ht="24.6" thickTop="1" thickBot="1">
      <c r="A8" s="43" t="s">
        <v>181</v>
      </c>
      <c r="B8" s="44"/>
      <c r="C8" s="45"/>
      <c r="D8" s="44"/>
      <c r="E8" s="45"/>
      <c r="F8" s="44"/>
      <c r="G8" s="45"/>
      <c r="H8" s="44"/>
      <c r="I8" s="45"/>
      <c r="J8" s="44"/>
      <c r="K8" s="46"/>
    </row>
    <row r="9" spans="1:11">
      <c r="A9" s="23"/>
      <c r="B9" t="s">
        <v>182</v>
      </c>
    </row>
    <row r="10" spans="1:11">
      <c r="B10" t="s">
        <v>183</v>
      </c>
    </row>
  </sheetData>
  <mergeCells count="5">
    <mergeCell ref="B1:C1"/>
    <mergeCell ref="D1:E1"/>
    <mergeCell ref="F1:G1"/>
    <mergeCell ref="H1:I1"/>
    <mergeCell ref="J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EAFD-23BC-4F0B-A81E-8350556971BB}">
  <sheetPr>
    <pageSetUpPr fitToPage="1"/>
  </sheetPr>
  <dimension ref="A1:O51"/>
  <sheetViews>
    <sheetView zoomScale="55" zoomScaleNormal="55" workbookViewId="0">
      <selection activeCell="A2" sqref="A2"/>
    </sheetView>
  </sheetViews>
  <sheetFormatPr defaultColWidth="8.85546875" defaultRowHeight="28.5"/>
  <cols>
    <col min="1" max="1" width="20.28515625" style="79" customWidth="1"/>
    <col min="2" max="4" width="20.28515625" style="19" customWidth="1"/>
    <col min="5" max="9" width="20.28515625" style="20" customWidth="1"/>
    <col min="10" max="11" width="20.28515625" style="19" customWidth="1"/>
    <col min="12" max="12" width="20.28515625" style="21" customWidth="1"/>
    <col min="13" max="15" width="20.28515625" style="19" customWidth="1"/>
    <col min="16" max="16384" width="8.85546875" style="19"/>
  </cols>
  <sheetData>
    <row r="1" spans="1:15" ht="88.5">
      <c r="A1" s="86" t="s">
        <v>184</v>
      </c>
      <c r="B1" s="75" t="s">
        <v>185</v>
      </c>
      <c r="C1" s="75" t="s">
        <v>186</v>
      </c>
      <c r="D1" s="75" t="s">
        <v>187</v>
      </c>
      <c r="E1" s="76" t="s">
        <v>188</v>
      </c>
      <c r="F1" s="76" t="s">
        <v>189</v>
      </c>
      <c r="G1" s="76" t="s">
        <v>190</v>
      </c>
      <c r="H1" s="76" t="s">
        <v>191</v>
      </c>
      <c r="I1" s="76" t="s">
        <v>192</v>
      </c>
      <c r="J1" s="75" t="s">
        <v>193</v>
      </c>
      <c r="K1" s="75" t="s">
        <v>127</v>
      </c>
      <c r="L1" s="77" t="s">
        <v>194</v>
      </c>
      <c r="M1" s="75" t="s">
        <v>195</v>
      </c>
      <c r="N1" s="75" t="s">
        <v>196</v>
      </c>
      <c r="O1" s="75" t="s">
        <v>197</v>
      </c>
    </row>
    <row r="2" spans="1:15">
      <c r="A2" s="78">
        <v>1</v>
      </c>
      <c r="B2" s="47"/>
      <c r="C2" s="47"/>
      <c r="D2" s="47"/>
      <c r="E2" s="48"/>
      <c r="F2" s="48"/>
      <c r="G2" s="48"/>
      <c r="H2" s="48"/>
      <c r="I2" s="48"/>
      <c r="J2" s="47"/>
      <c r="K2" s="47"/>
      <c r="L2" s="49"/>
      <c r="M2" s="47"/>
      <c r="N2" s="47"/>
      <c r="O2" s="47"/>
    </row>
    <row r="3" spans="1:15">
      <c r="A3" s="78">
        <f>1+A2</f>
        <v>2</v>
      </c>
      <c r="B3" s="47"/>
      <c r="C3" s="47"/>
      <c r="D3" s="47"/>
      <c r="E3" s="48"/>
      <c r="F3" s="48"/>
      <c r="G3" s="48"/>
      <c r="H3" s="48"/>
      <c r="I3" s="48"/>
      <c r="J3" s="47"/>
      <c r="K3" s="47"/>
      <c r="L3" s="49"/>
      <c r="M3" s="47"/>
      <c r="N3" s="47"/>
      <c r="O3" s="47"/>
    </row>
    <row r="4" spans="1:15">
      <c r="A4" s="78">
        <f t="shared" ref="A4:A51" si="0">1+A3</f>
        <v>3</v>
      </c>
      <c r="B4" s="47"/>
      <c r="C4" s="47"/>
      <c r="D4" s="47"/>
      <c r="E4" s="48"/>
      <c r="F4" s="48"/>
      <c r="G4" s="48"/>
      <c r="H4" s="48"/>
      <c r="I4" s="48"/>
      <c r="J4" s="47"/>
      <c r="K4" s="47"/>
      <c r="L4" s="49"/>
      <c r="M4" s="47"/>
      <c r="N4" s="47"/>
      <c r="O4" s="47"/>
    </row>
    <row r="5" spans="1:15">
      <c r="A5" s="78">
        <f t="shared" si="0"/>
        <v>4</v>
      </c>
      <c r="B5" s="47"/>
      <c r="C5" s="47"/>
      <c r="D5" s="47"/>
      <c r="E5" s="48"/>
      <c r="F5" s="48"/>
      <c r="G5" s="48"/>
      <c r="H5" s="48"/>
      <c r="I5" s="48"/>
      <c r="J5" s="47"/>
      <c r="K5" s="47"/>
      <c r="L5" s="49"/>
      <c r="M5" s="47"/>
      <c r="N5" s="47"/>
      <c r="O5" s="47"/>
    </row>
    <row r="6" spans="1:15">
      <c r="A6" s="78">
        <f t="shared" si="0"/>
        <v>5</v>
      </c>
      <c r="B6" s="47"/>
      <c r="C6" s="47"/>
      <c r="D6" s="47"/>
      <c r="E6" s="48"/>
      <c r="F6" s="48"/>
      <c r="G6" s="48"/>
      <c r="H6" s="48"/>
      <c r="I6" s="48"/>
      <c r="J6" s="47"/>
      <c r="K6" s="47"/>
      <c r="L6" s="49"/>
      <c r="M6" s="47"/>
      <c r="N6" s="47"/>
      <c r="O6" s="47"/>
    </row>
    <row r="7" spans="1:15">
      <c r="A7" s="78">
        <f t="shared" si="0"/>
        <v>6</v>
      </c>
      <c r="B7" s="47"/>
      <c r="C7" s="47"/>
      <c r="D7" s="47"/>
      <c r="E7" s="48"/>
      <c r="F7" s="48"/>
      <c r="G7" s="48"/>
      <c r="H7" s="48"/>
      <c r="I7" s="48"/>
      <c r="J7" s="47"/>
      <c r="K7" s="47"/>
      <c r="L7" s="49"/>
      <c r="M7" s="47"/>
      <c r="N7" s="47"/>
      <c r="O7" s="47"/>
    </row>
    <row r="8" spans="1:15">
      <c r="A8" s="78">
        <f t="shared" si="0"/>
        <v>7</v>
      </c>
      <c r="B8" s="47"/>
      <c r="C8" s="47"/>
      <c r="D8" s="47"/>
      <c r="E8" s="48"/>
      <c r="F8" s="48"/>
      <c r="G8" s="48"/>
      <c r="H8" s="48"/>
      <c r="I8" s="48"/>
      <c r="J8" s="47"/>
      <c r="K8" s="47"/>
      <c r="L8" s="49"/>
      <c r="M8" s="47"/>
      <c r="N8" s="47"/>
      <c r="O8" s="47"/>
    </row>
    <row r="9" spans="1:15">
      <c r="A9" s="78">
        <f t="shared" si="0"/>
        <v>8</v>
      </c>
      <c r="B9" s="47"/>
      <c r="C9" s="47"/>
      <c r="D9" s="47"/>
      <c r="E9" s="48"/>
      <c r="F9" s="48"/>
      <c r="G9" s="48"/>
      <c r="H9" s="48"/>
      <c r="I9" s="48"/>
      <c r="J9" s="47"/>
      <c r="K9" s="47"/>
      <c r="L9" s="49"/>
      <c r="M9" s="47"/>
      <c r="N9" s="47"/>
      <c r="O9" s="47"/>
    </row>
    <row r="10" spans="1:15">
      <c r="A10" s="78">
        <f t="shared" si="0"/>
        <v>9</v>
      </c>
      <c r="B10" s="47"/>
      <c r="C10" s="47"/>
      <c r="D10" s="47"/>
      <c r="E10" s="48"/>
      <c r="F10" s="48"/>
      <c r="G10" s="48"/>
      <c r="H10" s="48"/>
      <c r="I10" s="48"/>
      <c r="J10" s="47"/>
      <c r="K10" s="47"/>
      <c r="L10" s="49"/>
      <c r="M10" s="47"/>
      <c r="N10" s="47"/>
      <c r="O10" s="47"/>
    </row>
    <row r="11" spans="1:15">
      <c r="A11" s="78">
        <f t="shared" si="0"/>
        <v>10</v>
      </c>
      <c r="B11" s="47"/>
      <c r="C11" s="47"/>
      <c r="D11" s="47"/>
      <c r="E11" s="48"/>
      <c r="F11" s="48"/>
      <c r="G11" s="48"/>
      <c r="H11" s="48"/>
      <c r="I11" s="48"/>
      <c r="J11" s="47"/>
      <c r="K11" s="47"/>
      <c r="L11" s="49"/>
      <c r="M11" s="47"/>
      <c r="N11" s="47"/>
      <c r="O11" s="47"/>
    </row>
    <row r="12" spans="1:15">
      <c r="A12" s="78">
        <f t="shared" si="0"/>
        <v>11</v>
      </c>
      <c r="B12" s="47"/>
      <c r="C12" s="47"/>
      <c r="D12" s="47"/>
      <c r="E12" s="48"/>
      <c r="F12" s="48"/>
      <c r="G12" s="48"/>
      <c r="H12" s="48"/>
      <c r="I12" s="48"/>
      <c r="J12" s="47"/>
      <c r="K12" s="47"/>
      <c r="L12" s="49"/>
      <c r="M12" s="47"/>
      <c r="N12" s="47"/>
      <c r="O12" s="47"/>
    </row>
    <row r="13" spans="1:15">
      <c r="A13" s="78">
        <f t="shared" si="0"/>
        <v>12</v>
      </c>
      <c r="B13" s="47"/>
      <c r="C13" s="47"/>
      <c r="D13" s="47"/>
      <c r="E13" s="48"/>
      <c r="F13" s="48"/>
      <c r="G13" s="48"/>
      <c r="H13" s="48"/>
      <c r="I13" s="48"/>
      <c r="J13" s="47"/>
      <c r="K13" s="47"/>
      <c r="L13" s="49"/>
      <c r="M13" s="47"/>
      <c r="N13" s="47"/>
      <c r="O13" s="47"/>
    </row>
    <row r="14" spans="1:15">
      <c r="A14" s="78">
        <f t="shared" si="0"/>
        <v>13</v>
      </c>
      <c r="B14" s="47"/>
      <c r="C14" s="47"/>
      <c r="D14" s="47"/>
      <c r="E14" s="48"/>
      <c r="F14" s="48"/>
      <c r="G14" s="48"/>
      <c r="H14" s="48"/>
      <c r="I14" s="48"/>
      <c r="J14" s="47"/>
      <c r="K14" s="47"/>
      <c r="L14" s="49"/>
      <c r="M14" s="47"/>
      <c r="N14" s="47"/>
      <c r="O14" s="47"/>
    </row>
    <row r="15" spans="1:15">
      <c r="A15" s="78">
        <f t="shared" si="0"/>
        <v>14</v>
      </c>
      <c r="B15" s="47"/>
      <c r="C15" s="47"/>
      <c r="D15" s="47"/>
      <c r="E15" s="48"/>
      <c r="F15" s="48"/>
      <c r="G15" s="48"/>
      <c r="H15" s="48"/>
      <c r="I15" s="48"/>
      <c r="J15" s="47"/>
      <c r="K15" s="47"/>
      <c r="L15" s="49"/>
      <c r="M15" s="47"/>
      <c r="N15" s="47"/>
      <c r="O15" s="47"/>
    </row>
    <row r="16" spans="1:15">
      <c r="A16" s="78">
        <f t="shared" si="0"/>
        <v>15</v>
      </c>
      <c r="B16" s="47"/>
      <c r="C16" s="47"/>
      <c r="D16" s="47"/>
      <c r="E16" s="48"/>
      <c r="F16" s="48"/>
      <c r="G16" s="48"/>
      <c r="H16" s="48"/>
      <c r="I16" s="48"/>
      <c r="J16" s="47"/>
      <c r="K16" s="47"/>
      <c r="L16" s="49"/>
      <c r="M16" s="47"/>
      <c r="N16" s="47"/>
      <c r="O16" s="47"/>
    </row>
    <row r="17" spans="1:15">
      <c r="A17" s="78">
        <f t="shared" si="0"/>
        <v>16</v>
      </c>
      <c r="B17" s="47"/>
      <c r="C17" s="47"/>
      <c r="D17" s="47"/>
      <c r="E17" s="48"/>
      <c r="F17" s="48"/>
      <c r="G17" s="48"/>
      <c r="H17" s="48"/>
      <c r="I17" s="48"/>
      <c r="J17" s="47"/>
      <c r="K17" s="47"/>
      <c r="L17" s="49"/>
      <c r="M17" s="47"/>
      <c r="N17" s="47"/>
      <c r="O17" s="47"/>
    </row>
    <row r="18" spans="1:15">
      <c r="A18" s="78">
        <f t="shared" si="0"/>
        <v>17</v>
      </c>
      <c r="B18" s="47"/>
      <c r="C18" s="47"/>
      <c r="D18" s="47"/>
      <c r="E18" s="48"/>
      <c r="F18" s="48"/>
      <c r="G18" s="48"/>
      <c r="H18" s="48"/>
      <c r="I18" s="48"/>
      <c r="J18" s="47"/>
      <c r="K18" s="47"/>
      <c r="L18" s="49"/>
      <c r="M18" s="47"/>
      <c r="N18" s="47"/>
      <c r="O18" s="47"/>
    </row>
    <row r="19" spans="1:15">
      <c r="A19" s="78">
        <f t="shared" si="0"/>
        <v>18</v>
      </c>
      <c r="B19" s="47"/>
      <c r="C19" s="47"/>
      <c r="D19" s="47"/>
      <c r="E19" s="48"/>
      <c r="F19" s="48"/>
      <c r="G19" s="48"/>
      <c r="H19" s="48"/>
      <c r="I19" s="48"/>
      <c r="J19" s="47"/>
      <c r="K19" s="47"/>
      <c r="L19" s="49"/>
      <c r="M19" s="47"/>
      <c r="N19" s="47"/>
      <c r="O19" s="47"/>
    </row>
    <row r="20" spans="1:15">
      <c r="A20" s="78">
        <f t="shared" si="0"/>
        <v>19</v>
      </c>
      <c r="B20" s="47"/>
      <c r="C20" s="47"/>
      <c r="D20" s="47"/>
      <c r="E20" s="48"/>
      <c r="F20" s="48"/>
      <c r="G20" s="48"/>
      <c r="H20" s="48"/>
      <c r="I20" s="48"/>
      <c r="J20" s="47"/>
      <c r="K20" s="47"/>
      <c r="L20" s="49"/>
      <c r="M20" s="47"/>
      <c r="N20" s="47"/>
      <c r="O20" s="47"/>
    </row>
    <row r="21" spans="1:15">
      <c r="A21" s="78">
        <f t="shared" si="0"/>
        <v>20</v>
      </c>
      <c r="B21" s="47"/>
      <c r="C21" s="47"/>
      <c r="D21" s="47"/>
      <c r="E21" s="48"/>
      <c r="F21" s="48"/>
      <c r="G21" s="48"/>
      <c r="H21" s="48"/>
      <c r="I21" s="48"/>
      <c r="J21" s="47"/>
      <c r="K21" s="47"/>
      <c r="L21" s="49"/>
      <c r="M21" s="47"/>
      <c r="N21" s="47"/>
      <c r="O21" s="47"/>
    </row>
    <row r="22" spans="1:15">
      <c r="A22" s="78">
        <f t="shared" si="0"/>
        <v>21</v>
      </c>
      <c r="B22" s="47"/>
      <c r="C22" s="47"/>
      <c r="D22" s="47"/>
      <c r="E22" s="48"/>
      <c r="F22" s="48"/>
      <c r="G22" s="48"/>
      <c r="H22" s="48"/>
      <c r="I22" s="48"/>
      <c r="J22" s="47"/>
      <c r="K22" s="47"/>
      <c r="L22" s="49"/>
      <c r="M22" s="47"/>
      <c r="N22" s="47"/>
      <c r="O22" s="47"/>
    </row>
    <row r="23" spans="1:15">
      <c r="A23" s="78">
        <f t="shared" si="0"/>
        <v>22</v>
      </c>
      <c r="B23" s="47"/>
      <c r="C23" s="47"/>
      <c r="D23" s="47"/>
      <c r="E23" s="48"/>
      <c r="F23" s="48"/>
      <c r="G23" s="48"/>
      <c r="H23" s="48"/>
      <c r="I23" s="48"/>
      <c r="J23" s="47"/>
      <c r="K23" s="47"/>
      <c r="L23" s="49"/>
      <c r="M23" s="47"/>
      <c r="N23" s="47"/>
      <c r="O23" s="47"/>
    </row>
    <row r="24" spans="1:15">
      <c r="A24" s="78">
        <f t="shared" si="0"/>
        <v>23</v>
      </c>
      <c r="B24" s="47"/>
      <c r="C24" s="47"/>
      <c r="D24" s="47"/>
      <c r="E24" s="48"/>
      <c r="F24" s="48"/>
      <c r="G24" s="48"/>
      <c r="H24" s="48"/>
      <c r="I24" s="48"/>
      <c r="J24" s="47"/>
      <c r="K24" s="47"/>
      <c r="L24" s="49"/>
      <c r="M24" s="47"/>
      <c r="N24" s="47"/>
      <c r="O24" s="47"/>
    </row>
    <row r="25" spans="1:15">
      <c r="A25" s="78">
        <f t="shared" si="0"/>
        <v>24</v>
      </c>
      <c r="B25" s="47"/>
      <c r="C25" s="47"/>
      <c r="D25" s="47"/>
      <c r="E25" s="48"/>
      <c r="F25" s="48"/>
      <c r="G25" s="48"/>
      <c r="H25" s="48"/>
      <c r="I25" s="48"/>
      <c r="J25" s="47"/>
      <c r="K25" s="47"/>
      <c r="L25" s="49"/>
      <c r="M25" s="47"/>
      <c r="N25" s="47"/>
      <c r="O25" s="47"/>
    </row>
    <row r="26" spans="1:15">
      <c r="A26" s="78">
        <f t="shared" si="0"/>
        <v>25</v>
      </c>
      <c r="B26" s="47"/>
      <c r="C26" s="47"/>
      <c r="D26" s="47"/>
      <c r="E26" s="48"/>
      <c r="F26" s="48"/>
      <c r="G26" s="48"/>
      <c r="H26" s="48"/>
      <c r="I26" s="48"/>
      <c r="J26" s="47"/>
      <c r="K26" s="47"/>
      <c r="L26" s="49"/>
      <c r="M26" s="47"/>
      <c r="N26" s="47"/>
      <c r="O26" s="47"/>
    </row>
    <row r="27" spans="1:15">
      <c r="A27" s="78">
        <f t="shared" si="0"/>
        <v>26</v>
      </c>
      <c r="B27" s="47"/>
      <c r="C27" s="47"/>
      <c r="D27" s="47"/>
      <c r="E27" s="48"/>
      <c r="F27" s="48"/>
      <c r="G27" s="48"/>
      <c r="H27" s="48"/>
      <c r="I27" s="48"/>
      <c r="J27" s="47"/>
      <c r="K27" s="47"/>
      <c r="L27" s="49"/>
      <c r="M27" s="47"/>
      <c r="N27" s="47"/>
      <c r="O27" s="47"/>
    </row>
    <row r="28" spans="1:15">
      <c r="A28" s="78">
        <f t="shared" si="0"/>
        <v>27</v>
      </c>
      <c r="B28" s="47"/>
      <c r="C28" s="47"/>
      <c r="D28" s="47"/>
      <c r="E28" s="48"/>
      <c r="F28" s="48"/>
      <c r="G28" s="48"/>
      <c r="H28" s="48"/>
      <c r="I28" s="48"/>
      <c r="J28" s="47"/>
      <c r="K28" s="47"/>
      <c r="L28" s="49"/>
      <c r="M28" s="47"/>
      <c r="N28" s="47"/>
      <c r="O28" s="47"/>
    </row>
    <row r="29" spans="1:15">
      <c r="A29" s="78">
        <f t="shared" si="0"/>
        <v>28</v>
      </c>
      <c r="B29" s="47"/>
      <c r="C29" s="47"/>
      <c r="D29" s="47"/>
      <c r="E29" s="48"/>
      <c r="F29" s="48"/>
      <c r="G29" s="48"/>
      <c r="H29" s="48"/>
      <c r="I29" s="48"/>
      <c r="J29" s="47"/>
      <c r="K29" s="47"/>
      <c r="L29" s="49"/>
      <c r="M29" s="47"/>
      <c r="N29" s="47"/>
      <c r="O29" s="47"/>
    </row>
    <row r="30" spans="1:15">
      <c r="A30" s="78">
        <f t="shared" si="0"/>
        <v>29</v>
      </c>
      <c r="B30" s="47"/>
      <c r="C30" s="47"/>
      <c r="D30" s="47"/>
      <c r="E30" s="48"/>
      <c r="F30" s="48"/>
      <c r="G30" s="48"/>
      <c r="H30" s="48"/>
      <c r="I30" s="48"/>
      <c r="J30" s="47"/>
      <c r="K30" s="47"/>
      <c r="L30" s="49"/>
      <c r="M30" s="47"/>
      <c r="N30" s="47"/>
      <c r="O30" s="47"/>
    </row>
    <row r="31" spans="1:15">
      <c r="A31" s="78">
        <f t="shared" si="0"/>
        <v>30</v>
      </c>
      <c r="B31" s="47"/>
      <c r="C31" s="47"/>
      <c r="D31" s="47"/>
      <c r="E31" s="48"/>
      <c r="F31" s="48"/>
      <c r="G31" s="48"/>
      <c r="H31" s="48"/>
      <c r="I31" s="48"/>
      <c r="J31" s="47"/>
      <c r="K31" s="47"/>
      <c r="L31" s="49"/>
      <c r="M31" s="47"/>
      <c r="N31" s="47"/>
      <c r="O31" s="47"/>
    </row>
    <row r="32" spans="1:15">
      <c r="A32" s="78">
        <f t="shared" si="0"/>
        <v>31</v>
      </c>
      <c r="B32" s="47"/>
      <c r="C32" s="47"/>
      <c r="D32" s="47"/>
      <c r="E32" s="48"/>
      <c r="F32" s="48"/>
      <c r="G32" s="48"/>
      <c r="H32" s="48"/>
      <c r="I32" s="48"/>
      <c r="J32" s="47"/>
      <c r="K32" s="47"/>
      <c r="L32" s="49"/>
      <c r="M32" s="47"/>
      <c r="N32" s="47"/>
      <c r="O32" s="47"/>
    </row>
    <row r="33" spans="1:15">
      <c r="A33" s="78">
        <f t="shared" si="0"/>
        <v>32</v>
      </c>
      <c r="B33" s="47"/>
      <c r="C33" s="47"/>
      <c r="D33" s="47"/>
      <c r="E33" s="48"/>
      <c r="F33" s="48"/>
      <c r="G33" s="48"/>
      <c r="H33" s="48"/>
      <c r="I33" s="48"/>
      <c r="J33" s="47"/>
      <c r="K33" s="47"/>
      <c r="L33" s="49"/>
      <c r="M33" s="47"/>
      <c r="N33" s="47"/>
      <c r="O33" s="47"/>
    </row>
    <row r="34" spans="1:15">
      <c r="A34" s="78">
        <f t="shared" si="0"/>
        <v>33</v>
      </c>
      <c r="B34" s="47"/>
      <c r="C34" s="47"/>
      <c r="D34" s="47"/>
      <c r="E34" s="48"/>
      <c r="F34" s="48"/>
      <c r="G34" s="48"/>
      <c r="H34" s="48"/>
      <c r="I34" s="48"/>
      <c r="J34" s="47"/>
      <c r="K34" s="47"/>
      <c r="L34" s="49"/>
      <c r="M34" s="47"/>
      <c r="N34" s="47"/>
      <c r="O34" s="47"/>
    </row>
    <row r="35" spans="1:15">
      <c r="A35" s="78">
        <f t="shared" si="0"/>
        <v>34</v>
      </c>
      <c r="B35" s="47"/>
      <c r="C35" s="47"/>
      <c r="D35" s="47"/>
      <c r="E35" s="48"/>
      <c r="F35" s="48"/>
      <c r="G35" s="48"/>
      <c r="H35" s="48"/>
      <c r="I35" s="48"/>
      <c r="J35" s="47"/>
      <c r="K35" s="47"/>
      <c r="L35" s="49"/>
      <c r="M35" s="47"/>
      <c r="N35" s="47"/>
      <c r="O35" s="47"/>
    </row>
    <row r="36" spans="1:15">
      <c r="A36" s="78">
        <f t="shared" si="0"/>
        <v>35</v>
      </c>
      <c r="B36" s="47"/>
      <c r="C36" s="47"/>
      <c r="D36" s="47"/>
      <c r="E36" s="48"/>
      <c r="F36" s="48"/>
      <c r="G36" s="48"/>
      <c r="H36" s="48"/>
      <c r="I36" s="48"/>
      <c r="J36" s="47"/>
      <c r="K36" s="47"/>
      <c r="L36" s="49"/>
      <c r="M36" s="47"/>
      <c r="N36" s="47"/>
      <c r="O36" s="47"/>
    </row>
    <row r="37" spans="1:15">
      <c r="A37" s="78">
        <f t="shared" si="0"/>
        <v>36</v>
      </c>
      <c r="B37" s="47"/>
      <c r="C37" s="47"/>
      <c r="D37" s="47"/>
      <c r="E37" s="48"/>
      <c r="F37" s="48"/>
      <c r="G37" s="48"/>
      <c r="H37" s="48"/>
      <c r="I37" s="48"/>
      <c r="J37" s="47"/>
      <c r="K37" s="47"/>
      <c r="L37" s="49"/>
      <c r="M37" s="47"/>
      <c r="N37" s="47"/>
      <c r="O37" s="47"/>
    </row>
    <row r="38" spans="1:15">
      <c r="A38" s="78">
        <f t="shared" si="0"/>
        <v>37</v>
      </c>
      <c r="B38" s="47"/>
      <c r="C38" s="47"/>
      <c r="D38" s="47"/>
      <c r="E38" s="48"/>
      <c r="F38" s="48"/>
      <c r="G38" s="48"/>
      <c r="H38" s="48"/>
      <c r="I38" s="48"/>
      <c r="J38" s="47"/>
      <c r="K38" s="47"/>
      <c r="L38" s="49"/>
      <c r="M38" s="47"/>
      <c r="N38" s="47"/>
      <c r="O38" s="47"/>
    </row>
    <row r="39" spans="1:15">
      <c r="A39" s="78">
        <f t="shared" si="0"/>
        <v>38</v>
      </c>
      <c r="B39" s="47"/>
      <c r="C39" s="47"/>
      <c r="D39" s="47"/>
      <c r="E39" s="48"/>
      <c r="F39" s="48"/>
      <c r="G39" s="48"/>
      <c r="H39" s="48"/>
      <c r="I39" s="48"/>
      <c r="J39" s="47"/>
      <c r="K39" s="47"/>
      <c r="L39" s="49"/>
      <c r="M39" s="47"/>
      <c r="N39" s="47"/>
      <c r="O39" s="47"/>
    </row>
    <row r="40" spans="1:15">
      <c r="A40" s="78">
        <f t="shared" si="0"/>
        <v>39</v>
      </c>
      <c r="B40" s="47"/>
      <c r="C40" s="47"/>
      <c r="D40" s="47"/>
      <c r="E40" s="48"/>
      <c r="F40" s="48"/>
      <c r="G40" s="48"/>
      <c r="H40" s="48"/>
      <c r="I40" s="48"/>
      <c r="J40" s="47"/>
      <c r="K40" s="47"/>
      <c r="L40" s="49"/>
      <c r="M40" s="47"/>
      <c r="N40" s="47"/>
      <c r="O40" s="47"/>
    </row>
    <row r="41" spans="1:15">
      <c r="A41" s="78">
        <f t="shared" si="0"/>
        <v>40</v>
      </c>
      <c r="B41" s="47"/>
      <c r="C41" s="47"/>
      <c r="D41" s="47"/>
      <c r="E41" s="48"/>
      <c r="F41" s="48"/>
      <c r="G41" s="48"/>
      <c r="H41" s="48"/>
      <c r="I41" s="48"/>
      <c r="J41" s="47"/>
      <c r="K41" s="47"/>
      <c r="L41" s="49"/>
      <c r="M41" s="47"/>
      <c r="N41" s="47"/>
      <c r="O41" s="47"/>
    </row>
    <row r="42" spans="1:15">
      <c r="A42" s="78">
        <f t="shared" si="0"/>
        <v>41</v>
      </c>
      <c r="B42" s="47"/>
      <c r="C42" s="47"/>
      <c r="D42" s="47"/>
      <c r="E42" s="48"/>
      <c r="F42" s="48"/>
      <c r="G42" s="48"/>
      <c r="H42" s="48"/>
      <c r="I42" s="48"/>
      <c r="J42" s="47"/>
      <c r="K42" s="47"/>
      <c r="L42" s="49"/>
      <c r="M42" s="47"/>
      <c r="N42" s="47"/>
      <c r="O42" s="47"/>
    </row>
    <row r="43" spans="1:15">
      <c r="A43" s="78">
        <f t="shared" si="0"/>
        <v>42</v>
      </c>
      <c r="B43" s="47"/>
      <c r="C43" s="47"/>
      <c r="D43" s="47"/>
      <c r="E43" s="48"/>
      <c r="F43" s="48"/>
      <c r="G43" s="48"/>
      <c r="H43" s="48"/>
      <c r="I43" s="48"/>
      <c r="J43" s="47"/>
      <c r="K43" s="47"/>
      <c r="L43" s="49"/>
      <c r="M43" s="47"/>
      <c r="N43" s="47"/>
      <c r="O43" s="47"/>
    </row>
    <row r="44" spans="1:15">
      <c r="A44" s="78">
        <f t="shared" si="0"/>
        <v>43</v>
      </c>
      <c r="B44" s="47"/>
      <c r="C44" s="47"/>
      <c r="D44" s="47"/>
      <c r="E44" s="48"/>
      <c r="F44" s="48"/>
      <c r="G44" s="48"/>
      <c r="H44" s="48"/>
      <c r="I44" s="48"/>
      <c r="J44" s="47"/>
      <c r="K44" s="47"/>
      <c r="L44" s="49"/>
      <c r="M44" s="47"/>
      <c r="N44" s="47"/>
      <c r="O44" s="47"/>
    </row>
    <row r="45" spans="1:15">
      <c r="A45" s="78">
        <f t="shared" si="0"/>
        <v>44</v>
      </c>
      <c r="B45" s="47"/>
      <c r="C45" s="47"/>
      <c r="D45" s="47"/>
      <c r="E45" s="48"/>
      <c r="F45" s="48"/>
      <c r="G45" s="48"/>
      <c r="H45" s="48"/>
      <c r="I45" s="48"/>
      <c r="J45" s="47"/>
      <c r="K45" s="47"/>
      <c r="L45" s="49"/>
      <c r="M45" s="47"/>
      <c r="N45" s="47"/>
      <c r="O45" s="47"/>
    </row>
    <row r="46" spans="1:15">
      <c r="A46" s="78">
        <f t="shared" si="0"/>
        <v>45</v>
      </c>
      <c r="B46" s="47"/>
      <c r="C46" s="47"/>
      <c r="D46" s="47"/>
      <c r="E46" s="48"/>
      <c r="F46" s="48"/>
      <c r="G46" s="48"/>
      <c r="H46" s="48"/>
      <c r="I46" s="48"/>
      <c r="J46" s="47"/>
      <c r="K46" s="47"/>
      <c r="L46" s="49"/>
      <c r="M46" s="47"/>
      <c r="N46" s="47"/>
      <c r="O46" s="47"/>
    </row>
    <row r="47" spans="1:15">
      <c r="A47" s="78">
        <f t="shared" si="0"/>
        <v>46</v>
      </c>
      <c r="B47" s="47"/>
      <c r="C47" s="47"/>
      <c r="D47" s="47"/>
      <c r="E47" s="48"/>
      <c r="F47" s="48"/>
      <c r="G47" s="48"/>
      <c r="H47" s="48"/>
      <c r="I47" s="48"/>
      <c r="J47" s="47"/>
      <c r="K47" s="47"/>
      <c r="L47" s="49"/>
      <c r="M47" s="47"/>
      <c r="N47" s="47"/>
      <c r="O47" s="47"/>
    </row>
    <row r="48" spans="1:15">
      <c r="A48" s="78">
        <f t="shared" si="0"/>
        <v>47</v>
      </c>
      <c r="B48" s="47"/>
      <c r="C48" s="47"/>
      <c r="D48" s="47"/>
      <c r="E48" s="48"/>
      <c r="F48" s="48"/>
      <c r="G48" s="48"/>
      <c r="H48" s="48"/>
      <c r="I48" s="48"/>
      <c r="J48" s="47"/>
      <c r="K48" s="47"/>
      <c r="L48" s="49"/>
      <c r="M48" s="47"/>
      <c r="N48" s="47"/>
      <c r="O48" s="47"/>
    </row>
    <row r="49" spans="1:15">
      <c r="A49" s="78">
        <f t="shared" si="0"/>
        <v>48</v>
      </c>
      <c r="B49" s="47"/>
      <c r="C49" s="47"/>
      <c r="D49" s="47"/>
      <c r="E49" s="48"/>
      <c r="F49" s="48"/>
      <c r="G49" s="48"/>
      <c r="H49" s="48"/>
      <c r="I49" s="48"/>
      <c r="J49" s="47"/>
      <c r="K49" s="47"/>
      <c r="L49" s="49"/>
      <c r="M49" s="47"/>
      <c r="N49" s="47"/>
      <c r="O49" s="47"/>
    </row>
    <row r="50" spans="1:15">
      <c r="A50" s="78">
        <f t="shared" si="0"/>
        <v>49</v>
      </c>
      <c r="B50" s="47"/>
      <c r="C50" s="47"/>
      <c r="D50" s="47"/>
      <c r="E50" s="48"/>
      <c r="F50" s="48"/>
      <c r="G50" s="48"/>
      <c r="H50" s="48"/>
      <c r="I50" s="48"/>
      <c r="J50" s="47"/>
      <c r="K50" s="47"/>
      <c r="L50" s="49"/>
      <c r="M50" s="47"/>
      <c r="N50" s="47"/>
      <c r="O50" s="47"/>
    </row>
    <row r="51" spans="1:15">
      <c r="A51" s="78">
        <f t="shared" si="0"/>
        <v>50</v>
      </c>
      <c r="B51" s="47"/>
      <c r="C51" s="47"/>
      <c r="D51" s="47"/>
      <c r="E51" s="48"/>
      <c r="F51" s="48"/>
      <c r="G51" s="48"/>
      <c r="H51" s="48"/>
      <c r="I51" s="48"/>
      <c r="J51" s="47"/>
      <c r="K51" s="47"/>
      <c r="L51" s="49"/>
      <c r="M51" s="47"/>
      <c r="N51" s="47"/>
      <c r="O51" s="47"/>
    </row>
  </sheetData>
  <pageMargins left="0.7" right="0.7" top="0.75" bottom="0.75" header="0.3" footer="0.3"/>
  <pageSetup scale="54"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Holly Martin</dc:creator>
  <cp:keywords/>
  <dc:description/>
  <cp:lastModifiedBy>Brooke Hargett</cp:lastModifiedBy>
  <cp:revision/>
  <dcterms:created xsi:type="dcterms:W3CDTF">2026-08-17T14:47:51Z</dcterms:created>
  <dcterms:modified xsi:type="dcterms:W3CDTF">2026-09-04T12:40:47Z</dcterms:modified>
  <cp:category/>
  <cp:contentStatus/>
</cp:coreProperties>
</file>