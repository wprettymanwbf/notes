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codeName="ThisWorkbook" defaultThemeVersion="124226"/>
  <mc:AlternateContent xmlns:mc="http://schemas.openxmlformats.org/markup-compatibility/2006">
    <mc:Choice Requires="x15">
      <x15ac:absPath xmlns:x15ac="http://schemas.microsoft.com/office/spreadsheetml/2010/11/ac" url="T:\Queries\WBF\"/>
    </mc:Choice>
  </mc:AlternateContent>
  <xr:revisionPtr revIDLastSave="0" documentId="13_ncr:1_{B3437837-34B5-4507-8FC3-CB7FEA09439F}" xr6:coauthVersionLast="47" xr6:coauthVersionMax="47" xr10:uidLastSave="{00000000-0000-0000-0000-000000000000}"/>
  <bookViews>
    <workbookView xWindow="-120" yWindow="-120" windowWidth="29040" windowHeight="17520" xr2:uid="{63466563-CFF6-473D-B1D5-04D7DE96A1DC}"/>
  </bookViews>
  <sheets>
    <sheet name="1-T5Y IS" sheetId="11" r:id="rId1"/>
    <sheet name="2-T5Y IS (Cont.)" sheetId="12" r:id="rId2"/>
    <sheet name="3-Balance Sheet" sheetId="13" r:id="rId3"/>
    <sheet name="4-EBITDA" sheetId="14" r:id="rId4"/>
    <sheet name="5-Working Cap" sheetId="15" state="hidden" r:id="rId5"/>
    <sheet name="5-Core NWC of HCF" sheetId="24" r:id="rId6"/>
    <sheet name="Mfg. Costs" sheetId="17" state="hidden" r:id="rId7"/>
    <sheet name="P&amp;L Assistant" sheetId="18" state="hidden" r:id="rId8"/>
    <sheet name="2024&amp;2023" sheetId="10" state="hidden" r:id="rId9"/>
    <sheet name="2024&amp;2023-CPA Rev" sheetId="9" state="hidden" r:id="rId10"/>
    <sheet name="Sheet1" sheetId="20" state="hidden" r:id="rId11"/>
    <sheet name="P&amp;L Assistant2" sheetId="21" state="hidden" r:id="rId12"/>
    <sheet name="Mfg. Costs2" sheetId="23" state="hidden" r:id="rId13"/>
    <sheet name="1-Plant Breakdown(FY24)" sheetId="22" state="hidden" r:id="rId14"/>
    <sheet name="1-Plant Breakdown(2024)" sheetId="19" state="hidden" r:id="rId15"/>
    <sheet name="1-Inc. Statements" sheetId="1" state="hidden" r:id="rId16"/>
    <sheet name="2-Mfg. Exp. Detail" sheetId="3" state="hidden" r:id="rId17"/>
    <sheet name="3-Operating Exp." sheetId="4" state="hidden" r:id="rId18"/>
    <sheet name="4-Balance Sheets" sheetId="2" state="hidden" r:id="rId19"/>
    <sheet name="5-Debt" sheetId="6" state="hidden" r:id="rId20"/>
    <sheet name="6-Comp to EBF" sheetId="8" state="hidden" r:id="rId21"/>
  </sheets>
  <externalReferences>
    <externalReference r:id="rId22"/>
  </externalReferences>
  <definedNames>
    <definedName name="_xlnm._FilterDatabase" localSheetId="8" hidden="1">'2024&amp;2023'!$A$1:$I$95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12" l="1"/>
  <c r="F18" i="11"/>
  <c r="D19" i="11"/>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52" i="12" s="1"/>
  <c r="D54" i="12" s="1"/>
  <c r="D20" i="12"/>
  <c r="D19" i="12"/>
  <c r="D18" i="12"/>
  <c r="D17" i="12"/>
  <c r="D16" i="12"/>
  <c r="D15" i="12"/>
  <c r="D14" i="12"/>
  <c r="D13" i="12"/>
  <c r="D12" i="12"/>
  <c r="D63" i="11"/>
  <c r="F63" i="11" s="1"/>
  <c r="D61" i="11"/>
  <c r="D57" i="11"/>
  <c r="D56" i="11"/>
  <c r="D55" i="11"/>
  <c r="D54" i="11"/>
  <c r="D53" i="11"/>
  <c r="D52" i="11"/>
  <c r="D51" i="11"/>
  <c r="D50" i="11"/>
  <c r="D49" i="11"/>
  <c r="D45" i="11"/>
  <c r="D44" i="11"/>
  <c r="D43" i="11"/>
  <c r="D42" i="11"/>
  <c r="D41" i="11"/>
  <c r="D40" i="11"/>
  <c r="D39" i="11"/>
  <c r="D38" i="11"/>
  <c r="D37" i="11"/>
  <c r="D36" i="11"/>
  <c r="F17" i="12"/>
  <c r="F49" i="12"/>
  <c r="F46" i="12"/>
  <c r="F44" i="12"/>
  <c r="F42" i="12"/>
  <c r="F41" i="12"/>
  <c r="F40" i="12"/>
  <c r="F38" i="12"/>
  <c r="F37" i="12"/>
  <c r="F36" i="12"/>
  <c r="F33" i="12"/>
  <c r="F32" i="12"/>
  <c r="F31" i="12"/>
  <c r="F27" i="12"/>
  <c r="F26" i="12"/>
  <c r="F25" i="12"/>
  <c r="F24" i="12"/>
  <c r="F13" i="12"/>
  <c r="F12" i="12"/>
  <c r="F55" i="11"/>
  <c r="F54" i="11"/>
  <c r="F53" i="11"/>
  <c r="F51" i="11"/>
  <c r="F49" i="11"/>
  <c r="F44" i="11"/>
  <c r="F43" i="11"/>
  <c r="F42" i="11"/>
  <c r="F40" i="11"/>
  <c r="F41" i="11"/>
  <c r="F29" i="11"/>
  <c r="F36" i="11"/>
  <c r="F38" i="11"/>
  <c r="D29" i="11"/>
  <c r="D28" i="11"/>
  <c r="D27" i="11"/>
  <c r="D26" i="11"/>
  <c r="D25" i="11"/>
  <c r="D24" i="11"/>
  <c r="D23" i="11"/>
  <c r="D22" i="11"/>
  <c r="D21" i="11"/>
  <c r="D20" i="11"/>
  <c r="D18" i="11"/>
  <c r="D32" i="11" s="1"/>
  <c r="D11" i="11"/>
  <c r="F11" i="11"/>
  <c r="D68" i="12"/>
  <c r="D66" i="12"/>
  <c r="D64" i="12"/>
  <c r="D61" i="12"/>
  <c r="F61" i="12"/>
  <c r="F68" i="12"/>
  <c r="F52" i="12"/>
  <c r="F20" i="12"/>
  <c r="F57" i="11"/>
  <c r="F61" i="11"/>
  <c r="F32" i="11"/>
  <c r="F26" i="11"/>
  <c r="F25" i="11"/>
  <c r="F24" i="11"/>
  <c r="F23" i="11"/>
  <c r="F21" i="11"/>
  <c r="F19" i="11"/>
  <c r="D12" i="11"/>
  <c r="F12" i="11"/>
  <c r="D9" i="11"/>
  <c r="F9" i="11"/>
  <c r="M23" i="12"/>
  <c r="L23" i="12"/>
  <c r="I23" i="12"/>
  <c r="H23" i="12"/>
  <c r="H52" i="12" s="1"/>
  <c r="H18" i="11"/>
  <c r="H41" i="11"/>
  <c r="H36" i="11"/>
  <c r="H29" i="11"/>
  <c r="H40" i="11"/>
  <c r="H45" i="11" s="1"/>
  <c r="H38" i="11"/>
  <c r="H61" i="12"/>
  <c r="H68" i="12" s="1"/>
  <c r="H49" i="12"/>
  <c r="H41" i="12"/>
  <c r="H38" i="12"/>
  <c r="H37" i="12"/>
  <c r="H33" i="12"/>
  <c r="H31" i="12"/>
  <c r="H13" i="12"/>
  <c r="H20" i="12" s="1"/>
  <c r="H61" i="11"/>
  <c r="H63" i="11" s="1"/>
  <c r="H57" i="11"/>
  <c r="H54" i="11"/>
  <c r="H51" i="11"/>
  <c r="H21" i="11"/>
  <c r="H19" i="11"/>
  <c r="H11" i="11"/>
  <c r="H12" i="11" s="1"/>
  <c r="D66" i="11" l="1"/>
  <c r="D68" i="11" s="1"/>
  <c r="D33" i="11"/>
  <c r="D64" i="11"/>
  <c r="D46" i="11"/>
  <c r="F54" i="12"/>
  <c r="F45" i="11"/>
  <c r="F66" i="11" s="1"/>
  <c r="H54" i="12"/>
  <c r="H32" i="11"/>
  <c r="H66" i="11"/>
  <c r="H33" i="11" s="1"/>
  <c r="H68" i="11"/>
  <c r="F84" i="13"/>
  <c r="D84" i="13"/>
  <c r="C84" i="13"/>
  <c r="E67" i="12"/>
  <c r="E29" i="12"/>
  <c r="E34" i="12"/>
  <c r="E50" i="11"/>
  <c r="E52" i="11"/>
  <c r="E37" i="11"/>
  <c r="E39" i="11"/>
  <c r="E40" i="11"/>
  <c r="E20" i="11"/>
  <c r="E28" i="11"/>
  <c r="E30" i="11"/>
  <c r="E16" i="14"/>
  <c r="E17" i="14"/>
  <c r="E18" i="14"/>
  <c r="E26" i="14"/>
  <c r="E14" i="14"/>
  <c r="H70" i="13"/>
  <c r="H26" i="13"/>
  <c r="G70" i="13"/>
  <c r="F70" i="13"/>
  <c r="F26" i="13"/>
  <c r="L18" i="24"/>
  <c r="L19" i="24" s="1"/>
  <c r="L14" i="24"/>
  <c r="L13" i="24"/>
  <c r="L15" i="24" s="1"/>
  <c r="L10" i="24"/>
  <c r="K18" i="24"/>
  <c r="K19" i="24" s="1"/>
  <c r="K14" i="24"/>
  <c r="K13" i="24"/>
  <c r="K15" i="24" s="1"/>
  <c r="K10" i="24"/>
  <c r="J18" i="24"/>
  <c r="J19" i="24" s="1"/>
  <c r="J14" i="24"/>
  <c r="J13" i="24"/>
  <c r="J10" i="24"/>
  <c r="I18" i="24"/>
  <c r="I19" i="24" s="1"/>
  <c r="I14" i="24"/>
  <c r="I13" i="24"/>
  <c r="I15" i="24" s="1"/>
  <c r="I10" i="24"/>
  <c r="H18" i="24"/>
  <c r="H19" i="24" s="1"/>
  <c r="H14" i="24"/>
  <c r="H13" i="24"/>
  <c r="H15" i="24" s="1"/>
  <c r="H10" i="24"/>
  <c r="G18" i="24"/>
  <c r="G14" i="24"/>
  <c r="D18" i="24"/>
  <c r="D19" i="24" s="1"/>
  <c r="D13" i="24"/>
  <c r="G13" i="24"/>
  <c r="G10" i="24"/>
  <c r="E19" i="24"/>
  <c r="F19" i="24"/>
  <c r="E15" i="24"/>
  <c r="F15" i="24"/>
  <c r="D14" i="24"/>
  <c r="D15" i="24" s="1"/>
  <c r="D10" i="24"/>
  <c r="F25" i="14"/>
  <c r="G25" i="14"/>
  <c r="H25" i="14"/>
  <c r="I25" i="14"/>
  <c r="J25" i="14"/>
  <c r="K25" i="14"/>
  <c r="D18" i="14"/>
  <c r="C18" i="14" s="1"/>
  <c r="D22" i="14"/>
  <c r="D23" i="14"/>
  <c r="D24" i="14"/>
  <c r="C81" i="13"/>
  <c r="C79" i="13"/>
  <c r="C74" i="13"/>
  <c r="C70" i="13"/>
  <c r="C61" i="13"/>
  <c r="C46" i="13"/>
  <c r="C48" i="13"/>
  <c r="C38" i="13"/>
  <c r="C36" i="13"/>
  <c r="C35" i="13"/>
  <c r="C26" i="13"/>
  <c r="C21" i="13"/>
  <c r="C16" i="13"/>
  <c r="C9" i="13"/>
  <c r="C66" i="12"/>
  <c r="D25" i="14" s="1"/>
  <c r="C12" i="12"/>
  <c r="C13" i="12"/>
  <c r="C14" i="12"/>
  <c r="E14" i="12" s="1"/>
  <c r="C15" i="12"/>
  <c r="C16" i="12"/>
  <c r="C17" i="12"/>
  <c r="C18" i="12"/>
  <c r="C19" i="12"/>
  <c r="C23" i="12"/>
  <c r="C24" i="12"/>
  <c r="C25" i="12"/>
  <c r="C26" i="12"/>
  <c r="C27" i="12"/>
  <c r="C28" i="12"/>
  <c r="C30" i="12"/>
  <c r="C31" i="12"/>
  <c r="C32" i="12"/>
  <c r="C33" i="12"/>
  <c r="C35" i="12"/>
  <c r="C36" i="12"/>
  <c r="C37" i="12"/>
  <c r="C38" i="12"/>
  <c r="C39" i="12"/>
  <c r="C40" i="12"/>
  <c r="C41" i="12"/>
  <c r="E41" i="12" s="1"/>
  <c r="C42" i="12"/>
  <c r="C43" i="12"/>
  <c r="C44" i="12"/>
  <c r="C45" i="12"/>
  <c r="C46" i="12"/>
  <c r="C47" i="12"/>
  <c r="C48" i="12"/>
  <c r="C49" i="12"/>
  <c r="C50" i="12"/>
  <c r="C51" i="12"/>
  <c r="C61" i="12"/>
  <c r="D13" i="14" s="1"/>
  <c r="C62" i="12"/>
  <c r="D20" i="14" s="1"/>
  <c r="C63" i="12"/>
  <c r="D19" i="14" s="1"/>
  <c r="C64" i="12"/>
  <c r="C65" i="12"/>
  <c r="D21" i="14" s="1"/>
  <c r="C11" i="11"/>
  <c r="C16" i="11"/>
  <c r="C18" i="11"/>
  <c r="C19" i="11"/>
  <c r="C21" i="11"/>
  <c r="C22" i="11"/>
  <c r="C23" i="11"/>
  <c r="C24" i="11"/>
  <c r="C25" i="11"/>
  <c r="C26" i="11"/>
  <c r="C27" i="11"/>
  <c r="C29" i="11"/>
  <c r="C31" i="11"/>
  <c r="C36" i="11"/>
  <c r="C38" i="11"/>
  <c r="C41" i="11"/>
  <c r="C42" i="11"/>
  <c r="C43" i="11"/>
  <c r="C44" i="11"/>
  <c r="C49" i="11"/>
  <c r="C51" i="11"/>
  <c r="C53" i="11"/>
  <c r="C54" i="11"/>
  <c r="C55" i="11"/>
  <c r="C56" i="11"/>
  <c r="C61" i="11"/>
  <c r="C63" i="11" s="1"/>
  <c r="C9" i="11"/>
  <c r="C64" i="10"/>
  <c r="C81" i="10"/>
  <c r="C45" i="10"/>
  <c r="C3" i="10"/>
  <c r="C98" i="10"/>
  <c r="C94" i="10"/>
  <c r="C89" i="10"/>
  <c r="C87" i="10"/>
  <c r="C86" i="10"/>
  <c r="C80" i="10"/>
  <c r="C79" i="10"/>
  <c r="C77" i="10"/>
  <c r="C76" i="10"/>
  <c r="C74" i="10"/>
  <c r="C73" i="10"/>
  <c r="C71" i="10"/>
  <c r="C70" i="10"/>
  <c r="C69" i="10"/>
  <c r="C67" i="10"/>
  <c r="C66" i="10"/>
  <c r="C62" i="10"/>
  <c r="C61" i="10"/>
  <c r="C58" i="10"/>
  <c r="C57" i="10"/>
  <c r="C56" i="10"/>
  <c r="C55" i="10"/>
  <c r="C46" i="10"/>
  <c r="C50" i="10" s="1"/>
  <c r="C41" i="10"/>
  <c r="C37" i="10"/>
  <c r="C14" i="10"/>
  <c r="C13" i="10"/>
  <c r="C11" i="10"/>
  <c r="C5" i="10"/>
  <c r="K23" i="12"/>
  <c r="K24" i="12"/>
  <c r="K25" i="12"/>
  <c r="K26" i="12"/>
  <c r="K27" i="12"/>
  <c r="K32" i="12"/>
  <c r="K35" i="12"/>
  <c r="K36" i="12"/>
  <c r="K37" i="12"/>
  <c r="K39" i="12"/>
  <c r="K40" i="12"/>
  <c r="K42" i="12"/>
  <c r="K43" i="12"/>
  <c r="K44" i="12"/>
  <c r="K45" i="12"/>
  <c r="K46" i="12"/>
  <c r="K47" i="12"/>
  <c r="K48" i="12"/>
  <c r="K49" i="12"/>
  <c r="K50" i="12"/>
  <c r="K51" i="12"/>
  <c r="K12" i="12"/>
  <c r="K13" i="12"/>
  <c r="K14" i="12"/>
  <c r="K15" i="12"/>
  <c r="K16" i="12"/>
  <c r="K17" i="12"/>
  <c r="K18" i="12"/>
  <c r="K19" i="12"/>
  <c r="K61" i="11"/>
  <c r="K63" i="11" s="1"/>
  <c r="K49" i="11"/>
  <c r="K51" i="11"/>
  <c r="K53" i="11"/>
  <c r="K54" i="11"/>
  <c r="K55" i="11"/>
  <c r="K56" i="11"/>
  <c r="K36" i="11"/>
  <c r="K38" i="11"/>
  <c r="K41" i="11"/>
  <c r="K42" i="11"/>
  <c r="K43" i="11"/>
  <c r="K44" i="11"/>
  <c r="K16" i="11"/>
  <c r="K18" i="11"/>
  <c r="K19" i="11"/>
  <c r="K21" i="11"/>
  <c r="K22" i="11"/>
  <c r="K23" i="11"/>
  <c r="K24" i="11"/>
  <c r="K25" i="11"/>
  <c r="K26" i="11"/>
  <c r="K27" i="11"/>
  <c r="K29" i="11"/>
  <c r="K31" i="11"/>
  <c r="K9" i="11"/>
  <c r="K11" i="11"/>
  <c r="J51" i="12"/>
  <c r="J50" i="12"/>
  <c r="J49" i="12"/>
  <c r="J48" i="12"/>
  <c r="J47" i="12"/>
  <c r="J46" i="12"/>
  <c r="J45" i="12"/>
  <c r="J44" i="12"/>
  <c r="J43" i="12"/>
  <c r="J42" i="12"/>
  <c r="J41" i="12"/>
  <c r="J40" i="12"/>
  <c r="J39" i="12"/>
  <c r="J38" i="12"/>
  <c r="J37" i="12"/>
  <c r="J36" i="12"/>
  <c r="J35" i="12"/>
  <c r="J33" i="12"/>
  <c r="J32" i="12"/>
  <c r="J31" i="12"/>
  <c r="J30" i="12"/>
  <c r="J28" i="12"/>
  <c r="J27" i="12"/>
  <c r="J26" i="12"/>
  <c r="J25" i="12"/>
  <c r="J24" i="12"/>
  <c r="J23" i="12"/>
  <c r="J19" i="12"/>
  <c r="J18" i="12"/>
  <c r="J17" i="12"/>
  <c r="J16" i="12"/>
  <c r="J15" i="12"/>
  <c r="J14" i="12"/>
  <c r="J13" i="12"/>
  <c r="J12" i="12"/>
  <c r="J9" i="11"/>
  <c r="J61" i="11"/>
  <c r="J63" i="11"/>
  <c r="J56" i="11"/>
  <c r="J55" i="11"/>
  <c r="J54" i="11"/>
  <c r="J53" i="11"/>
  <c r="J51" i="11"/>
  <c r="J49" i="11"/>
  <c r="J44" i="11"/>
  <c r="J43" i="11"/>
  <c r="J42" i="11"/>
  <c r="J41" i="11"/>
  <c r="J38" i="11"/>
  <c r="J36" i="11"/>
  <c r="J31" i="11"/>
  <c r="J29" i="11"/>
  <c r="J27" i="11"/>
  <c r="J26" i="11"/>
  <c r="J25" i="11"/>
  <c r="J24" i="11"/>
  <c r="J23" i="11"/>
  <c r="J22" i="11"/>
  <c r="J21" i="11"/>
  <c r="J19" i="11"/>
  <c r="J16" i="11"/>
  <c r="J11" i="11"/>
  <c r="I37" i="13"/>
  <c r="G37" i="13"/>
  <c r="E21" i="13"/>
  <c r="F21" i="13"/>
  <c r="G21" i="13"/>
  <c r="I21" i="13"/>
  <c r="D21" i="13"/>
  <c r="E16" i="13"/>
  <c r="E26" i="13" s="1"/>
  <c r="F16" i="13"/>
  <c r="G16" i="13"/>
  <c r="G26" i="13" s="1"/>
  <c r="I16" i="13"/>
  <c r="I26" i="13" s="1"/>
  <c r="D16" i="13"/>
  <c r="D26" i="13" s="1"/>
  <c r="F61" i="13"/>
  <c r="H61" i="13"/>
  <c r="G61" i="13"/>
  <c r="I61" i="13"/>
  <c r="I70" i="13" s="1"/>
  <c r="J61" i="13"/>
  <c r="K61" i="13"/>
  <c r="L61" i="13"/>
  <c r="D61" i="13"/>
  <c r="D70" i="13" s="1"/>
  <c r="E60" i="13"/>
  <c r="E61" i="13" s="1"/>
  <c r="E70" i="13" s="1"/>
  <c r="E37" i="13"/>
  <c r="B28" i="10"/>
  <c r="B28" i="22"/>
  <c r="B28" i="18"/>
  <c r="B32" i="22" s="1"/>
  <c r="G51" i="12"/>
  <c r="I51" i="12"/>
  <c r="L51" i="12"/>
  <c r="M51" i="12"/>
  <c r="B51" i="12"/>
  <c r="G19" i="12"/>
  <c r="I19" i="12"/>
  <c r="L19" i="12"/>
  <c r="M19" i="12"/>
  <c r="B19" i="12"/>
  <c r="G47" i="12"/>
  <c r="I47" i="12"/>
  <c r="L47" i="12"/>
  <c r="M47" i="12"/>
  <c r="B47" i="12"/>
  <c r="G45" i="12"/>
  <c r="I45" i="12"/>
  <c r="L45" i="12"/>
  <c r="M45" i="12"/>
  <c r="B45" i="12"/>
  <c r="G43" i="12"/>
  <c r="I43" i="12"/>
  <c r="L43" i="12"/>
  <c r="M43" i="12"/>
  <c r="B43" i="12"/>
  <c r="M14" i="12"/>
  <c r="L14" i="12"/>
  <c r="I14" i="12"/>
  <c r="G14" i="12"/>
  <c r="B14" i="12"/>
  <c r="M39" i="12"/>
  <c r="L39" i="12"/>
  <c r="I39" i="12"/>
  <c r="G39" i="12"/>
  <c r="E39" i="12" s="1"/>
  <c r="B39" i="12"/>
  <c r="M34" i="12"/>
  <c r="L34" i="12"/>
  <c r="I34" i="12"/>
  <c r="B34" i="12"/>
  <c r="M29" i="12"/>
  <c r="L29" i="12"/>
  <c r="I29" i="12"/>
  <c r="M30" i="11"/>
  <c r="L30" i="11"/>
  <c r="I30" i="11"/>
  <c r="I29" i="11"/>
  <c r="M62" i="11"/>
  <c r="L62" i="11"/>
  <c r="I62" i="11"/>
  <c r="I61" i="11"/>
  <c r="I63" i="11" s="1"/>
  <c r="M52" i="11"/>
  <c r="L52" i="11"/>
  <c r="I52" i="11"/>
  <c r="M50" i="11"/>
  <c r="L50" i="11"/>
  <c r="I50" i="11"/>
  <c r="M37" i="11"/>
  <c r="L37" i="11"/>
  <c r="I37" i="11"/>
  <c r="M22" i="11"/>
  <c r="L22" i="11"/>
  <c r="I22" i="11"/>
  <c r="G22" i="11"/>
  <c r="M20" i="11"/>
  <c r="L20" i="11"/>
  <c r="I20" i="11"/>
  <c r="M39" i="11"/>
  <c r="L39" i="11"/>
  <c r="I39" i="11"/>
  <c r="M17" i="11"/>
  <c r="L17" i="11"/>
  <c r="I17" i="11"/>
  <c r="G9" i="11"/>
  <c r="M9" i="11"/>
  <c r="M10" i="11"/>
  <c r="M11" i="11"/>
  <c r="I48" i="10"/>
  <c r="I89" i="10"/>
  <c r="H89" i="10"/>
  <c r="L11" i="11"/>
  <c r="L10" i="11"/>
  <c r="L9" i="11"/>
  <c r="I11" i="11"/>
  <c r="I10" i="11"/>
  <c r="I9" i="11"/>
  <c r="K23" i="24"/>
  <c r="M18" i="24"/>
  <c r="N18" i="24"/>
  <c r="O18" i="24"/>
  <c r="M14" i="24"/>
  <c r="N14" i="24"/>
  <c r="O14" i="24"/>
  <c r="M13" i="24"/>
  <c r="N13" i="24"/>
  <c r="N15" i="24" s="1"/>
  <c r="O13" i="24"/>
  <c r="M10" i="24"/>
  <c r="N10" i="24"/>
  <c r="O10" i="24"/>
  <c r="L23" i="24"/>
  <c r="J23" i="24"/>
  <c r="H23" i="24"/>
  <c r="G23" i="24"/>
  <c r="F23" i="24"/>
  <c r="E23" i="24"/>
  <c r="D23" i="24"/>
  <c r="M15" i="24"/>
  <c r="C7" i="15"/>
  <c r="D7" i="15"/>
  <c r="C8" i="15"/>
  <c r="D8" i="15"/>
  <c r="C9" i="15"/>
  <c r="D9" i="15"/>
  <c r="F22" i="14"/>
  <c r="G22" i="14"/>
  <c r="F18" i="14"/>
  <c r="G18" i="14"/>
  <c r="D79" i="13"/>
  <c r="D37" i="13"/>
  <c r="D46" i="13"/>
  <c r="D35" i="13"/>
  <c r="D36" i="13" s="1"/>
  <c r="D38" i="13" s="1"/>
  <c r="E79" i="13"/>
  <c r="E46" i="13"/>
  <c r="E36" i="13"/>
  <c r="C5" i="15"/>
  <c r="D5" i="15"/>
  <c r="I28" i="11"/>
  <c r="I40" i="11"/>
  <c r="I19" i="11"/>
  <c r="I12" i="12"/>
  <c r="I13" i="12"/>
  <c r="I15" i="12"/>
  <c r="G16" i="12"/>
  <c r="E16" i="12" s="1"/>
  <c r="I16" i="12"/>
  <c r="G17" i="12"/>
  <c r="I17" i="12"/>
  <c r="G18" i="12"/>
  <c r="I18" i="12"/>
  <c r="G23" i="12"/>
  <c r="I24" i="12"/>
  <c r="G26" i="12"/>
  <c r="I26" i="12"/>
  <c r="G27" i="12"/>
  <c r="E27" i="12" s="1"/>
  <c r="I27" i="12"/>
  <c r="G28" i="12"/>
  <c r="I28" i="12"/>
  <c r="I30" i="12"/>
  <c r="I31" i="12"/>
  <c r="G32" i="12"/>
  <c r="I32" i="12"/>
  <c r="I33" i="12"/>
  <c r="G35" i="12"/>
  <c r="I35" i="12"/>
  <c r="G36" i="12"/>
  <c r="I36" i="12"/>
  <c r="G37" i="12"/>
  <c r="I37" i="12"/>
  <c r="I38" i="12"/>
  <c r="G40" i="12"/>
  <c r="I40" i="12"/>
  <c r="I41" i="12"/>
  <c r="I42" i="12"/>
  <c r="I44" i="12"/>
  <c r="I46" i="12"/>
  <c r="G48" i="12"/>
  <c r="I48" i="12"/>
  <c r="I49" i="12"/>
  <c r="G50" i="12"/>
  <c r="I50" i="12"/>
  <c r="G24" i="14"/>
  <c r="G23" i="14"/>
  <c r="G61" i="12"/>
  <c r="F13" i="14" s="1"/>
  <c r="I61" i="12"/>
  <c r="G13" i="14" s="1"/>
  <c r="G62" i="12"/>
  <c r="F20" i="14" s="1"/>
  <c r="I62" i="12"/>
  <c r="G20" i="14" s="1"/>
  <c r="G63" i="12"/>
  <c r="F19" i="14" s="1"/>
  <c r="I63" i="12"/>
  <c r="G19" i="14" s="1"/>
  <c r="G64" i="12"/>
  <c r="I64" i="12"/>
  <c r="G65" i="12"/>
  <c r="F21" i="14" s="1"/>
  <c r="I65" i="12"/>
  <c r="G21" i="14" s="1"/>
  <c r="G16" i="11"/>
  <c r="I16" i="11"/>
  <c r="G18" i="11"/>
  <c r="I18" i="11"/>
  <c r="G21" i="11"/>
  <c r="I21" i="11"/>
  <c r="I23" i="11"/>
  <c r="I24" i="11"/>
  <c r="G25" i="11"/>
  <c r="E25" i="11" s="1"/>
  <c r="I25" i="11"/>
  <c r="G26" i="11"/>
  <c r="E26" i="11" s="1"/>
  <c r="I26" i="11"/>
  <c r="G27" i="11"/>
  <c r="I27" i="11"/>
  <c r="G31" i="11"/>
  <c r="I31" i="11"/>
  <c r="G36" i="11"/>
  <c r="I36" i="11"/>
  <c r="G38" i="11"/>
  <c r="I38" i="11"/>
  <c r="I41" i="11"/>
  <c r="G42" i="11"/>
  <c r="I42" i="11"/>
  <c r="G43" i="11"/>
  <c r="I43" i="11"/>
  <c r="G44" i="11"/>
  <c r="I44" i="11"/>
  <c r="G49" i="11"/>
  <c r="I49" i="11"/>
  <c r="G51" i="11"/>
  <c r="I51" i="11"/>
  <c r="I53" i="11"/>
  <c r="G54" i="11"/>
  <c r="I54" i="11"/>
  <c r="G55" i="11"/>
  <c r="I55" i="11"/>
  <c r="I56" i="11"/>
  <c r="D3" i="10"/>
  <c r="D41" i="10"/>
  <c r="G61" i="11" s="1"/>
  <c r="G63" i="11" s="1"/>
  <c r="D81" i="10"/>
  <c r="G49" i="12" s="1"/>
  <c r="D69" i="10"/>
  <c r="G41" i="12" s="1"/>
  <c r="D67" i="10"/>
  <c r="G13" i="12" s="1"/>
  <c r="D64" i="10"/>
  <c r="G38" i="12" s="1"/>
  <c r="D58" i="10"/>
  <c r="G33" i="12" s="1"/>
  <c r="D56" i="10"/>
  <c r="G24" i="12" s="1"/>
  <c r="D55" i="10"/>
  <c r="G31" i="12" s="1"/>
  <c r="D43" i="10"/>
  <c r="D37" i="10"/>
  <c r="G19" i="11" s="1"/>
  <c r="D39" i="10"/>
  <c r="D31" i="10"/>
  <c r="D21" i="10"/>
  <c r="D23" i="10"/>
  <c r="D86" i="10"/>
  <c r="D71" i="10"/>
  <c r="D73" i="10"/>
  <c r="D74" i="10"/>
  <c r="D76" i="10"/>
  <c r="D77" i="10"/>
  <c r="D13" i="10"/>
  <c r="G41" i="11" s="1"/>
  <c r="D5" i="10"/>
  <c r="G11" i="11" s="1"/>
  <c r="E89" i="10"/>
  <c r="E46" i="10"/>
  <c r="E50" i="10" s="1"/>
  <c r="E52" i="10" s="1"/>
  <c r="E91" i="10" s="1"/>
  <c r="H50" i="23"/>
  <c r="G50" i="23"/>
  <c r="C50" i="23" s="1"/>
  <c r="H48" i="23"/>
  <c r="C48" i="23"/>
  <c r="H47" i="23"/>
  <c r="C47" i="23"/>
  <c r="H43" i="23"/>
  <c r="C43" i="23"/>
  <c r="F39" i="23"/>
  <c r="E39" i="23"/>
  <c r="D39" i="23"/>
  <c r="H38" i="23"/>
  <c r="C38" i="23"/>
  <c r="H37" i="23"/>
  <c r="C37" i="23"/>
  <c r="H36" i="23"/>
  <c r="C36" i="23"/>
  <c r="H35" i="23"/>
  <c r="C35" i="23"/>
  <c r="H34" i="23"/>
  <c r="C34" i="23"/>
  <c r="H33" i="23"/>
  <c r="C33" i="23"/>
  <c r="H32" i="23"/>
  <c r="C32" i="23"/>
  <c r="H31" i="23"/>
  <c r="C31" i="23"/>
  <c r="Q30" i="23"/>
  <c r="Q33" i="23" s="1"/>
  <c r="Q35" i="23" s="1"/>
  <c r="H30" i="23"/>
  <c r="C30" i="23"/>
  <c r="H29" i="23"/>
  <c r="C29" i="23"/>
  <c r="H28" i="23"/>
  <c r="C28" i="23"/>
  <c r="H27" i="23"/>
  <c r="C27" i="23"/>
  <c r="H26" i="23"/>
  <c r="C26" i="23"/>
  <c r="H25" i="23"/>
  <c r="C25" i="23"/>
  <c r="H24" i="23"/>
  <c r="C24" i="23"/>
  <c r="F21" i="23"/>
  <c r="E21" i="23"/>
  <c r="D21" i="23"/>
  <c r="O20" i="23"/>
  <c r="O23" i="23" s="1"/>
  <c r="O25" i="23" s="1"/>
  <c r="H20" i="23"/>
  <c r="C20" i="23"/>
  <c r="P19" i="23"/>
  <c r="H19" i="23"/>
  <c r="C19" i="23"/>
  <c r="H18" i="23"/>
  <c r="C18" i="23"/>
  <c r="F15" i="23"/>
  <c r="F41" i="23" s="1"/>
  <c r="E15" i="23"/>
  <c r="E41" i="23" s="1"/>
  <c r="D15" i="23"/>
  <c r="C15" i="23"/>
  <c r="R14" i="23"/>
  <c r="R16" i="23" s="1"/>
  <c r="R18" i="23" s="1"/>
  <c r="H14" i="23"/>
  <c r="C14" i="23"/>
  <c r="H13" i="23"/>
  <c r="C13" i="23"/>
  <c r="H12" i="23"/>
  <c r="C12" i="23"/>
  <c r="H11" i="23"/>
  <c r="C11" i="23"/>
  <c r="H10" i="23"/>
  <c r="C10" i="23"/>
  <c r="P9" i="23"/>
  <c r="Q9" i="23" s="1"/>
  <c r="O9" i="23"/>
  <c r="H9" i="23"/>
  <c r="C9" i="23"/>
  <c r="H8" i="23"/>
  <c r="C8" i="23"/>
  <c r="H7" i="23"/>
  <c r="C7" i="23"/>
  <c r="R5" i="23"/>
  <c r="Q5" i="23"/>
  <c r="E5" i="15"/>
  <c r="E7" i="15"/>
  <c r="E8" i="15"/>
  <c r="E9" i="15"/>
  <c r="F9" i="15"/>
  <c r="F5" i="15"/>
  <c r="G119" i="10"/>
  <c r="I18" i="14" s="1"/>
  <c r="F119" i="10"/>
  <c r="H18" i="14" s="1"/>
  <c r="H22" i="14"/>
  <c r="I22" i="14"/>
  <c r="F79" i="13"/>
  <c r="F33" i="13"/>
  <c r="F36" i="13" s="1"/>
  <c r="F37" i="13"/>
  <c r="F46" i="13"/>
  <c r="H79" i="13"/>
  <c r="H33" i="13"/>
  <c r="C21" i="22"/>
  <c r="F71" i="22"/>
  <c r="E71" i="22"/>
  <c r="D71" i="22"/>
  <c r="C71" i="22"/>
  <c r="F70" i="22"/>
  <c r="E70" i="22"/>
  <c r="D70" i="22"/>
  <c r="C70" i="22"/>
  <c r="F69" i="22"/>
  <c r="E69" i="22"/>
  <c r="D69" i="22"/>
  <c r="C69" i="22"/>
  <c r="F68" i="22"/>
  <c r="E68" i="22"/>
  <c r="D68" i="22"/>
  <c r="C68" i="22"/>
  <c r="F67" i="22"/>
  <c r="F72" i="22" s="1"/>
  <c r="E67" i="22"/>
  <c r="E72" i="22" s="1"/>
  <c r="D67" i="22"/>
  <c r="D72" i="22" s="1"/>
  <c r="C67" i="22"/>
  <c r="C72" i="22" s="1"/>
  <c r="F61" i="22"/>
  <c r="E61" i="22"/>
  <c r="D61" i="22"/>
  <c r="C61" i="22"/>
  <c r="F60" i="22"/>
  <c r="F62" i="22" s="1"/>
  <c r="E60" i="22"/>
  <c r="E62" i="22" s="1"/>
  <c r="D60" i="22"/>
  <c r="D62" i="22" s="1"/>
  <c r="C60" i="22"/>
  <c r="C62" i="22" s="1"/>
  <c r="F52" i="22"/>
  <c r="E52" i="22"/>
  <c r="D52" i="22"/>
  <c r="C52" i="22"/>
  <c r="F49" i="22"/>
  <c r="E49" i="22"/>
  <c r="D49" i="22"/>
  <c r="C49" i="22"/>
  <c r="B46" i="22"/>
  <c r="F45" i="22"/>
  <c r="E45" i="22"/>
  <c r="D45" i="22"/>
  <c r="C45" i="22"/>
  <c r="B45" i="22"/>
  <c r="F44" i="22"/>
  <c r="E44" i="22"/>
  <c r="D44" i="22"/>
  <c r="C44" i="22"/>
  <c r="B44" i="22"/>
  <c r="F43" i="22"/>
  <c r="E43" i="22"/>
  <c r="D43" i="22"/>
  <c r="C43" i="22"/>
  <c r="B43" i="22"/>
  <c r="F42" i="22"/>
  <c r="E42" i="22"/>
  <c r="D42" i="22"/>
  <c r="C42" i="22"/>
  <c r="B42" i="22"/>
  <c r="F41" i="22"/>
  <c r="E41" i="22"/>
  <c r="D41" i="22"/>
  <c r="C41" i="22"/>
  <c r="F40" i="22"/>
  <c r="F46" i="22" s="1"/>
  <c r="E40" i="22"/>
  <c r="E46" i="22" s="1"/>
  <c r="D40" i="22"/>
  <c r="D46" i="22" s="1"/>
  <c r="C40" i="22"/>
  <c r="C46" i="22" s="1"/>
  <c r="B40" i="22"/>
  <c r="F36" i="22"/>
  <c r="E36" i="22"/>
  <c r="D36" i="22"/>
  <c r="C36" i="22"/>
  <c r="B36" i="22"/>
  <c r="F35" i="22"/>
  <c r="E35" i="22"/>
  <c r="D35" i="22"/>
  <c r="C35" i="22"/>
  <c r="F34" i="22"/>
  <c r="E34" i="22"/>
  <c r="D34" i="22"/>
  <c r="C34" i="22"/>
  <c r="B34" i="22"/>
  <c r="F33" i="22"/>
  <c r="E33" i="22"/>
  <c r="D33" i="22"/>
  <c r="C33" i="22"/>
  <c r="B33" i="22"/>
  <c r="F32" i="22"/>
  <c r="E32" i="22"/>
  <c r="D32" i="22"/>
  <c r="C32" i="22"/>
  <c r="F31" i="22"/>
  <c r="E31" i="22"/>
  <c r="D31" i="22"/>
  <c r="C31" i="22"/>
  <c r="B31" i="22"/>
  <c r="F30" i="22"/>
  <c r="E30" i="22"/>
  <c r="D30" i="22"/>
  <c r="C30" i="22"/>
  <c r="B30" i="22"/>
  <c r="B26" i="22"/>
  <c r="F25" i="22"/>
  <c r="E25" i="22"/>
  <c r="D25" i="22"/>
  <c r="C25" i="22"/>
  <c r="F24" i="22"/>
  <c r="E24" i="22"/>
  <c r="D24" i="22"/>
  <c r="C24" i="22"/>
  <c r="B24" i="22"/>
  <c r="F23" i="22"/>
  <c r="E23" i="22"/>
  <c r="D23" i="22"/>
  <c r="C23" i="22"/>
  <c r="B23" i="22"/>
  <c r="F22" i="22"/>
  <c r="E22" i="22"/>
  <c r="D22" i="22"/>
  <c r="C22" i="22"/>
  <c r="B22" i="22"/>
  <c r="F21" i="22"/>
  <c r="E21" i="22"/>
  <c r="D21" i="22"/>
  <c r="B21" i="22"/>
  <c r="F20" i="22"/>
  <c r="E20" i="22"/>
  <c r="D20" i="22"/>
  <c r="C20" i="22"/>
  <c r="B20" i="22"/>
  <c r="F19" i="22"/>
  <c r="E19" i="22"/>
  <c r="D19" i="22"/>
  <c r="C19" i="22"/>
  <c r="B19" i="22"/>
  <c r="F18" i="22"/>
  <c r="E18" i="22"/>
  <c r="D18" i="22"/>
  <c r="C18" i="22"/>
  <c r="B18" i="22"/>
  <c r="F17" i="22"/>
  <c r="E17" i="22"/>
  <c r="D17" i="22"/>
  <c r="C17" i="22"/>
  <c r="B17" i="22"/>
  <c r="F16" i="22"/>
  <c r="F26" i="22" s="1"/>
  <c r="E16" i="22"/>
  <c r="E26" i="22" s="1"/>
  <c r="D16" i="22"/>
  <c r="D26" i="22" s="1"/>
  <c r="C16" i="22"/>
  <c r="C26" i="22" s="1"/>
  <c r="F11" i="22"/>
  <c r="E11" i="22"/>
  <c r="D11" i="22"/>
  <c r="C11" i="22"/>
  <c r="F10" i="22"/>
  <c r="E10" i="22"/>
  <c r="D10" i="22"/>
  <c r="C10" i="22"/>
  <c r="B10" i="22"/>
  <c r="F9" i="22"/>
  <c r="F12" i="22" s="1"/>
  <c r="E9" i="22"/>
  <c r="E12" i="22" s="1"/>
  <c r="D9" i="22"/>
  <c r="D12" i="22" s="1"/>
  <c r="C9" i="22"/>
  <c r="C12" i="22" s="1"/>
  <c r="B9" i="22"/>
  <c r="F81" i="21"/>
  <c r="E81" i="21"/>
  <c r="D81" i="21"/>
  <c r="G81" i="21" s="1"/>
  <c r="G73" i="21"/>
  <c r="C73" i="21"/>
  <c r="G72" i="21"/>
  <c r="C72" i="21"/>
  <c r="G71" i="21"/>
  <c r="C71" i="21"/>
  <c r="G70" i="21"/>
  <c r="C70" i="21"/>
  <c r="G69" i="21"/>
  <c r="C69" i="21"/>
  <c r="G68" i="21"/>
  <c r="C68" i="21"/>
  <c r="G58" i="21"/>
  <c r="C58" i="21"/>
  <c r="G49" i="21"/>
  <c r="C49" i="21"/>
  <c r="J48" i="21"/>
  <c r="G48" i="21"/>
  <c r="C48" i="21"/>
  <c r="G47" i="21"/>
  <c r="C47" i="21"/>
  <c r="F46" i="21"/>
  <c r="E46" i="21"/>
  <c r="D46" i="21"/>
  <c r="F43" i="21"/>
  <c r="E43" i="21"/>
  <c r="D43" i="21"/>
  <c r="G43" i="21" s="1"/>
  <c r="C43" i="21"/>
  <c r="F40" i="21"/>
  <c r="E40" i="21"/>
  <c r="D40" i="21"/>
  <c r="F39" i="21"/>
  <c r="E39" i="21"/>
  <c r="D39" i="21"/>
  <c r="F38" i="21"/>
  <c r="E38" i="21"/>
  <c r="C38" i="21" s="1"/>
  <c r="D38" i="21"/>
  <c r="G38" i="21" s="1"/>
  <c r="F37" i="21"/>
  <c r="E37" i="21"/>
  <c r="D37" i="21"/>
  <c r="F36" i="21"/>
  <c r="E36" i="21"/>
  <c r="D36" i="21"/>
  <c r="G36" i="21" s="1"/>
  <c r="C36" i="21"/>
  <c r="J35" i="21"/>
  <c r="F35" i="21"/>
  <c r="F41" i="21" s="1"/>
  <c r="E35" i="21"/>
  <c r="E41" i="21" s="1"/>
  <c r="D35" i="21"/>
  <c r="F31" i="21"/>
  <c r="E31" i="21"/>
  <c r="D31" i="21"/>
  <c r="F30" i="21"/>
  <c r="E30" i="21"/>
  <c r="D30" i="21"/>
  <c r="G30" i="21" s="1"/>
  <c r="C30" i="21"/>
  <c r="B30" i="21"/>
  <c r="F29" i="21"/>
  <c r="E29" i="21"/>
  <c r="D29" i="21"/>
  <c r="B29" i="21"/>
  <c r="F28" i="21"/>
  <c r="E28" i="21"/>
  <c r="D28" i="21"/>
  <c r="B28" i="21"/>
  <c r="F27" i="21"/>
  <c r="E27" i="21"/>
  <c r="D27" i="21"/>
  <c r="G27" i="21" s="1"/>
  <c r="C27" i="21"/>
  <c r="B27" i="21"/>
  <c r="J26" i="21"/>
  <c r="F26" i="21"/>
  <c r="F32" i="21" s="1"/>
  <c r="E26" i="21"/>
  <c r="E32" i="21" s="1"/>
  <c r="D26" i="21"/>
  <c r="C26" i="21"/>
  <c r="B26" i="21"/>
  <c r="G22" i="21"/>
  <c r="C22" i="21"/>
  <c r="G21" i="21"/>
  <c r="C21" i="21"/>
  <c r="F20" i="21"/>
  <c r="E20" i="21"/>
  <c r="D20" i="21"/>
  <c r="F19" i="21"/>
  <c r="E19" i="21"/>
  <c r="D19" i="21"/>
  <c r="F18" i="21"/>
  <c r="E18" i="21"/>
  <c r="D18" i="21"/>
  <c r="G18" i="21" s="1"/>
  <c r="C18" i="21"/>
  <c r="F17" i="21"/>
  <c r="E17" i="21"/>
  <c r="D17" i="21"/>
  <c r="F16" i="21"/>
  <c r="E16" i="21"/>
  <c r="D16" i="21"/>
  <c r="F15" i="21"/>
  <c r="F23" i="21" s="1"/>
  <c r="E15" i="21"/>
  <c r="E23" i="21" s="1"/>
  <c r="D15" i="21"/>
  <c r="F12" i="21"/>
  <c r="E12" i="21"/>
  <c r="D12" i="21"/>
  <c r="G12" i="21" s="1"/>
  <c r="C12" i="21"/>
  <c r="F8" i="21"/>
  <c r="E8" i="21"/>
  <c r="D8" i="21"/>
  <c r="C8" i="21"/>
  <c r="G7" i="21"/>
  <c r="C7" i="21"/>
  <c r="I6" i="21"/>
  <c r="G6" i="21"/>
  <c r="C6" i="21"/>
  <c r="G5" i="21"/>
  <c r="C5" i="21"/>
  <c r="H46" i="13"/>
  <c r="H37" i="13"/>
  <c r="H35" i="13"/>
  <c r="H25" i="13"/>
  <c r="H22" i="13"/>
  <c r="H18" i="13"/>
  <c r="H21" i="13" s="1"/>
  <c r="H13" i="13"/>
  <c r="H16" i="13" s="1"/>
  <c r="J63" i="12"/>
  <c r="H19" i="14" s="1"/>
  <c r="J64" i="12"/>
  <c r="K64" i="12"/>
  <c r="K63" i="12"/>
  <c r="I19" i="14" s="1"/>
  <c r="F88" i="10"/>
  <c r="F24" i="10"/>
  <c r="H23" i="14"/>
  <c r="J61" i="12"/>
  <c r="H13" i="14" s="1"/>
  <c r="K61" i="12"/>
  <c r="I13" i="14" s="1"/>
  <c r="J62" i="12"/>
  <c r="H20" i="14" s="1"/>
  <c r="K62" i="12"/>
  <c r="I20" i="14" s="1"/>
  <c r="J65" i="12"/>
  <c r="H21" i="14" s="1"/>
  <c r="K65" i="12"/>
  <c r="I21" i="14" s="1"/>
  <c r="J18" i="11"/>
  <c r="G81" i="10"/>
  <c r="G41" i="10"/>
  <c r="G13" i="10"/>
  <c r="G11" i="10"/>
  <c r="G5" i="10"/>
  <c r="G43" i="10"/>
  <c r="I23" i="14" s="1"/>
  <c r="G27" i="10"/>
  <c r="G24" i="10"/>
  <c r="K28" i="12" s="1"/>
  <c r="G21" i="10"/>
  <c r="K30" i="12" s="1"/>
  <c r="G22" i="10"/>
  <c r="G14" i="10"/>
  <c r="G19" i="10"/>
  <c r="G37" i="10"/>
  <c r="G67" i="10"/>
  <c r="G69" i="10"/>
  <c r="K41" i="12" s="1"/>
  <c r="G55" i="10"/>
  <c r="K31" i="12" s="1"/>
  <c r="G58" i="10"/>
  <c r="K33" i="12" s="1"/>
  <c r="G64" i="10"/>
  <c r="K38" i="12" s="1"/>
  <c r="F67" i="10"/>
  <c r="D20" i="20"/>
  <c r="D16" i="20"/>
  <c r="D15" i="20"/>
  <c r="D13" i="20"/>
  <c r="F108" i="10"/>
  <c r="F81" i="10"/>
  <c r="F69" i="10"/>
  <c r="F74" i="10"/>
  <c r="F55" i="10"/>
  <c r="F58" i="10"/>
  <c r="F64" i="10"/>
  <c r="F5" i="10"/>
  <c r="F41" i="10"/>
  <c r="F13" i="10"/>
  <c r="F37" i="10"/>
  <c r="B9" i="19"/>
  <c r="C9" i="19"/>
  <c r="D9" i="19"/>
  <c r="E9" i="19"/>
  <c r="F9" i="19"/>
  <c r="B10" i="19"/>
  <c r="C10" i="19"/>
  <c r="D10" i="19"/>
  <c r="E10" i="19"/>
  <c r="E12" i="19" s="1"/>
  <c r="F10" i="19"/>
  <c r="F12" i="19" s="1"/>
  <c r="C11" i="19"/>
  <c r="C12" i="19" s="1"/>
  <c r="D11" i="19"/>
  <c r="E11" i="19"/>
  <c r="F11" i="19"/>
  <c r="C16" i="19"/>
  <c r="D16" i="19"/>
  <c r="E16" i="19"/>
  <c r="F16" i="19"/>
  <c r="B17" i="19"/>
  <c r="C17" i="19"/>
  <c r="D17" i="19"/>
  <c r="E17" i="19"/>
  <c r="F17" i="19"/>
  <c r="B18" i="19"/>
  <c r="C18" i="19"/>
  <c r="D18" i="19"/>
  <c r="E18" i="19"/>
  <c r="F18" i="19"/>
  <c r="B19" i="19"/>
  <c r="C19" i="19"/>
  <c r="D19" i="19"/>
  <c r="E19" i="19"/>
  <c r="F19" i="19"/>
  <c r="B20" i="19"/>
  <c r="C20" i="19"/>
  <c r="D20" i="19"/>
  <c r="E20" i="19"/>
  <c r="F20" i="19"/>
  <c r="B21" i="19"/>
  <c r="C21" i="19"/>
  <c r="D21" i="19"/>
  <c r="E21" i="19"/>
  <c r="F21" i="19"/>
  <c r="B22" i="19"/>
  <c r="C22" i="19"/>
  <c r="D22" i="19"/>
  <c r="E22" i="19"/>
  <c r="F22" i="19"/>
  <c r="B23" i="19"/>
  <c r="C23" i="19"/>
  <c r="D23" i="19"/>
  <c r="E23" i="19"/>
  <c r="F23" i="19"/>
  <c r="B24" i="19"/>
  <c r="C24" i="19"/>
  <c r="D24" i="19"/>
  <c r="E24" i="19"/>
  <c r="F24" i="19"/>
  <c r="C25" i="19"/>
  <c r="D25" i="19"/>
  <c r="E25" i="19"/>
  <c r="F25" i="19"/>
  <c r="B26" i="19"/>
  <c r="B30" i="19"/>
  <c r="C30" i="19"/>
  <c r="D30" i="19"/>
  <c r="E30" i="19"/>
  <c r="F30" i="19"/>
  <c r="B31" i="19"/>
  <c r="C31" i="19"/>
  <c r="D31" i="19"/>
  <c r="E31" i="19"/>
  <c r="F31" i="19"/>
  <c r="B32" i="19"/>
  <c r="C32" i="19"/>
  <c r="D32" i="19"/>
  <c r="E32" i="19"/>
  <c r="F32" i="19"/>
  <c r="B33" i="19"/>
  <c r="C33" i="19"/>
  <c r="D33" i="19"/>
  <c r="E33" i="19"/>
  <c r="F33" i="19"/>
  <c r="B34" i="19"/>
  <c r="C34" i="19"/>
  <c r="D34" i="19"/>
  <c r="E34" i="19"/>
  <c r="F34" i="19"/>
  <c r="C35" i="19"/>
  <c r="D35" i="19"/>
  <c r="E35" i="19"/>
  <c r="F35" i="19"/>
  <c r="B36" i="19"/>
  <c r="C36" i="19"/>
  <c r="D36" i="19"/>
  <c r="E36" i="19"/>
  <c r="F36" i="19"/>
  <c r="B40" i="19"/>
  <c r="C40" i="19"/>
  <c r="D40" i="19"/>
  <c r="E40" i="19"/>
  <c r="F40" i="19"/>
  <c r="C41" i="19"/>
  <c r="D41" i="19"/>
  <c r="E41" i="19"/>
  <c r="F41" i="19"/>
  <c r="B42" i="19"/>
  <c r="C42" i="19"/>
  <c r="D42" i="19"/>
  <c r="E42" i="19"/>
  <c r="F42" i="19"/>
  <c r="B43" i="19"/>
  <c r="C43" i="19"/>
  <c r="D43" i="19"/>
  <c r="E43" i="19"/>
  <c r="F43" i="19"/>
  <c r="B44" i="19"/>
  <c r="C44" i="19"/>
  <c r="D44" i="19"/>
  <c r="E44" i="19"/>
  <c r="F44" i="19"/>
  <c r="B45" i="19"/>
  <c r="C45" i="19"/>
  <c r="D45" i="19"/>
  <c r="E45" i="19"/>
  <c r="F45" i="19"/>
  <c r="B46" i="19"/>
  <c r="C49" i="19"/>
  <c r="D49" i="19"/>
  <c r="E49" i="19"/>
  <c r="F49" i="19"/>
  <c r="C52" i="19"/>
  <c r="D52" i="19"/>
  <c r="E52" i="19"/>
  <c r="F52" i="19"/>
  <c r="C60" i="19"/>
  <c r="D60" i="19"/>
  <c r="E60" i="19"/>
  <c r="F60" i="19"/>
  <c r="C61" i="19"/>
  <c r="D61" i="19"/>
  <c r="E61" i="19"/>
  <c r="F61" i="19"/>
  <c r="C67" i="19"/>
  <c r="D67" i="19"/>
  <c r="E67" i="19"/>
  <c r="F67" i="19"/>
  <c r="C68" i="19"/>
  <c r="D68" i="19"/>
  <c r="E68" i="19"/>
  <c r="F68" i="19"/>
  <c r="C69" i="19"/>
  <c r="D69" i="19"/>
  <c r="E69" i="19"/>
  <c r="F69" i="19"/>
  <c r="C70" i="19"/>
  <c r="D70" i="19"/>
  <c r="E70" i="19"/>
  <c r="F70" i="19"/>
  <c r="C71" i="19"/>
  <c r="D71" i="19"/>
  <c r="E71" i="19"/>
  <c r="F71" i="19"/>
  <c r="C5" i="18"/>
  <c r="G5" i="18"/>
  <c r="C6" i="18"/>
  <c r="G6" i="18"/>
  <c r="I6" i="18"/>
  <c r="C7" i="18"/>
  <c r="G7" i="18"/>
  <c r="D8" i="18"/>
  <c r="E8" i="18"/>
  <c r="F8" i="18"/>
  <c r="G8" i="18"/>
  <c r="D12" i="18"/>
  <c r="C12" i="18" s="1"/>
  <c r="E12" i="18"/>
  <c r="F12" i="18"/>
  <c r="D15" i="18"/>
  <c r="C15" i="18" s="1"/>
  <c r="E15" i="18"/>
  <c r="F15" i="18"/>
  <c r="F44" i="18" s="1"/>
  <c r="G15" i="18"/>
  <c r="C16" i="18"/>
  <c r="D16" i="18"/>
  <c r="G16" i="18" s="1"/>
  <c r="E16" i="18"/>
  <c r="F16" i="18"/>
  <c r="D17" i="18"/>
  <c r="C17" i="18" s="1"/>
  <c r="E17" i="18"/>
  <c r="F17" i="18"/>
  <c r="G17" i="18"/>
  <c r="D18" i="18"/>
  <c r="D44" i="18" s="1"/>
  <c r="E18" i="18"/>
  <c r="F18" i="18"/>
  <c r="D19" i="18"/>
  <c r="C19" i="18" s="1"/>
  <c r="E19" i="18"/>
  <c r="F19" i="18"/>
  <c r="G19" i="18"/>
  <c r="D20" i="18"/>
  <c r="G20" i="18" s="1"/>
  <c r="E20" i="18"/>
  <c r="E44" i="18" s="1"/>
  <c r="F20" i="18"/>
  <c r="F23" i="18" s="1"/>
  <c r="C21" i="18"/>
  <c r="G21" i="18"/>
  <c r="C22" i="18"/>
  <c r="G22" i="18"/>
  <c r="E23" i="18"/>
  <c r="B26" i="18"/>
  <c r="D26" i="18"/>
  <c r="C26" i="18" s="1"/>
  <c r="E26" i="18"/>
  <c r="F26" i="18"/>
  <c r="J26" i="18"/>
  <c r="B27" i="18"/>
  <c r="D27" i="18"/>
  <c r="G27" i="18" s="1"/>
  <c r="E27" i="18"/>
  <c r="E32" i="18" s="1"/>
  <c r="F27" i="18"/>
  <c r="C28" i="18"/>
  <c r="D28" i="18"/>
  <c r="E28" i="18"/>
  <c r="F28" i="18"/>
  <c r="G28" i="18"/>
  <c r="B29" i="18"/>
  <c r="D29" i="18"/>
  <c r="G29" i="18" s="1"/>
  <c r="E29" i="18"/>
  <c r="F29" i="18"/>
  <c r="B30" i="18"/>
  <c r="C30" i="18"/>
  <c r="D30" i="18"/>
  <c r="E30" i="18"/>
  <c r="F30" i="18"/>
  <c r="G30" i="18"/>
  <c r="D31" i="18"/>
  <c r="G31" i="18" s="1"/>
  <c r="E31" i="18"/>
  <c r="F31" i="18"/>
  <c r="F32" i="18" s="1"/>
  <c r="D35" i="18"/>
  <c r="C35" i="18" s="1"/>
  <c r="E35" i="18"/>
  <c r="E41" i="18" s="1"/>
  <c r="F35" i="18"/>
  <c r="F41" i="18" s="1"/>
  <c r="G35" i="18"/>
  <c r="J35" i="18"/>
  <c r="D36" i="18"/>
  <c r="C36" i="18" s="1"/>
  <c r="E36" i="18"/>
  <c r="F36" i="18"/>
  <c r="D37" i="18"/>
  <c r="C37" i="18" s="1"/>
  <c r="E37" i="18"/>
  <c r="F37" i="18"/>
  <c r="G37" i="18"/>
  <c r="D38" i="18"/>
  <c r="C38" i="18" s="1"/>
  <c r="E38" i="18"/>
  <c r="F38" i="18"/>
  <c r="C39" i="18"/>
  <c r="D39" i="18"/>
  <c r="E39" i="18"/>
  <c r="F39" i="18"/>
  <c r="G39" i="18"/>
  <c r="D40" i="18"/>
  <c r="G40" i="18" s="1"/>
  <c r="E40" i="18"/>
  <c r="F40" i="18"/>
  <c r="D43" i="18"/>
  <c r="C43" i="18" s="1"/>
  <c r="E43" i="18"/>
  <c r="F43" i="18"/>
  <c r="G43" i="18"/>
  <c r="D46" i="18"/>
  <c r="C46" i="18" s="1"/>
  <c r="E46" i="18"/>
  <c r="F46" i="18"/>
  <c r="G46" i="18"/>
  <c r="C47" i="18"/>
  <c r="G47" i="18"/>
  <c r="C48" i="18"/>
  <c r="G48" i="18"/>
  <c r="J48" i="18"/>
  <c r="C49" i="18"/>
  <c r="G49" i="18"/>
  <c r="C58" i="18"/>
  <c r="G58" i="18"/>
  <c r="C68" i="18"/>
  <c r="G68" i="18"/>
  <c r="C69" i="18"/>
  <c r="G69" i="18"/>
  <c r="C70" i="18"/>
  <c r="G70" i="18"/>
  <c r="C71" i="18"/>
  <c r="G71" i="18"/>
  <c r="C72" i="18"/>
  <c r="C81" i="18" s="1"/>
  <c r="G72" i="18"/>
  <c r="C73" i="18"/>
  <c r="G73" i="18"/>
  <c r="D81" i="18"/>
  <c r="G81" i="18" s="1"/>
  <c r="E81" i="18"/>
  <c r="F81" i="18"/>
  <c r="Q5" i="17"/>
  <c r="R5" i="17"/>
  <c r="C7" i="17"/>
  <c r="H7" i="17"/>
  <c r="C8" i="17"/>
  <c r="H8" i="17"/>
  <c r="C9" i="17"/>
  <c r="H9" i="17"/>
  <c r="O9" i="17"/>
  <c r="P9" i="17"/>
  <c r="Q9" i="17" s="1"/>
  <c r="C10" i="17"/>
  <c r="H10" i="17"/>
  <c r="C11" i="17"/>
  <c r="H11" i="17"/>
  <c r="C12" i="17"/>
  <c r="H12" i="17"/>
  <c r="C13" i="17"/>
  <c r="H13" i="17"/>
  <c r="C14" i="17"/>
  <c r="H14" i="17"/>
  <c r="R14" i="17"/>
  <c r="R16" i="17" s="1"/>
  <c r="R18" i="17" s="1"/>
  <c r="D15" i="17"/>
  <c r="H15" i="17" s="1"/>
  <c r="E15" i="17"/>
  <c r="F15" i="17"/>
  <c r="C18" i="17"/>
  <c r="H18" i="17"/>
  <c r="C19" i="17"/>
  <c r="H19" i="17"/>
  <c r="P19" i="17"/>
  <c r="C20" i="17"/>
  <c r="H20" i="17"/>
  <c r="O20" i="17"/>
  <c r="D21" i="17"/>
  <c r="C21" i="17" s="1"/>
  <c r="E21" i="17"/>
  <c r="E41" i="17" s="1"/>
  <c r="F21" i="17"/>
  <c r="H21" i="17"/>
  <c r="O23" i="17"/>
  <c r="C24" i="17"/>
  <c r="H24" i="17"/>
  <c r="C25" i="17"/>
  <c r="H25" i="17"/>
  <c r="O25" i="17"/>
  <c r="C26" i="17"/>
  <c r="H26" i="17"/>
  <c r="C27" i="17"/>
  <c r="H27" i="17"/>
  <c r="C28" i="17"/>
  <c r="H28" i="17"/>
  <c r="C29" i="17"/>
  <c r="H29" i="17"/>
  <c r="C30" i="17"/>
  <c r="H30" i="17"/>
  <c r="Q30" i="17"/>
  <c r="Q33" i="17" s="1"/>
  <c r="Q35" i="17" s="1"/>
  <c r="C31" i="17"/>
  <c r="H31" i="17"/>
  <c r="C32" i="17"/>
  <c r="H32" i="17"/>
  <c r="C33" i="17"/>
  <c r="H33" i="17"/>
  <c r="C34" i="17"/>
  <c r="H34" i="17"/>
  <c r="C35" i="17"/>
  <c r="H35" i="17"/>
  <c r="C36" i="17"/>
  <c r="H36" i="17"/>
  <c r="C37" i="17"/>
  <c r="H37" i="17"/>
  <c r="C38" i="17"/>
  <c r="H38" i="17"/>
  <c r="D39" i="17"/>
  <c r="C39" i="17" s="1"/>
  <c r="E39" i="17"/>
  <c r="F39" i="17"/>
  <c r="H39" i="17"/>
  <c r="D41" i="17"/>
  <c r="H41" i="17" s="1"/>
  <c r="F41" i="17"/>
  <c r="F45" i="17" s="1"/>
  <c r="C43" i="17"/>
  <c r="H43" i="17"/>
  <c r="C47" i="17"/>
  <c r="H47" i="17"/>
  <c r="C48" i="17"/>
  <c r="H48" i="17"/>
  <c r="G50" i="17"/>
  <c r="C50" i="17" s="1"/>
  <c r="F57" i="17"/>
  <c r="D58" i="11" l="1"/>
  <c r="D69" i="11"/>
  <c r="D9" i="12" s="1"/>
  <c r="D8" i="12"/>
  <c r="D56" i="12" s="1"/>
  <c r="D70" i="12" s="1"/>
  <c r="F58" i="11"/>
  <c r="F68" i="11"/>
  <c r="F69" i="11" s="1"/>
  <c r="F9" i="12" s="1"/>
  <c r="F33" i="11"/>
  <c r="F64" i="11"/>
  <c r="F46" i="11"/>
  <c r="F8" i="12"/>
  <c r="F56" i="12" s="1"/>
  <c r="F70" i="12" s="1"/>
  <c r="E45" i="12"/>
  <c r="E40" i="12"/>
  <c r="E26" i="12"/>
  <c r="E47" i="12"/>
  <c r="E35" i="12"/>
  <c r="E22" i="14"/>
  <c r="E64" i="12"/>
  <c r="E43" i="12"/>
  <c r="E28" i="12"/>
  <c r="E13" i="12"/>
  <c r="E50" i="12"/>
  <c r="E38" i="12"/>
  <c r="E24" i="12"/>
  <c r="E49" i="12"/>
  <c r="E37" i="12"/>
  <c r="E23" i="12"/>
  <c r="E48" i="12"/>
  <c r="E36" i="12"/>
  <c r="E19" i="12"/>
  <c r="E18" i="12"/>
  <c r="E33" i="12"/>
  <c r="E17" i="12"/>
  <c r="E32" i="12"/>
  <c r="E51" i="12"/>
  <c r="E21" i="14"/>
  <c r="E31" i="12"/>
  <c r="E61" i="12"/>
  <c r="E18" i="11"/>
  <c r="K12" i="11"/>
  <c r="I8" i="14" s="1"/>
  <c r="E42" i="11"/>
  <c r="E21" i="11"/>
  <c r="E41" i="11"/>
  <c r="E63" i="11"/>
  <c r="E11" i="11"/>
  <c r="E19" i="11"/>
  <c r="E27" i="11"/>
  <c r="E22" i="11"/>
  <c r="H64" i="11"/>
  <c r="H69" i="11"/>
  <c r="H9" i="12" s="1"/>
  <c r="H8" i="12"/>
  <c r="H56" i="12" s="1"/>
  <c r="H70" i="12" s="1"/>
  <c r="C68" i="12"/>
  <c r="E66" i="12"/>
  <c r="E19" i="14"/>
  <c r="E65" i="12"/>
  <c r="E20" i="14"/>
  <c r="E63" i="12"/>
  <c r="E62" i="12"/>
  <c r="C52" i="12"/>
  <c r="C20" i="12"/>
  <c r="E36" i="11"/>
  <c r="C32" i="11"/>
  <c r="E55" i="11"/>
  <c r="F15" i="14"/>
  <c r="E51" i="11"/>
  <c r="E61" i="11"/>
  <c r="E44" i="11"/>
  <c r="E43" i="11"/>
  <c r="E38" i="11"/>
  <c r="E25" i="14"/>
  <c r="C25" i="14"/>
  <c r="E13" i="14"/>
  <c r="C13" i="14"/>
  <c r="J12" i="11"/>
  <c r="H8" i="14" s="1"/>
  <c r="E49" i="11"/>
  <c r="C57" i="11"/>
  <c r="D15" i="14"/>
  <c r="C15" i="14" s="1"/>
  <c r="E54" i="11"/>
  <c r="C12" i="11"/>
  <c r="D8" i="14" s="1"/>
  <c r="C8" i="14" s="1"/>
  <c r="E9" i="11"/>
  <c r="C45" i="11"/>
  <c r="J15" i="24"/>
  <c r="J22" i="24" s="1"/>
  <c r="D21" i="24"/>
  <c r="D22" i="24"/>
  <c r="F22" i="24"/>
  <c r="F21" i="24"/>
  <c r="E22" i="24"/>
  <c r="E21" i="24"/>
  <c r="C83" i="13"/>
  <c r="I20" i="12"/>
  <c r="I52" i="12"/>
  <c r="J52" i="12"/>
  <c r="G15" i="14"/>
  <c r="I45" i="11"/>
  <c r="M12" i="11"/>
  <c r="G12" i="11"/>
  <c r="F8" i="14" s="1"/>
  <c r="E8" i="14" s="1"/>
  <c r="I15" i="14"/>
  <c r="H15" i="14"/>
  <c r="C52" i="10"/>
  <c r="C91" i="10"/>
  <c r="C101" i="10" s="1"/>
  <c r="C105" i="10" s="1"/>
  <c r="C106" i="10" s="1"/>
  <c r="F23" i="14"/>
  <c r="E23" i="14" s="1"/>
  <c r="G29" i="11"/>
  <c r="E29" i="11" s="1"/>
  <c r="K52" i="12"/>
  <c r="C10" i="15"/>
  <c r="H81" i="13"/>
  <c r="E81" i="13"/>
  <c r="D81" i="13"/>
  <c r="D48" i="13"/>
  <c r="F38" i="13"/>
  <c r="F48" i="13" s="1"/>
  <c r="F7" i="15"/>
  <c r="I12" i="11"/>
  <c r="G8" i="14" s="1"/>
  <c r="L12" i="11"/>
  <c r="G45" i="11"/>
  <c r="J20" i="12"/>
  <c r="I57" i="11"/>
  <c r="K20" i="12"/>
  <c r="J32" i="11"/>
  <c r="E101" i="10"/>
  <c r="E105" i="10" s="1"/>
  <c r="F24" i="14"/>
  <c r="E24" i="14" s="1"/>
  <c r="G68" i="12"/>
  <c r="G15" i="24"/>
  <c r="L21" i="24"/>
  <c r="M19" i="24"/>
  <c r="G19" i="24"/>
  <c r="J21" i="24"/>
  <c r="N19" i="24"/>
  <c r="O19" i="24"/>
  <c r="O15" i="24"/>
  <c r="G56" i="11"/>
  <c r="E56" i="11" s="1"/>
  <c r="G53" i="11"/>
  <c r="E53" i="11" s="1"/>
  <c r="G44" i="12"/>
  <c r="E44" i="12" s="1"/>
  <c r="G15" i="12"/>
  <c r="E15" i="12" s="1"/>
  <c r="G25" i="12"/>
  <c r="E25" i="12" s="1"/>
  <c r="G42" i="12"/>
  <c r="E42" i="12" s="1"/>
  <c r="G46" i="12"/>
  <c r="E46" i="12" s="1"/>
  <c r="D46" i="10"/>
  <c r="G24" i="11"/>
  <c r="E24" i="11" s="1"/>
  <c r="G12" i="12"/>
  <c r="E12" i="12" s="1"/>
  <c r="G30" i="12"/>
  <c r="E30" i="12" s="1"/>
  <c r="D89" i="10"/>
  <c r="G23" i="11"/>
  <c r="E23" i="11" s="1"/>
  <c r="D10" i="15"/>
  <c r="E38" i="13"/>
  <c r="E48" i="13" s="1"/>
  <c r="E10" i="15"/>
  <c r="F81" i="13"/>
  <c r="F8" i="15"/>
  <c r="I32" i="11"/>
  <c r="J57" i="11"/>
  <c r="I68" i="12"/>
  <c r="I24" i="14"/>
  <c r="K68" i="12"/>
  <c r="K45" i="11"/>
  <c r="G46" i="10"/>
  <c r="G50" i="10" s="1"/>
  <c r="G89" i="10"/>
  <c r="F89" i="10"/>
  <c r="J68" i="12"/>
  <c r="H24" i="14"/>
  <c r="K32" i="11"/>
  <c r="J45" i="11"/>
  <c r="H39" i="23"/>
  <c r="C39" i="23"/>
  <c r="H21" i="23"/>
  <c r="C21" i="23"/>
  <c r="F45" i="23"/>
  <c r="F57" i="23"/>
  <c r="E45" i="23"/>
  <c r="E57" i="23"/>
  <c r="H15" i="23"/>
  <c r="D41" i="23"/>
  <c r="H36" i="13"/>
  <c r="H38" i="13" s="1"/>
  <c r="F55" i="22"/>
  <c r="F27" i="22"/>
  <c r="E27" i="22"/>
  <c r="E55" i="22"/>
  <c r="D55" i="22"/>
  <c r="D27" i="22" s="1"/>
  <c r="C55" i="22"/>
  <c r="C27" i="22" s="1"/>
  <c r="C81" i="21"/>
  <c r="F44" i="21"/>
  <c r="E44" i="21"/>
  <c r="C46" i="21"/>
  <c r="D44" i="21"/>
  <c r="G46" i="21"/>
  <c r="G40" i="21"/>
  <c r="C40" i="21"/>
  <c r="G39" i="21"/>
  <c r="C39" i="21"/>
  <c r="C37" i="21"/>
  <c r="G37" i="21"/>
  <c r="G35" i="21"/>
  <c r="C35" i="21"/>
  <c r="C41" i="21" s="1"/>
  <c r="D41" i="21"/>
  <c r="G41" i="21" s="1"/>
  <c r="C31" i="21"/>
  <c r="G31" i="21"/>
  <c r="G29" i="21"/>
  <c r="C29" i="21"/>
  <c r="G28" i="21"/>
  <c r="C28" i="21"/>
  <c r="C32" i="21" s="1"/>
  <c r="G26" i="21"/>
  <c r="D32" i="21"/>
  <c r="G32" i="21" s="1"/>
  <c r="C20" i="21"/>
  <c r="G20" i="21"/>
  <c r="C19" i="21"/>
  <c r="G19" i="21"/>
  <c r="C17" i="21"/>
  <c r="G17" i="21"/>
  <c r="G16" i="21"/>
  <c r="C16" i="21"/>
  <c r="G15" i="21"/>
  <c r="C15" i="21"/>
  <c r="C23" i="21" s="1"/>
  <c r="D23" i="21"/>
  <c r="G8" i="21"/>
  <c r="F46" i="10"/>
  <c r="F50" i="10" s="1"/>
  <c r="D46" i="19"/>
  <c r="D12" i="19"/>
  <c r="F26" i="19"/>
  <c r="F62" i="19"/>
  <c r="E72" i="19"/>
  <c r="E62" i="19"/>
  <c r="C46" i="19"/>
  <c r="D72" i="19"/>
  <c r="D62" i="19"/>
  <c r="C72" i="19"/>
  <c r="F46" i="19"/>
  <c r="F55" i="19" s="1"/>
  <c r="F57" i="19" s="1"/>
  <c r="D26" i="19"/>
  <c r="D55" i="19" s="1"/>
  <c r="D53" i="19" s="1"/>
  <c r="E26" i="19"/>
  <c r="C62" i="19"/>
  <c r="E46" i="19"/>
  <c r="C26" i="19"/>
  <c r="F72" i="19"/>
  <c r="E55" i="19"/>
  <c r="E53" i="19" s="1"/>
  <c r="C44" i="18"/>
  <c r="G44" i="18"/>
  <c r="J15" i="18"/>
  <c r="J17" i="18" s="1"/>
  <c r="C18" i="18"/>
  <c r="C23" i="18" s="1"/>
  <c r="C8" i="18"/>
  <c r="D23" i="18"/>
  <c r="G26" i="18"/>
  <c r="C27" i="18"/>
  <c r="C32" i="18" s="1"/>
  <c r="C20" i="18"/>
  <c r="G36" i="18"/>
  <c r="G12" i="18"/>
  <c r="C40" i="18"/>
  <c r="C41" i="18" s="1"/>
  <c r="C31" i="18"/>
  <c r="D41" i="18"/>
  <c r="G41" i="18" s="1"/>
  <c r="G38" i="18"/>
  <c r="D32" i="18"/>
  <c r="G32" i="18" s="1"/>
  <c r="G18" i="18"/>
  <c r="C29" i="18"/>
  <c r="E57" i="17"/>
  <c r="E45" i="17"/>
  <c r="H50" i="17"/>
  <c r="C41" i="17"/>
  <c r="C15" i="17"/>
  <c r="D45" i="17"/>
  <c r="D57" i="17"/>
  <c r="C54" i="12" l="1"/>
  <c r="E68" i="12"/>
  <c r="E45" i="11"/>
  <c r="C66" i="11"/>
  <c r="C46" i="11" s="1"/>
  <c r="E12" i="11"/>
  <c r="I54" i="12"/>
  <c r="E52" i="12"/>
  <c r="E15" i="14"/>
  <c r="E20" i="12"/>
  <c r="G20" i="12"/>
  <c r="E32" i="11"/>
  <c r="E57" i="11"/>
  <c r="G22" i="24"/>
  <c r="H21" i="24"/>
  <c r="H22" i="24"/>
  <c r="M22" i="24"/>
  <c r="M21" i="24"/>
  <c r="C58" i="11"/>
  <c r="C64" i="11"/>
  <c r="C68" i="11"/>
  <c r="D9" i="14" s="1"/>
  <c r="C33" i="11"/>
  <c r="G52" i="12"/>
  <c r="I22" i="24"/>
  <c r="I21" i="24"/>
  <c r="D83" i="13"/>
  <c r="K21" i="24"/>
  <c r="K22" i="24"/>
  <c r="G21" i="24"/>
  <c r="I66" i="11"/>
  <c r="G32" i="11"/>
  <c r="G57" i="11"/>
  <c r="K54" i="12"/>
  <c r="L22" i="24"/>
  <c r="N22" i="24"/>
  <c r="N21" i="24"/>
  <c r="O21" i="24"/>
  <c r="O22" i="24"/>
  <c r="D50" i="10"/>
  <c r="H48" i="13"/>
  <c r="H83" i="13" s="1"/>
  <c r="E83" i="13"/>
  <c r="F83" i="13"/>
  <c r="F10" i="15"/>
  <c r="J66" i="11"/>
  <c r="J54" i="12"/>
  <c r="G91" i="10"/>
  <c r="G101" i="10" s="1"/>
  <c r="G105" i="10" s="1"/>
  <c r="G52" i="10"/>
  <c r="K57" i="11"/>
  <c r="D57" i="23"/>
  <c r="C41" i="23"/>
  <c r="D45" i="23"/>
  <c r="H41" i="23"/>
  <c r="F57" i="22"/>
  <c r="F37" i="22"/>
  <c r="F47" i="22"/>
  <c r="F50" i="22"/>
  <c r="F53" i="22"/>
  <c r="E57" i="22"/>
  <c r="E37" i="22"/>
  <c r="E47" i="22"/>
  <c r="E50" i="22"/>
  <c r="E53" i="22"/>
  <c r="D57" i="22"/>
  <c r="D37" i="22"/>
  <c r="D47" i="22"/>
  <c r="D50" i="22"/>
  <c r="D53" i="22"/>
  <c r="C37" i="22"/>
  <c r="C47" i="22"/>
  <c r="C50" i="22"/>
  <c r="C53" i="22"/>
  <c r="C57" i="22"/>
  <c r="J15" i="21"/>
  <c r="J20" i="21"/>
  <c r="C44" i="21"/>
  <c r="G44" i="21"/>
  <c r="G23" i="21"/>
  <c r="F52" i="10"/>
  <c r="F91" i="10"/>
  <c r="F101" i="10" s="1"/>
  <c r="F105" i="10" s="1"/>
  <c r="F109" i="10" s="1"/>
  <c r="C55" i="19"/>
  <c r="C50" i="19"/>
  <c r="C47" i="19"/>
  <c r="E47" i="19"/>
  <c r="D37" i="19"/>
  <c r="E50" i="19"/>
  <c r="E37" i="19"/>
  <c r="F64" i="19"/>
  <c r="F74" i="19" s="1"/>
  <c r="F58" i="19"/>
  <c r="C27" i="19"/>
  <c r="D27" i="19"/>
  <c r="F50" i="19"/>
  <c r="D57" i="19"/>
  <c r="F47" i="19"/>
  <c r="F27" i="19"/>
  <c r="C57" i="19"/>
  <c r="D47" i="19"/>
  <c r="C37" i="19"/>
  <c r="F37" i="19"/>
  <c r="F53" i="19"/>
  <c r="E57" i="19"/>
  <c r="C53" i="19"/>
  <c r="E27" i="19"/>
  <c r="D50" i="19"/>
  <c r="G23" i="18"/>
  <c r="J21" i="18"/>
  <c r="J22" i="18"/>
  <c r="J20" i="18"/>
  <c r="C45" i="17"/>
  <c r="H45" i="17"/>
  <c r="E66" i="11" l="1"/>
  <c r="E68" i="11" s="1"/>
  <c r="G66" i="11"/>
  <c r="E54" i="12"/>
  <c r="E58" i="11"/>
  <c r="E33" i="11"/>
  <c r="E64" i="11"/>
  <c r="E46" i="11"/>
  <c r="E8" i="12"/>
  <c r="E69" i="11"/>
  <c r="E9" i="12" s="1"/>
  <c r="C9" i="14"/>
  <c r="C10" i="14" s="1"/>
  <c r="C69" i="11"/>
  <c r="C8" i="12"/>
  <c r="C56" i="12" s="1"/>
  <c r="C70" i="12" s="1"/>
  <c r="I68" i="11"/>
  <c r="I58" i="11"/>
  <c r="I64" i="11"/>
  <c r="I33" i="11"/>
  <c r="I46" i="11"/>
  <c r="G54" i="12"/>
  <c r="G64" i="11"/>
  <c r="J58" i="11"/>
  <c r="J33" i="11"/>
  <c r="D91" i="10"/>
  <c r="D101" i="10" s="1"/>
  <c r="D105" i="10" s="1"/>
  <c r="D106" i="10" s="1"/>
  <c r="D52" i="10"/>
  <c r="J64" i="11"/>
  <c r="J46" i="11"/>
  <c r="J68" i="11"/>
  <c r="J8" i="12" s="1"/>
  <c r="J56" i="12" s="1"/>
  <c r="J70" i="12" s="1"/>
  <c r="H11" i="14" s="1"/>
  <c r="H27" i="14" s="1"/>
  <c r="H28" i="14" s="1"/>
  <c r="K66" i="11"/>
  <c r="K58" i="11" s="1"/>
  <c r="C45" i="23"/>
  <c r="H45" i="23"/>
  <c r="F64" i="22"/>
  <c r="F74" i="22" s="1"/>
  <c r="F58" i="22"/>
  <c r="E64" i="22"/>
  <c r="E74" i="22" s="1"/>
  <c r="E58" i="22"/>
  <c r="D64" i="22"/>
  <c r="D74" i="22" s="1"/>
  <c r="D58" i="22"/>
  <c r="C64" i="22"/>
  <c r="C74" i="22" s="1"/>
  <c r="C58" i="22"/>
  <c r="J21" i="21"/>
  <c r="J22" i="21"/>
  <c r="J17" i="21"/>
  <c r="D60" i="21"/>
  <c r="D74" i="21"/>
  <c r="D56" i="21"/>
  <c r="D50" i="21"/>
  <c r="D59" i="21"/>
  <c r="D75" i="21"/>
  <c r="D76" i="21"/>
  <c r="D77" i="21"/>
  <c r="D78" i="21"/>
  <c r="D64" i="19"/>
  <c r="D74" i="19" s="1"/>
  <c r="D58" i="19"/>
  <c r="C64" i="19"/>
  <c r="C74" i="19" s="1"/>
  <c r="C58" i="19"/>
  <c r="E64" i="19"/>
  <c r="E74" i="19" s="1"/>
  <c r="E58" i="19"/>
  <c r="D78" i="18"/>
  <c r="D56" i="18"/>
  <c r="D76" i="18"/>
  <c r="D59" i="18"/>
  <c r="D74" i="18"/>
  <c r="D60" i="18"/>
  <c r="D50" i="18"/>
  <c r="D75" i="18"/>
  <c r="D77" i="18"/>
  <c r="F77" i="18"/>
  <c r="F78" i="18"/>
  <c r="F56" i="18"/>
  <c r="F76" i="18"/>
  <c r="F59" i="18"/>
  <c r="F60" i="18"/>
  <c r="F74" i="18"/>
  <c r="F75" i="18"/>
  <c r="F50" i="18"/>
  <c r="F52" i="18" s="1"/>
  <c r="F54" i="18" s="1"/>
  <c r="F62" i="18" s="1"/>
  <c r="E78" i="18"/>
  <c r="E56" i="18"/>
  <c r="E77" i="18"/>
  <c r="E75" i="18"/>
  <c r="E76" i="18"/>
  <c r="E60" i="18"/>
  <c r="E59" i="18"/>
  <c r="E74" i="18"/>
  <c r="E50" i="18"/>
  <c r="E52" i="18" s="1"/>
  <c r="E56" i="12" l="1"/>
  <c r="E70" i="12" s="1"/>
  <c r="C9" i="12"/>
  <c r="D10" i="14"/>
  <c r="D11" i="14"/>
  <c r="I69" i="11"/>
  <c r="G10" i="14" s="1"/>
  <c r="G9" i="14"/>
  <c r="I8" i="12"/>
  <c r="I56" i="12" s="1"/>
  <c r="I70" i="12" s="1"/>
  <c r="G11" i="14" s="1"/>
  <c r="G27" i="14" s="1"/>
  <c r="G28" i="14" s="1"/>
  <c r="G46" i="11"/>
  <c r="G58" i="11"/>
  <c r="G33" i="11"/>
  <c r="G68" i="11"/>
  <c r="G8" i="12" s="1"/>
  <c r="G56" i="12" s="1"/>
  <c r="G70" i="12" s="1"/>
  <c r="H9" i="14"/>
  <c r="J69" i="11"/>
  <c r="K68" i="11"/>
  <c r="K33" i="11"/>
  <c r="K64" i="11"/>
  <c r="K46" i="11"/>
  <c r="E75" i="21"/>
  <c r="E50" i="21"/>
  <c r="E52" i="21" s="1"/>
  <c r="E78" i="21"/>
  <c r="E77" i="21"/>
  <c r="E74" i="21"/>
  <c r="E60" i="21"/>
  <c r="E59" i="21"/>
  <c r="C59" i="21" s="1"/>
  <c r="E76" i="21"/>
  <c r="E56" i="21"/>
  <c r="F56" i="21"/>
  <c r="F60" i="21"/>
  <c r="F76" i="21"/>
  <c r="F78" i="21"/>
  <c r="F77" i="21"/>
  <c r="F74" i="21"/>
  <c r="F50" i="21"/>
  <c r="F52" i="21" s="1"/>
  <c r="F54" i="21" s="1"/>
  <c r="F62" i="21" s="1"/>
  <c r="F59" i="21"/>
  <c r="F75" i="21"/>
  <c r="C60" i="21"/>
  <c r="G60" i="21"/>
  <c r="G74" i="21"/>
  <c r="D79" i="21"/>
  <c r="C74" i="21"/>
  <c r="C56" i="21"/>
  <c r="G56" i="21"/>
  <c r="D52" i="21"/>
  <c r="C50" i="21"/>
  <c r="G50" i="21"/>
  <c r="G59" i="21"/>
  <c r="F65" i="18"/>
  <c r="F63" i="18"/>
  <c r="G77" i="18"/>
  <c r="C77" i="18"/>
  <c r="D52" i="18"/>
  <c r="C50" i="18"/>
  <c r="G50" i="18"/>
  <c r="C59" i="18"/>
  <c r="G59" i="18"/>
  <c r="G60" i="18"/>
  <c r="C60" i="18"/>
  <c r="F79" i="18"/>
  <c r="C76" i="18"/>
  <c r="G76" i="18"/>
  <c r="G75" i="18"/>
  <c r="C75" i="18"/>
  <c r="C74" i="18"/>
  <c r="D79" i="18"/>
  <c r="G74" i="18"/>
  <c r="E79" i="18"/>
  <c r="G56" i="18"/>
  <c r="C56" i="18"/>
  <c r="E54" i="18"/>
  <c r="E62" i="18" s="1"/>
  <c r="C78" i="18"/>
  <c r="G78" i="18"/>
  <c r="I9" i="12" l="1"/>
  <c r="D27" i="14"/>
  <c r="D28" i="14" s="1"/>
  <c r="C11" i="14"/>
  <c r="C27" i="14" s="1"/>
  <c r="C28" i="14" s="1"/>
  <c r="F11" i="14"/>
  <c r="F9" i="14"/>
  <c r="E9" i="14" s="1"/>
  <c r="E10" i="14" s="1"/>
  <c r="G69" i="11"/>
  <c r="J9" i="12"/>
  <c r="H10" i="14"/>
  <c r="I9" i="14"/>
  <c r="K8" i="12"/>
  <c r="K56" i="12" s="1"/>
  <c r="K70" i="12" s="1"/>
  <c r="K69" i="11"/>
  <c r="F65" i="21"/>
  <c r="F63" i="21"/>
  <c r="D54" i="21"/>
  <c r="C52" i="21"/>
  <c r="C54" i="21" s="1"/>
  <c r="C62" i="21" s="1"/>
  <c r="G52" i="21"/>
  <c r="E79" i="21"/>
  <c r="G79" i="21" s="1"/>
  <c r="F79" i="21"/>
  <c r="E54" i="21"/>
  <c r="E62" i="21" s="1"/>
  <c r="G75" i="21"/>
  <c r="C75" i="21"/>
  <c r="G78" i="21"/>
  <c r="C78" i="21"/>
  <c r="G77" i="21"/>
  <c r="C77" i="21"/>
  <c r="G76" i="21"/>
  <c r="C76" i="21"/>
  <c r="G52" i="18"/>
  <c r="C52" i="18"/>
  <c r="C54" i="18" s="1"/>
  <c r="C62" i="18" s="1"/>
  <c r="D54" i="18"/>
  <c r="E65" i="18"/>
  <c r="E83" i="18" s="1"/>
  <c r="E63" i="18"/>
  <c r="G79" i="18"/>
  <c r="C79" i="18"/>
  <c r="F83" i="18"/>
  <c r="F27" i="14" l="1"/>
  <c r="F28" i="14" s="1"/>
  <c r="E11" i="14"/>
  <c r="E27" i="14" s="1"/>
  <c r="E28" i="14" s="1"/>
  <c r="F10" i="14"/>
  <c r="G9" i="12"/>
  <c r="I11" i="14"/>
  <c r="I27" i="14" s="1"/>
  <c r="I28" i="14" s="1"/>
  <c r="I10" i="14"/>
  <c r="K9" i="12"/>
  <c r="G54" i="21"/>
  <c r="D62" i="21"/>
  <c r="C63" i="21"/>
  <c r="C65" i="21"/>
  <c r="E63" i="21"/>
  <c r="E65" i="21"/>
  <c r="E83" i="21" s="1"/>
  <c r="C79" i="21"/>
  <c r="F83" i="21"/>
  <c r="G54" i="18"/>
  <c r="D62" i="18"/>
  <c r="C65" i="18"/>
  <c r="C83" i="18" s="1"/>
  <c r="C86" i="18" s="1"/>
  <c r="C63" i="18"/>
  <c r="G62" i="21" l="1"/>
  <c r="G63" i="21" s="1"/>
  <c r="D65" i="21"/>
  <c r="D63" i="21"/>
  <c r="C83" i="21"/>
  <c r="C86" i="21" s="1"/>
  <c r="D65" i="18"/>
  <c r="G62" i="18"/>
  <c r="G63" i="18" s="1"/>
  <c r="D63" i="18"/>
  <c r="G65" i="21" l="1"/>
  <c r="D83" i="21"/>
  <c r="G83" i="21" s="1"/>
  <c r="G65" i="18"/>
  <c r="D83" i="18"/>
  <c r="G83" i="18" s="1"/>
  <c r="L65" i="12" l="1"/>
  <c r="J21" i="14" s="1"/>
  <c r="M65" i="12"/>
  <c r="K21" i="14" s="1"/>
  <c r="N65" i="12"/>
  <c r="L21" i="14" s="1"/>
  <c r="J22" i="14"/>
  <c r="K22" i="14"/>
  <c r="G79" i="13"/>
  <c r="I79" i="13"/>
  <c r="L79" i="13"/>
  <c r="L15" i="13"/>
  <c r="L26" i="13" s="1"/>
  <c r="K79" i="13"/>
  <c r="J79" i="13"/>
  <c r="L70" i="13"/>
  <c r="K70" i="13"/>
  <c r="J70" i="13"/>
  <c r="P59" i="12"/>
  <c r="N24" i="14" s="1"/>
  <c r="P60" i="12"/>
  <c r="N23" i="14" s="1"/>
  <c r="P61" i="12"/>
  <c r="N13" i="14" s="1"/>
  <c r="P62" i="12"/>
  <c r="N20" i="14" s="1"/>
  <c r="P65" i="12"/>
  <c r="N21" i="14" s="1"/>
  <c r="P67" i="12"/>
  <c r="N22" i="14" s="1"/>
  <c r="P23" i="12"/>
  <c r="P24" i="12"/>
  <c r="P26" i="12"/>
  <c r="P27" i="12"/>
  <c r="P28" i="12"/>
  <c r="P30" i="12"/>
  <c r="P31" i="12"/>
  <c r="P32" i="12"/>
  <c r="P33" i="12"/>
  <c r="N15" i="14" s="1"/>
  <c r="P35" i="12"/>
  <c r="P36" i="12"/>
  <c r="P37" i="12"/>
  <c r="P38" i="12"/>
  <c r="P40" i="12"/>
  <c r="P41" i="12"/>
  <c r="P42" i="12"/>
  <c r="P44" i="12"/>
  <c r="P46" i="12"/>
  <c r="P48" i="12"/>
  <c r="P49" i="12"/>
  <c r="P50" i="12"/>
  <c r="P12" i="12"/>
  <c r="P13" i="12"/>
  <c r="P17" i="12"/>
  <c r="P18" i="12"/>
  <c r="P12" i="11"/>
  <c r="N8" i="14" s="1"/>
  <c r="P16" i="11"/>
  <c r="P18" i="11"/>
  <c r="P19" i="11"/>
  <c r="P21" i="11"/>
  <c r="P23" i="11"/>
  <c r="P24" i="11"/>
  <c r="P25" i="11"/>
  <c r="P26" i="11"/>
  <c r="P27" i="11"/>
  <c r="P31" i="11"/>
  <c r="P36" i="11"/>
  <c r="P38" i="11"/>
  <c r="P40" i="11"/>
  <c r="P41" i="11"/>
  <c r="P42" i="11"/>
  <c r="P43" i="11"/>
  <c r="P44" i="11"/>
  <c r="P49" i="11"/>
  <c r="P51" i="11"/>
  <c r="P53" i="11"/>
  <c r="P54" i="11"/>
  <c r="P55" i="11"/>
  <c r="P56" i="11"/>
  <c r="P60" i="11"/>
  <c r="L89" i="10"/>
  <c r="L46" i="10"/>
  <c r="L50" i="10" s="1"/>
  <c r="L52" i="10" s="1"/>
  <c r="O59" i="12"/>
  <c r="O60" i="12"/>
  <c r="M23" i="14" s="1"/>
  <c r="O61" i="12"/>
  <c r="M13" i="14" s="1"/>
  <c r="O62" i="12"/>
  <c r="M20" i="14" s="1"/>
  <c r="O65" i="12"/>
  <c r="M21" i="14" s="1"/>
  <c r="O67" i="12"/>
  <c r="M22" i="14" s="1"/>
  <c r="O12" i="12"/>
  <c r="O13" i="12"/>
  <c r="O17" i="12"/>
  <c r="O18" i="12"/>
  <c r="O23" i="12"/>
  <c r="O24" i="12"/>
  <c r="O26" i="12"/>
  <c r="O27" i="12"/>
  <c r="O28" i="12"/>
  <c r="O30" i="12"/>
  <c r="O31" i="12"/>
  <c r="O32" i="12"/>
  <c r="O33" i="12"/>
  <c r="M15" i="14" s="1"/>
  <c r="O35" i="12"/>
  <c r="O36" i="12"/>
  <c r="O37" i="12"/>
  <c r="O38" i="12"/>
  <c r="O40" i="12"/>
  <c r="O41" i="12"/>
  <c r="O42" i="12"/>
  <c r="O44" i="12"/>
  <c r="O46" i="12"/>
  <c r="O48" i="12"/>
  <c r="O49" i="12"/>
  <c r="O50" i="12"/>
  <c r="O16" i="11"/>
  <c r="O18" i="11"/>
  <c r="O19" i="11"/>
  <c r="O21" i="11"/>
  <c r="O23" i="11"/>
  <c r="O24" i="11"/>
  <c r="O25" i="11"/>
  <c r="O26" i="11"/>
  <c r="O27" i="11"/>
  <c r="O31" i="11"/>
  <c r="O36" i="11"/>
  <c r="O38" i="11"/>
  <c r="O40" i="11"/>
  <c r="O41" i="11"/>
  <c r="O42" i="11"/>
  <c r="O43" i="11"/>
  <c r="O44" i="11"/>
  <c r="O49" i="11"/>
  <c r="O51" i="11"/>
  <c r="O53" i="11"/>
  <c r="O54" i="11"/>
  <c r="O55" i="11"/>
  <c r="O56" i="11"/>
  <c r="O60" i="11"/>
  <c r="O12" i="11"/>
  <c r="M8" i="14" s="1"/>
  <c r="K89" i="10"/>
  <c r="K46" i="10"/>
  <c r="K50" i="10" s="1"/>
  <c r="N59" i="12"/>
  <c r="L24" i="14" s="1"/>
  <c r="N60" i="12"/>
  <c r="L23" i="14" s="1"/>
  <c r="N61" i="12"/>
  <c r="L13" i="14" s="1"/>
  <c r="N62" i="12"/>
  <c r="L20" i="14" s="1"/>
  <c r="N23" i="12"/>
  <c r="N24" i="12"/>
  <c r="N26" i="12"/>
  <c r="N27" i="12"/>
  <c r="N28" i="12"/>
  <c r="N30" i="12"/>
  <c r="N31" i="12"/>
  <c r="N32" i="12"/>
  <c r="N33" i="12"/>
  <c r="L15" i="14" s="1"/>
  <c r="N35" i="12"/>
  <c r="N36" i="12"/>
  <c r="N37" i="12"/>
  <c r="N38" i="12"/>
  <c r="N40" i="12"/>
  <c r="N41" i="12"/>
  <c r="N42" i="12"/>
  <c r="N44" i="12"/>
  <c r="N46" i="12"/>
  <c r="N48" i="12"/>
  <c r="N49" i="12"/>
  <c r="N50" i="12"/>
  <c r="N12" i="12"/>
  <c r="N13" i="12"/>
  <c r="N17" i="12"/>
  <c r="N18" i="12"/>
  <c r="N49" i="11"/>
  <c r="N51" i="11"/>
  <c r="N53" i="11"/>
  <c r="N54" i="11"/>
  <c r="N55" i="11"/>
  <c r="N56" i="11"/>
  <c r="N60" i="11"/>
  <c r="N36" i="11"/>
  <c r="N38" i="11"/>
  <c r="N40" i="11"/>
  <c r="N41" i="11"/>
  <c r="N42" i="11"/>
  <c r="N43" i="11"/>
  <c r="N44" i="11"/>
  <c r="N16" i="11"/>
  <c r="N18" i="11"/>
  <c r="N19" i="11"/>
  <c r="N21" i="11"/>
  <c r="N23" i="11"/>
  <c r="N24" i="11"/>
  <c r="N25" i="11"/>
  <c r="N26" i="11"/>
  <c r="N27" i="11"/>
  <c r="N31" i="11"/>
  <c r="N12" i="11"/>
  <c r="L8" i="14" s="1"/>
  <c r="N67" i="12"/>
  <c r="L22" i="14" s="1"/>
  <c r="J89" i="10"/>
  <c r="J46" i="10"/>
  <c r="J50" i="10" s="1"/>
  <c r="I7" i="15"/>
  <c r="J7" i="15"/>
  <c r="K7" i="15"/>
  <c r="I8" i="15"/>
  <c r="J8" i="15"/>
  <c r="K8" i="15"/>
  <c r="I9" i="15"/>
  <c r="J9" i="15"/>
  <c r="K9" i="15"/>
  <c r="I5" i="15"/>
  <c r="J5" i="15"/>
  <c r="K5" i="15"/>
  <c r="L36" i="13"/>
  <c r="L38" i="13" s="1"/>
  <c r="L46" i="13"/>
  <c r="K26" i="13"/>
  <c r="K36" i="13"/>
  <c r="K38" i="13" s="1"/>
  <c r="K46" i="13"/>
  <c r="J46" i="13"/>
  <c r="H9" i="15"/>
  <c r="G9" i="15"/>
  <c r="H8" i="15"/>
  <c r="G8" i="15"/>
  <c r="H7" i="15"/>
  <c r="G7" i="15"/>
  <c r="H5" i="15"/>
  <c r="G5" i="15"/>
  <c r="O20" i="12" l="1"/>
  <c r="P45" i="11"/>
  <c r="P20" i="12"/>
  <c r="K81" i="13"/>
  <c r="P68" i="12"/>
  <c r="O45" i="11"/>
  <c r="O68" i="12"/>
  <c r="M24" i="14"/>
  <c r="P52" i="12"/>
  <c r="P32" i="11"/>
  <c r="O52" i="12"/>
  <c r="O54" i="12" s="1"/>
  <c r="K91" i="10"/>
  <c r="K101" i="10" s="1"/>
  <c r="K52" i="10"/>
  <c r="N45" i="11"/>
  <c r="N57" i="11"/>
  <c r="O32" i="11"/>
  <c r="O57" i="11"/>
  <c r="P57" i="11"/>
  <c r="L81" i="13"/>
  <c r="K48" i="13"/>
  <c r="L48" i="13"/>
  <c r="H10" i="15"/>
  <c r="K10" i="15"/>
  <c r="G10" i="15"/>
  <c r="J10" i="15"/>
  <c r="I10" i="15"/>
  <c r="L91" i="10"/>
  <c r="L101" i="10" s="1"/>
  <c r="N68" i="12"/>
  <c r="N20" i="12"/>
  <c r="J91" i="10"/>
  <c r="J101" i="10" s="1"/>
  <c r="J52" i="10"/>
  <c r="N32" i="11"/>
  <c r="N52" i="12"/>
  <c r="P54" i="12" l="1"/>
  <c r="K83" i="13"/>
  <c r="N54" i="12"/>
  <c r="P66" i="11"/>
  <c r="O66" i="11"/>
  <c r="N66" i="11"/>
  <c r="L83" i="13"/>
  <c r="G46" i="13"/>
  <c r="I46" i="13"/>
  <c r="I81" i="13"/>
  <c r="I36" i="13"/>
  <c r="I38" i="13" s="1"/>
  <c r="J36" i="13"/>
  <c r="J38" i="13" s="1"/>
  <c r="G36" i="13"/>
  <c r="G38" i="13" s="1"/>
  <c r="J26" i="13"/>
  <c r="M61" i="12"/>
  <c r="K13" i="14" s="1"/>
  <c r="M62" i="12"/>
  <c r="K20" i="14" s="1"/>
  <c r="L62" i="12"/>
  <c r="J20" i="14" s="1"/>
  <c r="L61" i="12"/>
  <c r="J13" i="14" s="1"/>
  <c r="M40" i="11"/>
  <c r="L40" i="11"/>
  <c r="M30" i="12"/>
  <c r="L30" i="12"/>
  <c r="M24" i="12"/>
  <c r="M26" i="12"/>
  <c r="M27" i="12"/>
  <c r="M31" i="12"/>
  <c r="M32" i="12"/>
  <c r="M33" i="12"/>
  <c r="M35" i="12"/>
  <c r="M36" i="12"/>
  <c r="M37" i="12"/>
  <c r="M38" i="12"/>
  <c r="M40" i="12"/>
  <c r="M41" i="12"/>
  <c r="M42" i="12"/>
  <c r="M44" i="12"/>
  <c r="M46" i="12"/>
  <c r="M48" i="12"/>
  <c r="M49" i="12"/>
  <c r="M50" i="12"/>
  <c r="L24" i="12"/>
  <c r="L26" i="12"/>
  <c r="L27" i="12"/>
  <c r="L31" i="12"/>
  <c r="L32" i="12"/>
  <c r="L33" i="12"/>
  <c r="L35" i="12"/>
  <c r="L36" i="12"/>
  <c r="L37" i="12"/>
  <c r="L38" i="12"/>
  <c r="L40" i="12"/>
  <c r="L41" i="12"/>
  <c r="L42" i="12"/>
  <c r="L44" i="12"/>
  <c r="L46" i="12"/>
  <c r="L48" i="12"/>
  <c r="L49" i="12"/>
  <c r="L50" i="12"/>
  <c r="B50" i="12"/>
  <c r="B49" i="12"/>
  <c r="B48" i="12"/>
  <c r="B46" i="12"/>
  <c r="B41" i="12"/>
  <c r="B40" i="12"/>
  <c r="B38" i="12"/>
  <c r="B37" i="12"/>
  <c r="B36" i="12"/>
  <c r="B35" i="12"/>
  <c r="B33" i="12"/>
  <c r="B32" i="12"/>
  <c r="B31" i="12"/>
  <c r="B27" i="12"/>
  <c r="B26" i="12"/>
  <c r="B24" i="12"/>
  <c r="B23" i="12"/>
  <c r="M12" i="12"/>
  <c r="M13" i="12"/>
  <c r="M17" i="12"/>
  <c r="M18" i="12"/>
  <c r="L18" i="12"/>
  <c r="L17" i="12"/>
  <c r="L13" i="12"/>
  <c r="L12" i="12"/>
  <c r="B18" i="12"/>
  <c r="B17" i="12"/>
  <c r="B13" i="12"/>
  <c r="L20" i="12" l="1"/>
  <c r="M20" i="12"/>
  <c r="P68" i="11"/>
  <c r="P46" i="11"/>
  <c r="P64" i="11"/>
  <c r="P58" i="11"/>
  <c r="P33" i="11"/>
  <c r="O46" i="11"/>
  <c r="O58" i="11"/>
  <c r="O33" i="11"/>
  <c r="O68" i="11"/>
  <c r="O64" i="11"/>
  <c r="N68" i="11"/>
  <c r="N58" i="11"/>
  <c r="N64" i="11"/>
  <c r="N33" i="11"/>
  <c r="N46" i="11"/>
  <c r="J24" i="14"/>
  <c r="K24" i="14"/>
  <c r="J81" i="13"/>
  <c r="J48" i="13"/>
  <c r="G81" i="13"/>
  <c r="I48" i="13"/>
  <c r="I83" i="13" s="1"/>
  <c r="G48" i="13"/>
  <c r="O69" i="11" l="1"/>
  <c r="O8" i="12"/>
  <c r="O56" i="12" s="1"/>
  <c r="O70" i="12" s="1"/>
  <c r="M11" i="14" s="1"/>
  <c r="M27" i="14" s="1"/>
  <c r="M28" i="14" s="1"/>
  <c r="M9" i="14"/>
  <c r="N69" i="11"/>
  <c r="L9" i="14"/>
  <c r="N8" i="12"/>
  <c r="N56" i="12" s="1"/>
  <c r="N70" i="12" s="1"/>
  <c r="L11" i="14" s="1"/>
  <c r="L27" i="14" s="1"/>
  <c r="L28" i="14" s="1"/>
  <c r="P69" i="11"/>
  <c r="P8" i="12"/>
  <c r="P56" i="12" s="1"/>
  <c r="P70" i="12" s="1"/>
  <c r="N11" i="14" s="1"/>
  <c r="N27" i="14" s="1"/>
  <c r="N28" i="14" s="1"/>
  <c r="N9" i="14"/>
  <c r="J83" i="13"/>
  <c r="G83" i="13"/>
  <c r="L10" i="14" l="1"/>
  <c r="N9" i="12"/>
  <c r="P9" i="12"/>
  <c r="N10" i="14"/>
  <c r="M10" i="14"/>
  <c r="O9" i="12"/>
  <c r="M53" i="11"/>
  <c r="M54" i="11"/>
  <c r="K15" i="14" s="1"/>
  <c r="M55" i="11"/>
  <c r="M56" i="11"/>
  <c r="L56" i="11"/>
  <c r="L55" i="11"/>
  <c r="L54" i="11"/>
  <c r="J15" i="14" s="1"/>
  <c r="L53" i="11"/>
  <c r="M41" i="11" l="1"/>
  <c r="M42" i="11"/>
  <c r="M43" i="11"/>
  <c r="M44" i="11"/>
  <c r="L44" i="11"/>
  <c r="L43" i="11"/>
  <c r="L42" i="11"/>
  <c r="L41" i="11"/>
  <c r="L38" i="11"/>
  <c r="L36" i="11"/>
  <c r="B44" i="11"/>
  <c r="B42" i="11"/>
  <c r="B41" i="11"/>
  <c r="B38" i="11"/>
  <c r="M16" i="11"/>
  <c r="M18" i="11"/>
  <c r="M23" i="11"/>
  <c r="M24" i="11"/>
  <c r="M25" i="11"/>
  <c r="M26" i="11"/>
  <c r="M27" i="11"/>
  <c r="L27" i="11"/>
  <c r="L26" i="11"/>
  <c r="L25" i="11"/>
  <c r="L24" i="11"/>
  <c r="L23" i="11"/>
  <c r="L21" i="11"/>
  <c r="L19" i="11"/>
  <c r="L18" i="11"/>
  <c r="L16" i="11"/>
  <c r="K8" i="14"/>
  <c r="J8" i="14"/>
  <c r="L45" i="11" l="1"/>
  <c r="M31" i="11" l="1"/>
  <c r="H48" i="10"/>
  <c r="L31" i="11" s="1"/>
  <c r="I43" i="10"/>
  <c r="H43" i="10"/>
  <c r="I41" i="10"/>
  <c r="M61" i="11" s="1"/>
  <c r="M63" i="11" s="1"/>
  <c r="H41" i="10"/>
  <c r="L61" i="11" s="1"/>
  <c r="L63" i="11" s="1"/>
  <c r="I37" i="10"/>
  <c r="H37" i="10"/>
  <c r="I27" i="10"/>
  <c r="M51" i="11" s="1"/>
  <c r="H27" i="10"/>
  <c r="L51" i="11" s="1"/>
  <c r="I24" i="10"/>
  <c r="H24" i="10"/>
  <c r="H46" i="10" s="1"/>
  <c r="I19" i="10"/>
  <c r="M36" i="11" s="1"/>
  <c r="I17" i="10"/>
  <c r="M21" i="11" s="1"/>
  <c r="I15" i="10"/>
  <c r="M19" i="11" s="1"/>
  <c r="I11" i="10"/>
  <c r="C72" i="9"/>
  <c r="D63" i="9"/>
  <c r="C63" i="9"/>
  <c r="D34" i="9"/>
  <c r="D20" i="9"/>
  <c r="D14" i="9"/>
  <c r="D32" i="9"/>
  <c r="D31" i="9"/>
  <c r="D29" i="9"/>
  <c r="D18" i="9"/>
  <c r="D13" i="9"/>
  <c r="D12" i="9"/>
  <c r="D9" i="9"/>
  <c r="C34" i="9"/>
  <c r="C32" i="9"/>
  <c r="C31" i="9"/>
  <c r="C29" i="9"/>
  <c r="C20" i="9"/>
  <c r="C18" i="9"/>
  <c r="K23" i="14" l="1"/>
  <c r="M29" i="11"/>
  <c r="J23" i="14"/>
  <c r="L29" i="11"/>
  <c r="L32" i="11" s="1"/>
  <c r="M38" i="11"/>
  <c r="I46" i="10"/>
  <c r="M32" i="11"/>
  <c r="M45" i="11"/>
  <c r="L28" i="12"/>
  <c r="L52" i="12" s="1"/>
  <c r="L54" i="12" s="1"/>
  <c r="L49" i="11"/>
  <c r="L57" i="11" s="1"/>
  <c r="L66" i="11" s="1"/>
  <c r="L33" i="11" s="1"/>
  <c r="M28" i="12"/>
  <c r="M52" i="12" s="1"/>
  <c r="M54" i="12" s="1"/>
  <c r="M49" i="11"/>
  <c r="M57" i="11" s="1"/>
  <c r="M68" i="12"/>
  <c r="L68" i="12"/>
  <c r="I50" i="10"/>
  <c r="H50" i="10"/>
  <c r="H52" i="10" s="1"/>
  <c r="H91" i="10" s="1"/>
  <c r="H101" i="10" s="1"/>
  <c r="C33" i="9"/>
  <c r="C36" i="9" s="1"/>
  <c r="C65" i="9" s="1"/>
  <c r="D33" i="9"/>
  <c r="D36" i="9" s="1"/>
  <c r="D65" i="9" s="1"/>
  <c r="D72" i="9" s="1"/>
  <c r="C38" i="9"/>
  <c r="I52" i="10" l="1"/>
  <c r="I91" i="10" s="1"/>
  <c r="I101" i="10" s="1"/>
  <c r="L68" i="11"/>
  <c r="L46" i="11"/>
  <c r="L58" i="11"/>
  <c r="L64" i="11"/>
  <c r="M66" i="11"/>
  <c r="D38" i="9"/>
  <c r="M68" i="11" l="1"/>
  <c r="M33" i="11"/>
  <c r="M46" i="11"/>
  <c r="M64" i="11"/>
  <c r="M58" i="11"/>
  <c r="J9" i="14"/>
  <c r="L69" i="11"/>
  <c r="L8" i="12"/>
  <c r="L56" i="12" s="1"/>
  <c r="L70" i="12" s="1"/>
  <c r="D42" i="8"/>
  <c r="D31" i="8"/>
  <c r="C31" i="8"/>
  <c r="D10" i="8"/>
  <c r="C42" i="8"/>
  <c r="C16" i="8"/>
  <c r="C10" i="8"/>
  <c r="D33" i="4"/>
  <c r="C33" i="4"/>
  <c r="C34" i="3"/>
  <c r="H45" i="1"/>
  <c r="G45" i="1"/>
  <c r="H34" i="1"/>
  <c r="G34" i="1"/>
  <c r="H26" i="1"/>
  <c r="G26" i="1"/>
  <c r="H19" i="1"/>
  <c r="G19" i="1"/>
  <c r="H13" i="1"/>
  <c r="G13" i="1"/>
  <c r="J11" i="14" l="1"/>
  <c r="J27" i="14" s="1"/>
  <c r="J28" i="14" s="1"/>
  <c r="J10" i="14"/>
  <c r="L9" i="12"/>
  <c r="M8" i="12"/>
  <c r="M56" i="12" s="1"/>
  <c r="M70" i="12" s="1"/>
  <c r="K9" i="14"/>
  <c r="M69" i="11"/>
  <c r="E56" i="2"/>
  <c r="D56" i="2"/>
  <c r="E50" i="2"/>
  <c r="D50" i="2"/>
  <c r="C56" i="2"/>
  <c r="C34" i="2"/>
  <c r="C28" i="2"/>
  <c r="E34" i="2"/>
  <c r="D34" i="2"/>
  <c r="E26" i="2"/>
  <c r="E28" i="2" s="1"/>
  <c r="D26" i="2"/>
  <c r="D28" i="2" s="1"/>
  <c r="E17" i="2"/>
  <c r="D17" i="2"/>
  <c r="C45" i="1"/>
  <c r="D45" i="1"/>
  <c r="C34" i="1"/>
  <c r="C26" i="1"/>
  <c r="C19" i="1"/>
  <c r="C13" i="1"/>
  <c r="D34" i="1"/>
  <c r="D26" i="1"/>
  <c r="D19" i="1"/>
  <c r="D13" i="1"/>
  <c r="F45" i="1"/>
  <c r="E45" i="1"/>
  <c r="F34" i="1"/>
  <c r="E34" i="1"/>
  <c r="F26" i="1"/>
  <c r="E26" i="1"/>
  <c r="F19" i="1"/>
  <c r="E19" i="1"/>
  <c r="F13" i="1"/>
  <c r="E13" i="1"/>
  <c r="K11" i="14" l="1"/>
  <c r="K27" i="14" s="1"/>
  <c r="K28" i="14" s="1"/>
  <c r="K10" i="14"/>
  <c r="M9" i="12"/>
  <c r="D3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Christian Gonzalez</author>
  </authors>
  <commentList>
    <comment ref="L15" authorId="0" shapeId="0" xr:uid="{C0C94051-205C-4159-B0E1-785A0FB9E1B7}">
      <text>
        <r>
          <rPr>
            <b/>
            <sz val="9"/>
            <color indexed="81"/>
            <rFont val="Tahoma"/>
            <family val="2"/>
          </rPr>
          <t>Christian Gonzalez:</t>
        </r>
        <r>
          <rPr>
            <sz val="9"/>
            <color indexed="81"/>
            <rFont val="Tahoma"/>
            <family val="2"/>
          </rPr>
          <t xml:space="preserve">
Includes an A/R from a related party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Christian Gonzalez</author>
  </authors>
  <commentList>
    <comment ref="B5" authorId="0" shapeId="0" xr:uid="{D25B83E0-9743-4DC2-B6E1-882C901320FD}">
      <text>
        <r>
          <rPr>
            <b/>
            <sz val="9"/>
            <color indexed="81"/>
            <rFont val="Tahoma"/>
            <family val="2"/>
          </rPr>
          <t>Christian Gonzalez:</t>
        </r>
        <r>
          <rPr>
            <sz val="9"/>
            <color indexed="81"/>
            <rFont val="Tahoma"/>
            <family val="2"/>
          </rPr>
          <t xml:space="preserve">
for most years(2024 and prior), this comprises of rebates and sales of scraps. For Fy2025….its mostly sales of scraps + "misc income".</t>
        </r>
      </text>
    </comment>
    <comment ref="B11" authorId="0" shapeId="0" xr:uid="{AB351B50-9A0F-4903-AE21-547984B504BC}">
      <text>
        <r>
          <rPr>
            <b/>
            <sz val="9"/>
            <color indexed="81"/>
            <rFont val="Tahoma"/>
            <family val="2"/>
          </rPr>
          <t>Christian Gonzalez:</t>
        </r>
        <r>
          <rPr>
            <sz val="9"/>
            <color indexed="81"/>
            <rFont val="Tahoma"/>
            <family val="2"/>
          </rPr>
          <t xml:space="preserve">
the 6 month internals simply name this "Direct Labor Wages" with "Indirect labor" in a separate line item. </t>
        </r>
      </text>
    </comment>
    <comment ref="B13" authorId="0" shapeId="0" xr:uid="{FB5B8E6D-0F3B-4198-846D-67F6B35805FE}">
      <text>
        <r>
          <rPr>
            <b/>
            <sz val="9"/>
            <color indexed="81"/>
            <rFont val="Tahoma"/>
            <family val="2"/>
          </rPr>
          <t>Christian Gonzalez:</t>
        </r>
        <r>
          <rPr>
            <sz val="9"/>
            <color indexed="81"/>
            <rFont val="Tahoma"/>
            <family val="2"/>
          </rPr>
          <t xml:space="preserve">
the 6 month internals have a "caretaking production" line item, not seen in the CPA preppared financials. Place here since it’s a form of indirect labor. </t>
        </r>
      </text>
    </comment>
    <comment ref="B32" authorId="0" shapeId="0" xr:uid="{FD4FD74B-3A44-4E92-ACAC-7234A2DB9954}">
      <text>
        <r>
          <rPr>
            <b/>
            <sz val="9"/>
            <color indexed="81"/>
            <rFont val="Tahoma"/>
            <family val="2"/>
          </rPr>
          <t>Christian Gonzalez:</t>
        </r>
        <r>
          <rPr>
            <sz val="9"/>
            <color indexed="81"/>
            <rFont val="Tahoma"/>
            <family val="2"/>
          </rPr>
          <t xml:space="preserve">
The 6 month internals refer to this as 401k Match.</t>
        </r>
      </text>
    </comment>
    <comment ref="B37" authorId="0" shapeId="0" xr:uid="{69A80A09-C28B-444E-801C-6CC4C981DA71}">
      <text>
        <r>
          <rPr>
            <b/>
            <sz val="9"/>
            <color indexed="81"/>
            <rFont val="Tahoma"/>
            <family val="2"/>
          </rPr>
          <t>Christian Gonzalez:</t>
        </r>
        <r>
          <rPr>
            <sz val="9"/>
            <color indexed="81"/>
            <rFont val="Tahoma"/>
            <family val="2"/>
          </rPr>
          <t xml:space="preserve">
For the 6 month Fy2025 figures. This includes Label Materials and Supplies from "materials &amp; supplies". Also includes Integrated Materials.
</t>
        </r>
      </text>
    </comment>
    <comment ref="B41" authorId="0" shapeId="0" xr:uid="{443FE516-F564-407B-992D-D82A44D158A6}">
      <text>
        <r>
          <rPr>
            <b/>
            <sz val="9"/>
            <color indexed="81"/>
            <rFont val="Tahoma"/>
            <family val="2"/>
          </rPr>
          <t>Christian Gonzalez:</t>
        </r>
        <r>
          <rPr>
            <sz val="9"/>
            <color indexed="81"/>
            <rFont val="Tahoma"/>
            <family val="2"/>
          </rPr>
          <t xml:space="preserve">
The 6 month internals have a "net freight income(expense)" line item. This is obviously for income derived form upcharging freight costs to customers and collecting the profit. However to get NET FREIGHT EXPENSE (including freight in and freight out [and not just freight out]), we must subtract freight in price expenses to arrive at the proper value for this line item. As seen in the CPA prepared financials. </t>
        </r>
      </text>
    </comment>
    <comment ref="B43" authorId="0" shapeId="0" xr:uid="{6314B2A6-A69B-49C0-A7A8-C99F1FD17EEB}">
      <text>
        <r>
          <rPr>
            <b/>
            <sz val="9"/>
            <color indexed="81"/>
            <rFont val="Tahoma"/>
            <family val="2"/>
          </rPr>
          <t>Christian Gonzalez:</t>
        </r>
        <r>
          <rPr>
            <sz val="9"/>
            <color indexed="81"/>
            <rFont val="Tahoma"/>
            <family val="2"/>
          </rPr>
          <t xml:space="preserve">
Positive values on the Internals are actually negative here.</t>
        </r>
      </text>
    </comment>
    <comment ref="B55" authorId="0" shapeId="0" xr:uid="{A8B885DC-630E-4D1C-9F5C-185B4EEF5DDE}">
      <text>
        <r>
          <rPr>
            <b/>
            <sz val="9"/>
            <color indexed="81"/>
            <rFont val="Tahoma"/>
            <family val="2"/>
          </rPr>
          <t>Christian Gonzalez:</t>
        </r>
        <r>
          <rPr>
            <sz val="9"/>
            <color indexed="81"/>
            <rFont val="Tahoma"/>
            <family val="2"/>
          </rPr>
          <t xml:space="preserve">
for 6 month Internals has health and keyman insurance.</t>
        </r>
      </text>
    </comment>
    <comment ref="B58" authorId="0" shapeId="0" xr:uid="{E7015D02-D9C1-4874-84FA-997447F7F621}">
      <text>
        <r>
          <rPr>
            <b/>
            <sz val="9"/>
            <color indexed="81"/>
            <rFont val="Tahoma"/>
            <family val="2"/>
          </rPr>
          <t>Christian Gonzalez:</t>
        </r>
        <r>
          <rPr>
            <sz val="9"/>
            <color indexed="81"/>
            <rFont val="Tahoma"/>
            <family val="2"/>
          </rPr>
          <t xml:space="preserve">
includes depr for PC, FURN &amp; FIX ($0 for 6m Fy2025), Leasehold and Building.</t>
        </r>
      </text>
    </comment>
    <comment ref="B61" authorId="0" shapeId="0" xr:uid="{2AE941AA-9C1D-4B36-BC9A-ACFE14B3C44A}">
      <text>
        <r>
          <rPr>
            <b/>
            <sz val="9"/>
            <color indexed="81"/>
            <rFont val="Tahoma"/>
            <family val="2"/>
          </rPr>
          <t>Christian Gonzalez:</t>
        </r>
        <r>
          <rPr>
            <sz val="9"/>
            <color indexed="81"/>
            <rFont val="Tahoma"/>
            <family val="2"/>
          </rPr>
          <t xml:space="preserve">
on the internals these are placed under "factory overhead" but the CPA prepared financials move "genral taxes" to G&amp;A. So we will move them here.</t>
        </r>
      </text>
    </comment>
    <comment ref="B62" authorId="0" shapeId="0" xr:uid="{C3EA30AB-73A3-4FD6-A679-61D4BBEF1DCB}">
      <text>
        <r>
          <rPr>
            <b/>
            <sz val="9"/>
            <color indexed="81"/>
            <rFont val="Tahoma"/>
            <family val="2"/>
          </rPr>
          <t>Christian Gonzalez:</t>
        </r>
        <r>
          <rPr>
            <sz val="9"/>
            <color indexed="81"/>
            <rFont val="Tahoma"/>
            <family val="2"/>
          </rPr>
          <t xml:space="preserve">
the internals name this as "Caretaking Supplies"</t>
        </r>
      </text>
    </comment>
    <comment ref="B64" authorId="0" shapeId="0" xr:uid="{66406A88-C220-4B38-9AB1-0B2115015C74}">
      <text>
        <r>
          <rPr>
            <b/>
            <sz val="9"/>
            <color indexed="81"/>
            <rFont val="Tahoma"/>
            <family val="2"/>
          </rPr>
          <t>Christian Gonzalez:</t>
        </r>
        <r>
          <rPr>
            <sz val="9"/>
            <color indexed="81"/>
            <rFont val="Tahoma"/>
            <family val="2"/>
          </rPr>
          <t xml:space="preserve">
The 6 month internals break this out between Bank Charges &amp; Payroll Service Charges, combined here, but bank Charges wiill be added back to EBTIDA.</t>
        </r>
      </text>
    </comment>
    <comment ref="B67" authorId="0" shapeId="0" xr:uid="{33A982E9-AA99-49EA-BAD0-78F0B352B3AB}">
      <text>
        <r>
          <rPr>
            <b/>
            <sz val="9"/>
            <color indexed="81"/>
            <rFont val="Tahoma"/>
            <family val="2"/>
          </rPr>
          <t>Christian Gonzalez:</t>
        </r>
        <r>
          <rPr>
            <sz val="9"/>
            <color indexed="81"/>
            <rFont val="Tahoma"/>
            <family val="2"/>
          </rPr>
          <t xml:space="preserve">
the 6 month internals separate Travel and Meals+Entertainment. Here they are lumped together.</t>
        </r>
      </text>
    </comment>
    <comment ref="B69" authorId="0" shapeId="0" xr:uid="{4480EF88-6ABC-486F-98DF-F1FBDCDB6CE1}">
      <text>
        <r>
          <rPr>
            <b/>
            <sz val="9"/>
            <color indexed="81"/>
            <rFont val="Tahoma"/>
            <family val="2"/>
          </rPr>
          <t>Christian Gonzalez:</t>
        </r>
        <r>
          <rPr>
            <sz val="9"/>
            <color indexed="81"/>
            <rFont val="Tahoma"/>
            <family val="2"/>
          </rPr>
          <t xml:space="preserve">
the 6 month internals sepearte Telephone and Internet into their own line items. Lumped together here. </t>
        </r>
      </text>
    </comment>
    <comment ref="B70" authorId="0" shapeId="0" xr:uid="{F1CC678A-97F6-4129-ABEA-51E2DAAB6A87}">
      <text>
        <r>
          <rPr>
            <b/>
            <sz val="9"/>
            <color indexed="81"/>
            <rFont val="Tahoma"/>
            <family val="2"/>
          </rPr>
          <t>Christian Gonzalez:</t>
        </r>
        <r>
          <rPr>
            <sz val="9"/>
            <color indexed="81"/>
            <rFont val="Tahoma"/>
            <family val="2"/>
          </rPr>
          <t xml:space="preserve">
6 month internals have this as "401k match"
</t>
        </r>
      </text>
    </comment>
    <comment ref="B73" authorId="0" shapeId="0" xr:uid="{92F726F0-F0DE-43BE-B157-FEB8E321BBCB}">
      <text>
        <r>
          <rPr>
            <b/>
            <sz val="9"/>
            <color indexed="81"/>
            <rFont val="Tahoma"/>
            <family val="2"/>
          </rPr>
          <t>Christian Gonzalez:</t>
        </r>
        <r>
          <rPr>
            <sz val="9"/>
            <color indexed="81"/>
            <rFont val="Tahoma"/>
            <family val="2"/>
          </rPr>
          <t xml:space="preserve">
only seen on 6 month internals. Not on CPA prepared financials(reviews).</t>
        </r>
      </text>
    </comment>
    <comment ref="B81" authorId="0" shapeId="0" xr:uid="{89600155-49AA-422C-8B98-447B62D442AF}">
      <text>
        <r>
          <rPr>
            <b/>
            <sz val="9"/>
            <color indexed="81"/>
            <rFont val="Tahoma"/>
            <family val="2"/>
          </rPr>
          <t>Christian Gonzalez:</t>
        </r>
        <r>
          <rPr>
            <sz val="9"/>
            <color indexed="81"/>
            <rFont val="Tahoma"/>
            <family val="2"/>
          </rPr>
          <t xml:space="preserve">
moved a small amount of "training &amp; education" from Factory Overhead to here. $135.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Christian Gonzalez</author>
  </authors>
  <commentList>
    <comment ref="C13" authorId="0" shapeId="0" xr:uid="{06BCD858-E59B-409C-B745-85A61B9A99FB}">
      <text>
        <r>
          <rPr>
            <b/>
            <sz val="9"/>
            <color indexed="81"/>
            <rFont val="Tahoma"/>
            <family val="2"/>
          </rPr>
          <t>Christian Gonzalez:</t>
        </r>
        <r>
          <rPr>
            <sz val="9"/>
            <color indexed="81"/>
            <rFont val="Tahoma"/>
            <family val="2"/>
          </rPr>
          <t xml:space="preserve">
The 6 month internals break this out between Bank Charges &amp; Payroll Service Charges, combined here, but bank Charges wiill be added back to EBTIDA.</t>
        </r>
      </text>
    </comment>
    <comment ref="G14" authorId="0" shapeId="0" xr:uid="{1FC47D8D-CED2-4397-8268-15C2567CB233}">
      <text>
        <r>
          <rPr>
            <b/>
            <sz val="9"/>
            <color indexed="81"/>
            <rFont val="Tahoma"/>
            <family val="2"/>
          </rPr>
          <t>Christian Gonzalez:</t>
        </r>
        <r>
          <rPr>
            <sz val="9"/>
            <color indexed="81"/>
            <rFont val="Tahoma"/>
            <family val="2"/>
          </rPr>
          <t xml:space="preserve">
only seen on 6 month internals. Not on CPA prepared financials(reviews).</t>
        </r>
      </text>
    </comment>
    <comment ref="C15" authorId="0" shapeId="0" xr:uid="{35D133D3-9B10-4288-A240-DDCE3A004BA6}">
      <text>
        <r>
          <rPr>
            <b/>
            <sz val="9"/>
            <color indexed="81"/>
            <rFont val="Tahoma"/>
            <family val="2"/>
          </rPr>
          <t>Christian Gonzalez:</t>
        </r>
        <r>
          <rPr>
            <sz val="9"/>
            <color indexed="81"/>
            <rFont val="Tahoma"/>
            <family val="2"/>
          </rPr>
          <t xml:space="preserve">
the 6 month internals separate Travel and Meals+Entertainment. Here they are lumped together.</t>
        </r>
      </text>
    </comment>
    <comment ref="C16" authorId="0" shapeId="0" xr:uid="{41C70271-3C56-44E9-AC52-0B55A1DFFCFA}">
      <text>
        <r>
          <rPr>
            <b/>
            <sz val="9"/>
            <color indexed="81"/>
            <rFont val="Tahoma"/>
            <family val="2"/>
          </rPr>
          <t>Christian Gonzalez:</t>
        </r>
        <r>
          <rPr>
            <sz val="9"/>
            <color indexed="81"/>
            <rFont val="Tahoma"/>
            <family val="2"/>
          </rPr>
          <t xml:space="preserve">
the 6 month internals sepearte Telephone and Internet into their own line items. Lumped together here. </t>
        </r>
      </text>
    </comment>
    <comment ref="C17" authorId="0" shapeId="0" xr:uid="{73733132-F122-4059-890C-548D29B630F5}">
      <text>
        <r>
          <rPr>
            <b/>
            <sz val="9"/>
            <color indexed="81"/>
            <rFont val="Tahoma"/>
            <family val="2"/>
          </rPr>
          <t>Christian Gonzalez:</t>
        </r>
        <r>
          <rPr>
            <sz val="9"/>
            <color indexed="81"/>
            <rFont val="Tahoma"/>
            <family val="2"/>
          </rPr>
          <t xml:space="preserve">
6 month internals have this as "401k match"
</t>
        </r>
      </text>
    </comment>
    <comment ref="C19" authorId="0" shapeId="0" xr:uid="{BAD0BEF0-42F9-489D-94D3-26E66E49C42E}">
      <text>
        <r>
          <rPr>
            <b/>
            <sz val="9"/>
            <color indexed="81"/>
            <rFont val="Tahoma"/>
            <family val="2"/>
          </rPr>
          <t>Christian Gonzalez:</t>
        </r>
        <r>
          <rPr>
            <sz val="9"/>
            <color indexed="81"/>
            <rFont val="Tahoma"/>
            <family val="2"/>
          </rPr>
          <t xml:space="preserve">
only seen on 6 month internals. Not on CPA prepared financials(reviews).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Jim Anderson</author>
  </authors>
  <commentList>
    <comment ref="H19" authorId="0" shapeId="0" xr:uid="{A06DC196-0EC2-473F-88D0-179135AE352C}">
      <text>
        <r>
          <rPr>
            <sz val="9"/>
            <color indexed="81"/>
            <rFont val="Tahoma"/>
            <family val="2"/>
          </rPr>
          <t xml:space="preserve">Off by $10K
</t>
        </r>
      </text>
    </comment>
    <comment ref="H21" authorId="0" shapeId="0" xr:uid="{E99C03E4-3494-4338-85F5-702E90F24FFD}">
      <text>
        <r>
          <rPr>
            <sz val="9"/>
            <color indexed="81"/>
            <rFont val="Tahoma"/>
            <family val="2"/>
          </rPr>
          <t xml:space="preserve">Off by $10K
</t>
        </r>
      </text>
    </comment>
    <comment ref="H28" authorId="0" shapeId="0" xr:uid="{F665CA30-CF6B-4DFA-BDEB-6FB96C31ABF3}">
      <text>
        <r>
          <rPr>
            <sz val="9"/>
            <color indexed="81"/>
            <rFont val="Tahoma"/>
            <family val="2"/>
          </rPr>
          <t xml:space="preserve">Off by $10K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Jim Anderson</author>
  </authors>
  <commentList>
    <comment ref="B53" authorId="0" shapeId="0" xr:uid="{CCA4760C-2BBB-4513-B7BA-B63429F7FBE7}">
      <text>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Jim Anderson</author>
  </authors>
  <commentList>
    <comment ref="D6" authorId="0" shapeId="0" xr:uid="{E06A478A-7A24-43F7-AE6D-A85093B6BCE7}">
      <text>
        <r>
          <rPr>
            <sz val="9"/>
            <color indexed="81"/>
            <rFont val="Tahoma"/>
            <family val="2"/>
          </rPr>
          <t xml:space="preserve">EBF's FYE was 2/28/18
</t>
        </r>
      </text>
    </comment>
  </commentList>
</comments>
</file>

<file path=xl/sharedStrings.xml><?xml version="1.0" encoding="utf-8"?>
<sst xmlns="http://schemas.openxmlformats.org/spreadsheetml/2006/main" count="1312" uniqueCount="592">
  <si>
    <t>Financial Information</t>
  </si>
  <si>
    <t>Highland Computer Forms, Inc.</t>
  </si>
  <si>
    <t>Date: 07/15/2026</t>
  </si>
  <si>
    <t>Hillsboro, Ohio "S"-Corp</t>
  </si>
  <si>
    <t>Fiscal years ending December 31st</t>
  </si>
  <si>
    <t>Internal</t>
  </si>
  <si>
    <t>Adjusted RS</t>
  </si>
  <si>
    <t>Review</t>
  </si>
  <si>
    <t>INCOME STATEMENT</t>
  </si>
  <si>
    <t>6 mo.-'26</t>
  </si>
  <si>
    <t>Q2-'26</t>
  </si>
  <si>
    <t>Q1-'26</t>
  </si>
  <si>
    <t>FY2025</t>
  </si>
  <si>
    <t>6 mo.-'25</t>
  </si>
  <si>
    <t>6 mo.-'24</t>
  </si>
  <si>
    <t>FY2024</t>
  </si>
  <si>
    <t>FY2023</t>
  </si>
  <si>
    <t>FY2022</t>
  </si>
  <si>
    <t>FY2021</t>
  </si>
  <si>
    <t>FY2020</t>
  </si>
  <si>
    <t>Sales</t>
  </si>
  <si>
    <t>HCF Sales, Net</t>
  </si>
  <si>
    <t>G. Fordyce Sales, Net</t>
  </si>
  <si>
    <t>Scrap Paper &amp; Rebates</t>
  </si>
  <si>
    <t>Total Sales, Net</t>
  </si>
  <si>
    <t xml:space="preserve">Cost of Goods Sold </t>
  </si>
  <si>
    <t xml:space="preserve">   Materials</t>
  </si>
  <si>
    <t>Beginning Inventories (HCF)</t>
  </si>
  <si>
    <t>Beginning Inventories (G. Fordyce)</t>
  </si>
  <si>
    <t>Paper</t>
  </si>
  <si>
    <t>Supplies (HCF)</t>
  </si>
  <si>
    <t>Supplies (G. Fordyce)</t>
  </si>
  <si>
    <t>Buyouts &amp; Outside Purchases (HCF)</t>
  </si>
  <si>
    <t>Buyouts &amp; Outside Purchases (G. Fordyce)</t>
  </si>
  <si>
    <t>Cartons</t>
  </si>
  <si>
    <t>Ink</t>
  </si>
  <si>
    <t>Envelopes</t>
  </si>
  <si>
    <t>Carbon Products</t>
  </si>
  <si>
    <t>Copy Paper</t>
  </si>
  <si>
    <t>Inventory Obsolescence</t>
  </si>
  <si>
    <r>
      <rPr>
        <i/>
        <u/>
        <sz val="11"/>
        <color rgb="FFFF0000"/>
        <rFont val="Calibri"/>
        <family val="2"/>
      </rPr>
      <t>Less</t>
    </r>
    <r>
      <rPr>
        <i/>
        <sz val="11"/>
        <color theme="1"/>
        <rFont val="Calibri"/>
        <family val="2"/>
      </rPr>
      <t xml:space="preserve"> Purchase Discounts (HCF)</t>
    </r>
  </si>
  <si>
    <r>
      <rPr>
        <i/>
        <u/>
        <sz val="11"/>
        <color rgb="FFFF0000"/>
        <rFont val="Calibri"/>
        <family val="2"/>
      </rPr>
      <t>Less</t>
    </r>
    <r>
      <rPr>
        <i/>
        <sz val="11"/>
        <color theme="1"/>
        <rFont val="Calibri"/>
        <family val="2"/>
      </rPr>
      <t xml:space="preserve"> Purchase Discounts (G. Fordyce)</t>
    </r>
  </si>
  <si>
    <r>
      <rPr>
        <i/>
        <u/>
        <sz val="11"/>
        <color rgb="FFFF0000"/>
        <rFont val="Calibri"/>
        <family val="2"/>
      </rPr>
      <t>Less</t>
    </r>
    <r>
      <rPr>
        <i/>
        <sz val="11"/>
        <color theme="1"/>
        <rFont val="Calibri"/>
        <family val="2"/>
      </rPr>
      <t xml:space="preserve"> Ending Inventories</t>
    </r>
  </si>
  <si>
    <t>Sub-total Materials</t>
  </si>
  <si>
    <t xml:space="preserve">% to Total COGS </t>
  </si>
  <si>
    <t xml:space="preserve">   Labor</t>
  </si>
  <si>
    <t>Supervisors' Salaries (HCF)</t>
  </si>
  <si>
    <t>Supervisors' Salaries (G. Fordyce)</t>
  </si>
  <si>
    <t>Production and Collator Wages (G. Fordyce)</t>
  </si>
  <si>
    <r>
      <t>Shipping Wages</t>
    </r>
    <r>
      <rPr>
        <vertAlign val="superscript"/>
        <sz val="10"/>
        <color theme="1"/>
        <rFont val="Calibri"/>
        <family val="2"/>
        <scheme val="minor"/>
      </rPr>
      <t>①</t>
    </r>
  </si>
  <si>
    <r>
      <t>Health Insurance</t>
    </r>
    <r>
      <rPr>
        <vertAlign val="superscript"/>
        <sz val="10"/>
        <color theme="1"/>
        <rFont val="Calibri"/>
        <family val="2"/>
        <scheme val="minor"/>
      </rPr>
      <t>②</t>
    </r>
  </si>
  <si>
    <t>Sub-total Labor</t>
  </si>
  <si>
    <t>% to Total COGS</t>
  </si>
  <si>
    <t xml:space="preserve">   Plant Overhead</t>
  </si>
  <si>
    <r>
      <t xml:space="preserve">Lease </t>
    </r>
    <r>
      <rPr>
        <sz val="9"/>
        <color theme="3" tint="0.39997558519241921"/>
        <rFont val="Calibri"/>
        <family val="2"/>
      </rPr>
      <t>(80% of Total - HCF)</t>
    </r>
  </si>
  <si>
    <r>
      <t xml:space="preserve">Lease </t>
    </r>
    <r>
      <rPr>
        <sz val="9"/>
        <color theme="3" tint="0.39997558519241921"/>
        <rFont val="Calibri"/>
        <family val="2"/>
      </rPr>
      <t>(80% of Total - G. Fordyce)</t>
    </r>
  </si>
  <si>
    <t>Repairs &amp; Maintenance (HCF)</t>
  </si>
  <si>
    <t>Repairs &amp; Maintenance (G. Fordyce)</t>
  </si>
  <si>
    <r>
      <t xml:space="preserve">Utilities </t>
    </r>
    <r>
      <rPr>
        <sz val="9"/>
        <color theme="3" tint="0.39997558519241921"/>
        <rFont val="Calibri"/>
        <family val="2"/>
      </rPr>
      <t>(80% of total)</t>
    </r>
  </si>
  <si>
    <t>Depreciation</t>
  </si>
  <si>
    <t>Plates &amp; Negatives</t>
  </si>
  <si>
    <t>Truck Expenses</t>
  </si>
  <si>
    <t>Sub-total Plant Overhead</t>
  </si>
  <si>
    <t xml:space="preserve">   Freight and Delivery</t>
  </si>
  <si>
    <t>Net Freight Expense (HCF)</t>
  </si>
  <si>
    <t>Net Freight Expense (G. Fordyce)</t>
  </si>
  <si>
    <t>Sub-total Freight</t>
  </si>
  <si>
    <t xml:space="preserve">     Total Cost of Goods Sold </t>
  </si>
  <si>
    <r>
      <t xml:space="preserve">Gross Profit Margin </t>
    </r>
    <r>
      <rPr>
        <b/>
        <sz val="12"/>
        <color rgb="FF00B050"/>
        <rFont val="Calibri"/>
        <family val="2"/>
      </rPr>
      <t>$</t>
    </r>
  </si>
  <si>
    <t>Gross Profit Margin % (to Total Revenue)</t>
  </si>
  <si>
    <r>
      <rPr>
        <i/>
        <vertAlign val="superscript"/>
        <sz val="11"/>
        <rFont val="Calibri"/>
        <family val="2"/>
        <scheme val="minor"/>
      </rPr>
      <t>①</t>
    </r>
    <r>
      <rPr>
        <i/>
        <sz val="11"/>
        <rFont val="Calibri"/>
        <family val="2"/>
        <scheme val="minor"/>
      </rPr>
      <t xml:space="preserve">The internals seem to have placed "Shipping Wages" into the "Indirect Labor" line item. </t>
    </r>
  </si>
  <si>
    <r>
      <t>②</t>
    </r>
    <r>
      <rPr>
        <i/>
        <sz val="11"/>
        <rFont val="Calibri"/>
        <family val="2"/>
        <scheme val="minor"/>
      </rPr>
      <t>The Company has a self-funded insurance plan. The estimated cost of this self-funded insurance plan is developed from actual claims paid prior to year-end, and is adjusted using historical claims data and incurred-but-not-received factors.</t>
    </r>
  </si>
  <si>
    <t>Adjusted -RS</t>
  </si>
  <si>
    <t>6-mo.-'24</t>
  </si>
  <si>
    <t xml:space="preserve">S, G &amp; A Expenses </t>
  </si>
  <si>
    <t>Selling Expenses</t>
  </si>
  <si>
    <t>Advertising</t>
  </si>
  <si>
    <t>Salaries - Sales Service</t>
  </si>
  <si>
    <t>Salaries - Outside Sales</t>
  </si>
  <si>
    <t>1. Do not substract the other income, since this other income is rebates and scrap paper sales. It is indeed arguably a parrt of operational costs and income</t>
  </si>
  <si>
    <t xml:space="preserve">2. Make sure to correct the depreciation amount. </t>
  </si>
  <si>
    <t>3. Make sure to itemize and bake in the G. Fordyce amounts into the financials to match the Reviews</t>
  </si>
  <si>
    <t>Sub-total Selling Expenses</t>
  </si>
  <si>
    <t xml:space="preserve">4. Make sure to talk about thse self-funded insurance plan. </t>
  </si>
  <si>
    <t>General &amp; Administrative</t>
  </si>
  <si>
    <t>*** pulled out bonus amount fr 25 and 24 and 23</t>
  </si>
  <si>
    <t>Employee Bonus</t>
  </si>
  <si>
    <t>reclassified from office salaries</t>
  </si>
  <si>
    <r>
      <t xml:space="preserve">Lease </t>
    </r>
    <r>
      <rPr>
        <sz val="9"/>
        <color theme="3" tint="0.39997558519241921"/>
        <rFont val="Calibri"/>
        <family val="2"/>
      </rPr>
      <t>(20% of Total - HCF)</t>
    </r>
  </si>
  <si>
    <r>
      <t xml:space="preserve">Lease </t>
    </r>
    <r>
      <rPr>
        <sz val="9"/>
        <color theme="3" tint="0.39997558519241921"/>
        <rFont val="Calibri"/>
        <family val="2"/>
      </rPr>
      <t>(20% of Total - G. Fordyce)</t>
    </r>
  </si>
  <si>
    <r>
      <t xml:space="preserve">Utilities </t>
    </r>
    <r>
      <rPr>
        <sz val="9"/>
        <color theme="3" tint="0.39997558519241921"/>
        <rFont val="Calibri"/>
        <family val="2"/>
      </rPr>
      <t>(20% of Total)</t>
    </r>
  </si>
  <si>
    <t>Office Supplies (HCF)</t>
  </si>
  <si>
    <t>Employee Relations (HCF)</t>
  </si>
  <si>
    <t xml:space="preserve">Sub-Total G &amp; A Expenses </t>
  </si>
  <si>
    <t>Total S, G &amp; A Expenses</t>
  </si>
  <si>
    <t>Net Operating Income</t>
  </si>
  <si>
    <t>Other Income (Expense)</t>
  </si>
  <si>
    <t>Other Income*</t>
  </si>
  <si>
    <t>Purchase Discounts</t>
  </si>
  <si>
    <t>Interest Expense</t>
  </si>
  <si>
    <t>Gain on Disposal of Fixed Assets</t>
  </si>
  <si>
    <t>Recovery of Bad Debt</t>
  </si>
  <si>
    <t>Misc. Expense</t>
  </si>
  <si>
    <t>Employee Retention Credit</t>
  </si>
  <si>
    <t>Debt Forgiven</t>
  </si>
  <si>
    <t>PPP Loan Debt Forgiven</t>
  </si>
  <si>
    <t>Net Total Other Income (Expense)</t>
  </si>
  <si>
    <t>Net Income</t>
  </si>
  <si>
    <t>*Other income is primarily rebates from paper manufacturers (phased out in FY2023) and scrap paper sales (ongoing).</t>
  </si>
  <si>
    <t>BALANCE SHEET</t>
  </si>
  <si>
    <t>Q2-'25</t>
  </si>
  <si>
    <t>Q2-'24</t>
  </si>
  <si>
    <t>Current Assets</t>
  </si>
  <si>
    <t>Cash and Cash Equivalents (HCF)</t>
  </si>
  <si>
    <t>Cash and Cash Equivalents (G. Fordyce)</t>
  </si>
  <si>
    <t>Certificates of Deposit</t>
  </si>
  <si>
    <t>A/R, Trade</t>
  </si>
  <si>
    <t>A/R, Trade (HCF)</t>
  </si>
  <si>
    <t>A/R, Trade (G. Fordyce)</t>
  </si>
  <si>
    <r>
      <t>(</t>
    </r>
    <r>
      <rPr>
        <i/>
        <u/>
        <sz val="10"/>
        <color rgb="FFFF0000"/>
        <rFont val="Calibri"/>
        <family val="2"/>
      </rPr>
      <t>Less</t>
    </r>
    <r>
      <rPr>
        <i/>
        <sz val="10"/>
        <color theme="1"/>
        <rFont val="Calibri"/>
        <family val="2"/>
      </rPr>
      <t xml:space="preserve"> Eliminating Entry)</t>
    </r>
  </si>
  <si>
    <t>Sub-Total A/P, Trade</t>
  </si>
  <si>
    <t>A/R, Other</t>
  </si>
  <si>
    <t>A/R, Other (HCF)</t>
  </si>
  <si>
    <t>A/R, Other (G. Fordyce)</t>
  </si>
  <si>
    <t>Sub-Total A/P, Other</t>
  </si>
  <si>
    <t>Inventories (HCF)</t>
  </si>
  <si>
    <t>Inventories (G. Fordyce)</t>
  </si>
  <si>
    <t>Employee Retention Credits Receivable</t>
  </si>
  <si>
    <t>Prepaid Expenses</t>
  </si>
  <si>
    <t xml:space="preserve">      Total Current Assets</t>
  </si>
  <si>
    <t>Property, Plant and Equipment</t>
  </si>
  <si>
    <t>Land</t>
  </si>
  <si>
    <t>Buildings</t>
  </si>
  <si>
    <t>Leasehold Improvements (HCF)</t>
  </si>
  <si>
    <t>Leasehold Improvements (G. Fordyce)</t>
  </si>
  <si>
    <t>Machinery and Equipment</t>
  </si>
  <si>
    <t>Vehicles</t>
  </si>
  <si>
    <t>Furniture, Fixtures &amp; Office Equip.</t>
  </si>
  <si>
    <t xml:space="preserve">   Total Fixed Assets at Cost</t>
  </si>
  <si>
    <r>
      <t xml:space="preserve">   (</t>
    </r>
    <r>
      <rPr>
        <i/>
        <u/>
        <sz val="11"/>
        <color rgb="FFFF0000"/>
        <rFont val="Calibri"/>
        <family val="2"/>
      </rPr>
      <t>Less</t>
    </r>
    <r>
      <rPr>
        <i/>
        <sz val="11"/>
        <color theme="1"/>
        <rFont val="Calibri"/>
        <family val="2"/>
      </rPr>
      <t xml:space="preserve"> Accumulated Depreciation)</t>
    </r>
  </si>
  <si>
    <r>
      <t xml:space="preserve">      Total </t>
    </r>
    <r>
      <rPr>
        <b/>
        <u/>
        <sz val="12"/>
        <color theme="1"/>
        <rFont val="Calibri"/>
        <family val="2"/>
      </rPr>
      <t>Net</t>
    </r>
    <r>
      <rPr>
        <b/>
        <sz val="12"/>
        <color theme="1"/>
        <rFont val="Calibri"/>
        <family val="2"/>
      </rPr>
      <t xml:space="preserve"> Fixed Assets</t>
    </r>
  </si>
  <si>
    <t>Other Assets</t>
  </si>
  <si>
    <t>Right-of-use assets, operating</t>
  </si>
  <si>
    <t>Cash Value of Life Insurance</t>
  </si>
  <si>
    <t>Deferred Financing Fees, net</t>
  </si>
  <si>
    <t>Goodwill</t>
  </si>
  <si>
    <t>Deposits</t>
  </si>
  <si>
    <t>Total Other Assets</t>
  </si>
  <si>
    <t>Total Assets</t>
  </si>
  <si>
    <t>LIABILITIES</t>
  </si>
  <si>
    <t>Current Liabilities</t>
  </si>
  <si>
    <t>Long-term debt, Current Portion</t>
  </si>
  <si>
    <t>Line of Credit</t>
  </si>
  <si>
    <t>Finance Lease, Current Portion</t>
  </si>
  <si>
    <t>Operating Lease, Current Portion</t>
  </si>
  <si>
    <t>PPP Loan</t>
  </si>
  <si>
    <t>A/P, Trade</t>
  </si>
  <si>
    <t>A/P, Trade (HCF)</t>
  </si>
  <si>
    <t>A/P, Trade (G. Fordyce)</t>
  </si>
  <si>
    <t>N/P, W &amp; J</t>
  </si>
  <si>
    <t>N/P, First State Bank</t>
  </si>
  <si>
    <t>Accrued Payroll &amp; Related Costs</t>
  </si>
  <si>
    <t>Accrued Expenses</t>
  </si>
  <si>
    <t>Accrued Rent, Affiliates</t>
  </si>
  <si>
    <t>Accrued Taxes</t>
  </si>
  <si>
    <t>Accrued Interest</t>
  </si>
  <si>
    <t>Customer Deposits</t>
  </si>
  <si>
    <t xml:space="preserve">      Total Current Liabilities</t>
  </si>
  <si>
    <t>Long Term Liabilities</t>
  </si>
  <si>
    <t>N/P, Affiliate</t>
  </si>
  <si>
    <t>N/P, First State Bank - Long term</t>
  </si>
  <si>
    <t>Long-term debt, Net of Current Portion</t>
  </si>
  <si>
    <t>Finance lease, Net of Current Portion</t>
  </si>
  <si>
    <t>Operating Lease, Net of Current Portion</t>
  </si>
  <si>
    <t xml:space="preserve">      Total Long-Term Liabilities</t>
  </si>
  <si>
    <t>Total Liabilities</t>
  </si>
  <si>
    <t>Stockholders' Equity</t>
  </si>
  <si>
    <t>6-mo'-FY'24</t>
  </si>
  <si>
    <r>
      <t>Extrapolation</t>
    </r>
    <r>
      <rPr>
        <b/>
        <vertAlign val="superscript"/>
        <sz val="10"/>
        <color rgb="FF7030A0"/>
        <rFont val="Calibri"/>
        <family val="2"/>
      </rPr>
      <t>④</t>
    </r>
  </si>
  <si>
    <t>"Adjusted" EBITDA CALCULATION</t>
  </si>
  <si>
    <t>FY2026</t>
  </si>
  <si>
    <t>6mo.-'24</t>
  </si>
  <si>
    <t>Net Revenue</t>
  </si>
  <si>
    <r>
      <t xml:space="preserve">Gross Margin </t>
    </r>
    <r>
      <rPr>
        <b/>
        <sz val="11"/>
        <color rgb="FF00B050"/>
        <rFont val="Calibri"/>
        <family val="2"/>
      </rPr>
      <t>$</t>
    </r>
  </si>
  <si>
    <t>Gross Margin %</t>
  </si>
  <si>
    <r>
      <t xml:space="preserve">Net Income </t>
    </r>
    <r>
      <rPr>
        <b/>
        <sz val="11"/>
        <color rgb="FFFF0000"/>
        <rFont val="Calibri"/>
        <family val="2"/>
      </rPr>
      <t xml:space="preserve">(Loss) </t>
    </r>
  </si>
  <si>
    <t>Add back Interest Expense</t>
  </si>
  <si>
    <t>Add back Income Taxes</t>
  </si>
  <si>
    <t>Add back Depreciation</t>
  </si>
  <si>
    <r>
      <rPr>
        <b/>
        <i/>
        <u/>
        <sz val="11"/>
        <color theme="1"/>
        <rFont val="Calibri"/>
        <family val="2"/>
      </rPr>
      <t>Less</t>
    </r>
    <r>
      <rPr>
        <b/>
        <sz val="11"/>
        <color theme="1"/>
        <rFont val="Calibri"/>
        <family val="2"/>
      </rPr>
      <t xml:space="preserve"> Depreciation of Building    </t>
    </r>
  </si>
  <si>
    <t>Estimated Fair Market Rent</t>
  </si>
  <si>
    <r>
      <t>Add back Bank Charges</t>
    </r>
    <r>
      <rPr>
        <b/>
        <vertAlign val="superscript"/>
        <sz val="10"/>
        <color theme="1"/>
        <rFont val="Calibri"/>
        <family val="2"/>
      </rPr>
      <t>②</t>
    </r>
  </si>
  <si>
    <r>
      <t>Add back Bad Debt</t>
    </r>
    <r>
      <rPr>
        <b/>
        <vertAlign val="superscript"/>
        <sz val="9"/>
        <color theme="1"/>
        <rFont val="Calibri"/>
        <family val="2"/>
      </rPr>
      <t>③</t>
    </r>
  </si>
  <si>
    <t>Deduct Gain on Sale of Assets</t>
  </si>
  <si>
    <t>Deduct ERC Funds</t>
  </si>
  <si>
    <t>Deduct PPP Loan Funds</t>
  </si>
  <si>
    <t>Deduct Purchase Discounts</t>
  </si>
  <si>
    <r>
      <t>Deduct Other Income</t>
    </r>
    <r>
      <rPr>
        <b/>
        <vertAlign val="superscript"/>
        <sz val="9"/>
        <color theme="1"/>
        <rFont val="Calibri"/>
        <family val="2"/>
        <scheme val="minor"/>
      </rPr>
      <t>④</t>
    </r>
  </si>
  <si>
    <t>Deduct Debt Forgiveness</t>
  </si>
  <si>
    <t>Add back Est. Owners' Perqs</t>
  </si>
  <si>
    <r>
      <rPr>
        <b/>
        <vertAlign val="superscript"/>
        <sz val="8"/>
        <color rgb="FF0000CC"/>
        <rFont val="Calibri"/>
        <family val="2"/>
        <scheme val="minor"/>
      </rPr>
      <t>①</t>
    </r>
    <r>
      <rPr>
        <b/>
        <sz val="12"/>
        <color rgb="FF0000CC"/>
        <rFont val="Calibri"/>
        <family val="2"/>
      </rPr>
      <t xml:space="preserve"> "Adjusted" EBITDA </t>
    </r>
    <r>
      <rPr>
        <b/>
        <sz val="12"/>
        <color rgb="FF00B050"/>
        <rFont val="Calibri"/>
        <family val="2"/>
      </rPr>
      <t xml:space="preserve">$ </t>
    </r>
  </si>
  <si>
    <r>
      <rPr>
        <vertAlign val="superscript"/>
        <sz val="9"/>
        <color rgb="FF0000CC"/>
        <rFont val="Calibri"/>
        <family val="2"/>
        <scheme val="minor"/>
      </rPr>
      <t>①</t>
    </r>
    <r>
      <rPr>
        <sz val="12"/>
        <color rgb="FF0000CC"/>
        <rFont val="Calibri"/>
        <family val="2"/>
      </rPr>
      <t xml:space="preserve"> "Adjusted" EBITDA % </t>
    </r>
  </si>
  <si>
    <r>
      <rPr>
        <vertAlign val="superscript"/>
        <sz val="9"/>
        <rFont val="Calibri"/>
        <family val="2"/>
      </rPr>
      <t>①</t>
    </r>
    <r>
      <rPr>
        <i/>
        <sz val="11"/>
        <rFont val="Calibri"/>
        <family val="2"/>
      </rPr>
      <t xml:space="preserve"> Pretax Income (</t>
    </r>
    <r>
      <rPr>
        <b/>
        <i/>
        <u/>
        <sz val="11"/>
        <rFont val="Calibri"/>
        <family val="2"/>
      </rPr>
      <t>E</t>
    </r>
    <r>
      <rPr>
        <i/>
        <sz val="11"/>
        <rFont val="Calibri"/>
        <family val="2"/>
      </rPr>
      <t>arnings)</t>
    </r>
    <r>
      <rPr>
        <b/>
        <i/>
        <sz val="11"/>
        <rFont val="Calibri"/>
        <family val="2"/>
      </rPr>
      <t xml:space="preserve"> </t>
    </r>
    <r>
      <rPr>
        <b/>
        <i/>
        <u/>
        <sz val="11"/>
        <rFont val="Calibri"/>
        <family val="2"/>
      </rPr>
      <t>less</t>
    </r>
    <r>
      <rPr>
        <i/>
        <sz val="11"/>
        <rFont val="Calibri"/>
        <family val="2"/>
      </rPr>
      <t xml:space="preserve"> </t>
    </r>
    <r>
      <rPr>
        <b/>
        <i/>
        <u/>
        <sz val="11"/>
        <rFont val="Calibri"/>
        <family val="2"/>
      </rPr>
      <t>I</t>
    </r>
    <r>
      <rPr>
        <i/>
        <sz val="11"/>
        <rFont val="Calibri"/>
        <family val="2"/>
      </rPr>
      <t xml:space="preserve">nterest, </t>
    </r>
    <r>
      <rPr>
        <b/>
        <i/>
        <u/>
        <sz val="11"/>
        <rFont val="Calibri"/>
        <family val="2"/>
      </rPr>
      <t>T</t>
    </r>
    <r>
      <rPr>
        <i/>
        <sz val="11"/>
        <rFont val="Calibri"/>
        <family val="2"/>
      </rPr>
      <t xml:space="preserve">axes, </t>
    </r>
    <r>
      <rPr>
        <b/>
        <i/>
        <u/>
        <sz val="11"/>
        <rFont val="Calibri"/>
        <family val="2"/>
      </rPr>
      <t>D</t>
    </r>
    <r>
      <rPr>
        <i/>
        <sz val="11"/>
        <rFont val="Calibri"/>
        <family val="2"/>
      </rPr>
      <t>epreciation/</t>
    </r>
    <r>
      <rPr>
        <b/>
        <i/>
        <u/>
        <sz val="11"/>
        <rFont val="Calibri"/>
        <family val="2"/>
      </rPr>
      <t>A</t>
    </r>
    <r>
      <rPr>
        <i/>
        <sz val="11"/>
        <rFont val="Calibri"/>
        <family val="2"/>
      </rPr>
      <t>mortization &amp; "unusual" Expenses</t>
    </r>
  </si>
  <si>
    <r>
      <rPr>
        <vertAlign val="superscript"/>
        <sz val="14"/>
        <rFont val="Aptos Narrow"/>
        <family val="2"/>
      </rPr>
      <t>②</t>
    </r>
    <r>
      <rPr>
        <i/>
        <sz val="11"/>
        <rFont val="Calibri"/>
        <family val="2"/>
      </rPr>
      <t>The internals separate bank charges from payroll charges. The Reviews do not.</t>
    </r>
  </si>
  <si>
    <r>
      <rPr>
        <i/>
        <vertAlign val="superscript"/>
        <sz val="9"/>
        <rFont val="Calibri"/>
        <family val="2"/>
      </rPr>
      <t>③</t>
    </r>
    <r>
      <rPr>
        <i/>
        <sz val="11"/>
        <rFont val="Calibri"/>
        <family val="2"/>
      </rPr>
      <t xml:space="preserve">A large customer filed bankruptcy in 2024. Rare event. </t>
    </r>
  </si>
  <si>
    <r>
      <rPr>
        <vertAlign val="superscript"/>
        <sz val="9"/>
        <rFont val="Calibri"/>
        <family val="2"/>
      </rPr>
      <t>④</t>
    </r>
    <r>
      <rPr>
        <i/>
        <sz val="11"/>
        <rFont val="Calibri"/>
        <family val="2"/>
      </rPr>
      <t>Straight-line extrapolation based on 6-mo'-FY'26 figures.</t>
    </r>
  </si>
  <si>
    <t>HCF's Working Capital Computation</t>
  </si>
  <si>
    <t>3-mo'-FY'26</t>
  </si>
  <si>
    <t>6-mo'-FY'25</t>
  </si>
  <si>
    <t>CASH*</t>
  </si>
  <si>
    <t>A/R</t>
  </si>
  <si>
    <t>INV</t>
  </si>
  <si>
    <t>A/P</t>
  </si>
  <si>
    <t>Net</t>
  </si>
  <si>
    <t>*Includes $300k in Certificates of Deposit for FY2024 and $313k for FY2025.</t>
  </si>
  <si>
    <t>Date: 7/15/2026</t>
  </si>
  <si>
    <t>Fiscal Year Ends December 31st</t>
  </si>
  <si>
    <t>Average</t>
  </si>
  <si>
    <r>
      <t xml:space="preserve">Trailing </t>
    </r>
    <r>
      <rPr>
        <b/>
        <sz val="11"/>
        <color rgb="FFFF0000"/>
        <rFont val="Calibri"/>
        <family val="2"/>
        <scheme val="minor"/>
      </rPr>
      <t>?</t>
    </r>
  </si>
  <si>
    <t>June-'26</t>
  </si>
  <si>
    <t>May-'26</t>
  </si>
  <si>
    <t>Apr-'26</t>
  </si>
  <si>
    <t>Mar-'26</t>
  </si>
  <si>
    <t>Dec-'25</t>
  </si>
  <si>
    <t>Dec-'24</t>
  </si>
  <si>
    <t>Dec-'23</t>
  </si>
  <si>
    <t>Dec-'22</t>
  </si>
  <si>
    <t>Dec-'21</t>
  </si>
  <si>
    <t>Dec-'20</t>
  </si>
  <si>
    <t>Working Capital Computation</t>
  </si>
  <si>
    <t>CASH</t>
  </si>
  <si>
    <t>Accounts Receivable - Trade</t>
  </si>
  <si>
    <t>Inventory</t>
  </si>
  <si>
    <t>Total Current Asset Components of Working Capital</t>
  </si>
  <si>
    <t>Accounts Payable - Trade</t>
  </si>
  <si>
    <t>Total Current Liability Components of Working Capital</t>
  </si>
  <si>
    <r>
      <t xml:space="preserve">Net Working Capital </t>
    </r>
    <r>
      <rPr>
        <i/>
        <sz val="12"/>
        <rFont val="Calibri"/>
        <family val="2"/>
        <scheme val="minor"/>
      </rPr>
      <t>(sans Cash)</t>
    </r>
  </si>
  <si>
    <r>
      <t>Average Ratio of "Core" NWC (</t>
    </r>
    <r>
      <rPr>
        <b/>
        <i/>
        <sz val="12"/>
        <color rgb="FF7030A0"/>
        <rFont val="Calibri"/>
        <family val="2"/>
        <scheme val="minor"/>
      </rPr>
      <t>sans</t>
    </r>
    <r>
      <rPr>
        <b/>
        <sz val="12"/>
        <color rgb="FF7030A0"/>
        <rFont val="Calibri"/>
        <family val="2"/>
        <scheme val="minor"/>
      </rPr>
      <t xml:space="preserve"> Cash)</t>
    </r>
    <r>
      <rPr>
        <b/>
        <sz val="12"/>
        <color rgb="FF7030A0"/>
        <rFont val="Symbol"/>
        <family val="1"/>
        <charset val="2"/>
      </rPr>
      <t>®</t>
    </r>
  </si>
  <si>
    <t>June-'24</t>
  </si>
  <si>
    <t>Mar-'24</t>
  </si>
  <si>
    <t>Total</t>
  </si>
  <si>
    <t>Hillsboro #1</t>
  </si>
  <si>
    <t>Hillsboro #2</t>
  </si>
  <si>
    <t>Angola</t>
  </si>
  <si>
    <t>ALLOCATED</t>
  </si>
  <si>
    <t>Agg</t>
  </si>
  <si>
    <t>COGS - Manufactured</t>
  </si>
  <si>
    <t>Direct Materials</t>
  </si>
  <si>
    <t>Materials</t>
  </si>
  <si>
    <t>Carbon</t>
  </si>
  <si>
    <t>Materials + Supplies</t>
  </si>
  <si>
    <t>Label Material</t>
  </si>
  <si>
    <t>Integrated Material</t>
  </si>
  <si>
    <t>Plant Overhead</t>
  </si>
  <si>
    <t>Plates + Comp Charges</t>
  </si>
  <si>
    <t>Total Direct Materials</t>
  </si>
  <si>
    <t>Labor</t>
  </si>
  <si>
    <t>Direct Labor Wages</t>
  </si>
  <si>
    <t>Indirect Labor Wages</t>
  </si>
  <si>
    <t>Supervisor's Salaries</t>
  </si>
  <si>
    <t>Total Labor</t>
  </si>
  <si>
    <t>Factory Overhead</t>
  </si>
  <si>
    <t>Depreciation Equipment</t>
  </si>
  <si>
    <t>Depreciation Trucks</t>
  </si>
  <si>
    <t>Caretaking-Production</t>
  </si>
  <si>
    <t>Equipment Leasing</t>
  </si>
  <si>
    <t>Insurance - Prod Health</t>
  </si>
  <si>
    <t>Taxes - Prod Payroll</t>
  </si>
  <si>
    <t>401k Match - Prod</t>
  </si>
  <si>
    <t>Insurance - General</t>
  </si>
  <si>
    <t>Taxes - General</t>
  </si>
  <si>
    <t>Training  &amp; Education</t>
  </si>
  <si>
    <t>Rent</t>
  </si>
  <si>
    <t>Repairs + Maintenance</t>
  </si>
  <si>
    <t>Utilities</t>
  </si>
  <si>
    <t>Freight</t>
  </si>
  <si>
    <t>Freight in Price Expenses</t>
  </si>
  <si>
    <t>Total Factory Overhead</t>
  </si>
  <si>
    <t>Total Mfg Cost</t>
  </si>
  <si>
    <t>PRODUCTION</t>
  </si>
  <si>
    <t>Gross Margin (of Production Sales)</t>
  </si>
  <si>
    <t>Beg Inventories</t>
  </si>
  <si>
    <t>Less Ending Inventories</t>
  </si>
  <si>
    <t>Total COGS</t>
  </si>
  <si>
    <t>Variance (Math vs Internals)</t>
  </si>
  <si>
    <t>Freight Charged to Customer</t>
  </si>
  <si>
    <t>Less Sales Discount</t>
  </si>
  <si>
    <t>Net Sales</t>
  </si>
  <si>
    <t>Cost of Goods Sold</t>
  </si>
  <si>
    <t>Beginning Inventory</t>
  </si>
  <si>
    <t>Beginning Inventory (Correction to Review)</t>
  </si>
  <si>
    <t>Total COGs</t>
  </si>
  <si>
    <t>Carbon &amp; Cartons</t>
  </si>
  <si>
    <t>Unallocated COGs</t>
  </si>
  <si>
    <t>Grand Total</t>
  </si>
  <si>
    <t>Mfg. Cost Portion % - H1</t>
  </si>
  <si>
    <t>Mfg. Cost Portion % - H2</t>
  </si>
  <si>
    <t>Mfg. Cost Portion % - A</t>
  </si>
  <si>
    <t>Sub-Total Materials</t>
  </si>
  <si>
    <t>Unallocated G&amp;A</t>
  </si>
  <si>
    <t>Des Moines G&amp;A</t>
  </si>
  <si>
    <t>&lt;-Include $88 in Des Moines Freight (not a plant, definitely a G&amp;A item).</t>
  </si>
  <si>
    <t>Unallocated Freight</t>
  </si>
  <si>
    <t>Hillsboro #1 Net Profit(loss)</t>
  </si>
  <si>
    <t>Benefits (Health Ins. + 401k)</t>
  </si>
  <si>
    <t>Hillsboro #2 Net Profit(loss)</t>
  </si>
  <si>
    <t>Sub-Total Labor</t>
  </si>
  <si>
    <t>Angola Net Profit(loss)</t>
  </si>
  <si>
    <t>Des moines Net Profit(loss)</t>
  </si>
  <si>
    <t>Allocated Net Profit(loss)</t>
  </si>
  <si>
    <t>Repairs &amp; Maintenance</t>
  </si>
  <si>
    <t>Plates &amp; Comp Charges</t>
  </si>
  <si>
    <t>Unallocated Misc. Income</t>
  </si>
  <si>
    <t>Misc. Plant Overhead</t>
  </si>
  <si>
    <t>Unallocated Interst Income</t>
  </si>
  <si>
    <t>Sub-Total Plant Overhead</t>
  </si>
  <si>
    <t>Unallocated Interest Expense</t>
  </si>
  <si>
    <t>Unallocated Loss of Sale of Property</t>
  </si>
  <si>
    <t>Less Ending Inventory</t>
  </si>
  <si>
    <t>Unallocated Purchase Discounts</t>
  </si>
  <si>
    <t>Total COGs(per Internals)</t>
  </si>
  <si>
    <t>Freight In Price Expenses</t>
  </si>
  <si>
    <t>Beginning Inventories (review)</t>
  </si>
  <si>
    <t>Freight Expense</t>
  </si>
  <si>
    <t>Ending Inventories (review)</t>
  </si>
  <si>
    <t>Intercompany Freight</t>
  </si>
  <si>
    <t>Unreconciled Freight</t>
  </si>
  <si>
    <t>Total Freight</t>
  </si>
  <si>
    <t>Total COGs(per CDA)</t>
  </si>
  <si>
    <t>G&amp;A Expenses</t>
  </si>
  <si>
    <t>Unallocated G&amp;A Expenses</t>
  </si>
  <si>
    <t>Des Moines G&amp;A Expenses</t>
  </si>
  <si>
    <t>Gross Margin</t>
  </si>
  <si>
    <t>Operating Profit</t>
  </si>
  <si>
    <t>Other Income</t>
  </si>
  <si>
    <t>Sale of Scrap</t>
  </si>
  <si>
    <t>Misc. Income</t>
  </si>
  <si>
    <t>Interest Income</t>
  </si>
  <si>
    <t>Loss on sale of Property</t>
  </si>
  <si>
    <t>Total Other Income</t>
  </si>
  <si>
    <t>Total Other Income (no Unallocated)</t>
  </si>
  <si>
    <t>Net Profit</t>
  </si>
  <si>
    <t>asdfads</t>
  </si>
  <si>
    <t>6 month 2026</t>
  </si>
  <si>
    <t>3 month 2026</t>
  </si>
  <si>
    <t>6 month 2025</t>
  </si>
  <si>
    <t>6 month 2024</t>
  </si>
  <si>
    <t>Sales, net (HFC Division)</t>
  </si>
  <si>
    <t>Sales, net (G.Fordyce Div.)</t>
  </si>
  <si>
    <t>in Above Cell.</t>
  </si>
  <si>
    <t>Purchases &amp; other Costs:</t>
  </si>
  <si>
    <t>Production and Collator Wages (HCF)</t>
  </si>
  <si>
    <t>Production and Collator Wages (G.Fordyce)</t>
  </si>
  <si>
    <t>Indirect Labor</t>
  </si>
  <si>
    <t>labor</t>
  </si>
  <si>
    <t>Health Insurance</t>
  </si>
  <si>
    <t>In Materials</t>
  </si>
  <si>
    <t>Buyouts and Outside Purchases (HCF)</t>
  </si>
  <si>
    <t>Buyouts and Outside Purchases (G. Fordyce)</t>
  </si>
  <si>
    <t>Payroll Taxes</t>
  </si>
  <si>
    <t>Lease (HCF)</t>
  </si>
  <si>
    <t>Lease (G. Fordyce)</t>
  </si>
  <si>
    <t>Equipment Depreciation</t>
  </si>
  <si>
    <t>Repairs and Maintenance (HCF)</t>
  </si>
  <si>
    <t>Plates and Negatives</t>
  </si>
  <si>
    <t>Shipping Wages</t>
  </si>
  <si>
    <t>In Indirect Labor</t>
  </si>
  <si>
    <t>Retirement Plan Expenses</t>
  </si>
  <si>
    <t>Vehicle Depreciation</t>
  </si>
  <si>
    <t>Materials (HCF)</t>
  </si>
  <si>
    <t>Materials (G. Fordyce)</t>
  </si>
  <si>
    <t>Net Frieght (Income) Expense (G. Fordyce)</t>
  </si>
  <si>
    <t>Purchase Discounts (HCF)</t>
  </si>
  <si>
    <t>Purchase Discounts (G.Fordyce)</t>
  </si>
  <si>
    <t>G&amp;A</t>
  </si>
  <si>
    <t>Total Goods Available for sale</t>
  </si>
  <si>
    <t>Gross Profit</t>
  </si>
  <si>
    <t>Office Salaries</t>
  </si>
  <si>
    <t>Insurance</t>
  </si>
  <si>
    <t>Administrative Salaries</t>
  </si>
  <si>
    <t>Professional Fees</t>
  </si>
  <si>
    <t>Depreciation (HCF)</t>
  </si>
  <si>
    <t>Depreciation (G. Fordyce)</t>
  </si>
  <si>
    <t>Bad Debt Expense</t>
  </si>
  <si>
    <t>General Taxes</t>
  </si>
  <si>
    <t xml:space="preserve">&lt;-property taxes in here? Income taxes? </t>
  </si>
  <si>
    <t>Caretaking Expenses</t>
  </si>
  <si>
    <t>Bank and Payroll Service Charges (HCF)</t>
  </si>
  <si>
    <t>&lt;- split these apart? So we can add back bank fees/charges</t>
  </si>
  <si>
    <t>Bank and Payroll Service Charges (G. Fordyce)</t>
  </si>
  <si>
    <t>Office Repairs and Maintenance</t>
  </si>
  <si>
    <t>Selling</t>
  </si>
  <si>
    <t>Travel and Entertainment (HCF)</t>
  </si>
  <si>
    <t>Travel and Entertainment (G. Fordyce)</t>
  </si>
  <si>
    <t>Telephone and Internet</t>
  </si>
  <si>
    <t>Office Supplies</t>
  </si>
  <si>
    <t>Office Supplies (G. Fordyce)</t>
  </si>
  <si>
    <t>Employee Relations</t>
  </si>
  <si>
    <t>Employee Relations (G. Fordyce)</t>
  </si>
  <si>
    <t>Postage</t>
  </si>
  <si>
    <t>Postage (G. Fordyce)</t>
  </si>
  <si>
    <t>Charitable Contributions</t>
  </si>
  <si>
    <t>Training and Education</t>
  </si>
  <si>
    <t>Miscellaneous Expenses (HCF)</t>
  </si>
  <si>
    <t>Miscellaneous Expenses (G. Foryce)</t>
  </si>
  <si>
    <t>Dues and Subscriptions (HCF)</t>
  </si>
  <si>
    <t>Dues and Subscriptions (G. Fordyce)</t>
  </si>
  <si>
    <t>Salaries -Sales Service</t>
  </si>
  <si>
    <t>Rent- Administrative</t>
  </si>
  <si>
    <t>Total SGA</t>
  </si>
  <si>
    <t>Income (Loss) from Operations</t>
  </si>
  <si>
    <t>gain on dispoal of fixed assets</t>
  </si>
  <si>
    <t>Employee Retention Credits</t>
  </si>
  <si>
    <t>Net Income (Loss)</t>
  </si>
  <si>
    <t>^rounding errors</t>
  </si>
  <si>
    <t>Bank Charges (Solo)</t>
  </si>
  <si>
    <t>Sales, net</t>
  </si>
  <si>
    <t>Beginning Inventories</t>
  </si>
  <si>
    <t>Production and Collator Wages</t>
  </si>
  <si>
    <t>Supplies</t>
  </si>
  <si>
    <t>Buyouts and Outside Purchases</t>
  </si>
  <si>
    <t>Supervisors' Salaries</t>
  </si>
  <si>
    <t>Lease</t>
  </si>
  <si>
    <t>Repairs and Maintenance</t>
  </si>
  <si>
    <t>Net Freight Expense</t>
  </si>
  <si>
    <t>total goods available for sale</t>
  </si>
  <si>
    <t>Bank and Payroll Service Charges</t>
  </si>
  <si>
    <t>Travel and Entertainment</t>
  </si>
  <si>
    <t>Miscellaneous Expenses</t>
  </si>
  <si>
    <t>Dues and Subscriptions</t>
  </si>
  <si>
    <t>Date: 4/9/2025</t>
  </si>
  <si>
    <t>Fiscal Year 2024 - Ended December 31st</t>
  </si>
  <si>
    <t>Income Statement</t>
  </si>
  <si>
    <r>
      <rPr>
        <i/>
        <u/>
        <sz val="11"/>
        <color rgb="FFFF0000"/>
        <rFont val="Calibri"/>
        <family val="2"/>
      </rPr>
      <t>Less</t>
    </r>
    <r>
      <rPr>
        <i/>
        <sz val="11"/>
        <color theme="1"/>
        <rFont val="Calibri"/>
        <family val="2"/>
      </rPr>
      <t xml:space="preserve"> Sales Discount</t>
    </r>
  </si>
  <si>
    <t>Total Sales, net</t>
  </si>
  <si>
    <r>
      <rPr>
        <i/>
        <u/>
        <sz val="11"/>
        <color rgb="FFFF0000"/>
        <rFont val="Calibri"/>
        <family val="2"/>
      </rPr>
      <t>Less</t>
    </r>
    <r>
      <rPr>
        <sz val="11"/>
        <color rgb="FFFF0000"/>
        <rFont val="Calibri"/>
        <family val="2"/>
      </rPr>
      <t xml:space="preserve"> </t>
    </r>
    <r>
      <rPr>
        <i/>
        <sz val="11"/>
        <color theme="1"/>
        <rFont val="Calibri"/>
        <family val="2"/>
      </rPr>
      <t>Ending Inventory</t>
    </r>
  </si>
  <si>
    <t>Benefits (Health Ins. &amp; 401k)</t>
  </si>
  <si>
    <t>% to Total COGs</t>
  </si>
  <si>
    <r>
      <t xml:space="preserve">Utilities </t>
    </r>
    <r>
      <rPr>
        <sz val="10"/>
        <color theme="3" tint="0.499984740745262"/>
        <rFont val="Calibri"/>
        <family val="2"/>
      </rPr>
      <t>(80%)</t>
    </r>
  </si>
  <si>
    <t>Freight and Delivery</t>
  </si>
  <si>
    <t>Allocated COGS*</t>
  </si>
  <si>
    <r>
      <t xml:space="preserve">Gross Margin </t>
    </r>
    <r>
      <rPr>
        <b/>
        <sz val="12"/>
        <color rgb="FF00B050"/>
        <rFont val="Calibri"/>
        <family val="2"/>
      </rPr>
      <t>$</t>
    </r>
  </si>
  <si>
    <r>
      <t xml:space="preserve">Utilities </t>
    </r>
    <r>
      <rPr>
        <sz val="10"/>
        <color theme="3" tint="0.499984740745262"/>
        <rFont val="Calibri"/>
        <family val="2"/>
      </rPr>
      <t>(20%)</t>
    </r>
  </si>
  <si>
    <t>Total G&amp;A Expenses</t>
  </si>
  <si>
    <r>
      <t xml:space="preserve">Operating Profit </t>
    </r>
    <r>
      <rPr>
        <b/>
        <sz val="12"/>
        <color rgb="FFFF0000"/>
        <rFont val="Calibri"/>
        <family val="2"/>
      </rPr>
      <t>(Loss)</t>
    </r>
  </si>
  <si>
    <t>Scrap Paper</t>
  </si>
  <si>
    <t>Gain on Sale of Assets</t>
  </si>
  <si>
    <r>
      <t xml:space="preserve">Net Profit </t>
    </r>
    <r>
      <rPr>
        <b/>
        <sz val="12"/>
        <color rgb="FFFF0000"/>
        <rFont val="Calibri"/>
        <family val="2"/>
      </rPr>
      <t>(Loss)</t>
    </r>
  </si>
  <si>
    <t>*COGs not assigned to any plant. Allocated proportionally by each plant's share of total manufacturing cost.</t>
  </si>
  <si>
    <t>Note: About $1m in G&amp;A expenses were not allocated to any plant. Allocated proportionally by each plant's share of total manufacturing cost.</t>
  </si>
  <si>
    <t>Note 2: Sales figures differ because we have included "Freight Charged to Customer" as Revenue. The 2024 CPA review says such revenue is included in Sales, although comparing the Internals and the 2024 Review indicate otherwise.</t>
  </si>
  <si>
    <t xml:space="preserve">Note 3: Beginning and Ending Inventory figures differ greatly between the 2024 Review and the Internals. </t>
  </si>
  <si>
    <t>FINANCIAL INFORMATION</t>
  </si>
  <si>
    <t>Highland Computer Forms, Inc. and Affiliates</t>
  </si>
  <si>
    <t>Date: 12/14/18 v2</t>
  </si>
  <si>
    <t>Hillsboro, OH</t>
  </si>
  <si>
    <r>
      <t xml:space="preserve">OH "S" corp-from CPA </t>
    </r>
    <r>
      <rPr>
        <b/>
        <u/>
        <sz val="9"/>
        <rFont val="Arial"/>
        <family val="2"/>
      </rPr>
      <t>Reviewed</t>
    </r>
    <r>
      <rPr>
        <b/>
        <sz val="9"/>
        <rFont val="Arial"/>
        <family val="2"/>
      </rPr>
      <t xml:space="preserve"> Statements</t>
    </r>
  </si>
  <si>
    <t>Fiscal Years ending December 31st</t>
  </si>
  <si>
    <t>(000's omitted)</t>
  </si>
  <si>
    <t>Extrapolation</t>
  </si>
  <si>
    <t>Jan-Oct</t>
  </si>
  <si>
    <t>2017</t>
  </si>
  <si>
    <t>Revenue</t>
  </si>
  <si>
    <t xml:space="preserve">   Net Sales</t>
  </si>
  <si>
    <t xml:space="preserve">   Other Income</t>
  </si>
  <si>
    <t>Total Net Revenue</t>
  </si>
  <si>
    <t xml:space="preserve">   Beginning Inventory</t>
  </si>
  <si>
    <r>
      <t xml:space="preserve">   </t>
    </r>
    <r>
      <rPr>
        <sz val="10"/>
        <rFont val="Arial"/>
        <family val="2"/>
      </rPr>
      <t xml:space="preserve">Manufacturing Expense Detail </t>
    </r>
    <r>
      <rPr>
        <b/>
        <sz val="8"/>
        <color rgb="FF0070C0"/>
        <rFont val="Arial"/>
        <family val="2"/>
      </rPr>
      <t>(Tab 2)</t>
    </r>
  </si>
  <si>
    <r>
      <t xml:space="preserve">   </t>
    </r>
    <r>
      <rPr>
        <i/>
        <u/>
        <sz val="10"/>
        <rFont val="Arial"/>
        <family val="2"/>
      </rPr>
      <t>Less:</t>
    </r>
    <r>
      <rPr>
        <sz val="10"/>
        <rFont val="Arial"/>
        <family val="2"/>
      </rPr>
      <t xml:space="preserve"> Ending Inventory</t>
    </r>
  </si>
  <si>
    <t>Total Cost of Goods Sold</t>
  </si>
  <si>
    <r>
      <t xml:space="preserve">Gross Margin </t>
    </r>
    <r>
      <rPr>
        <b/>
        <sz val="10"/>
        <color indexed="17"/>
        <rFont val="Arial"/>
        <family val="2"/>
      </rPr>
      <t>$</t>
    </r>
  </si>
  <si>
    <r>
      <t xml:space="preserve">Gross Margin </t>
    </r>
    <r>
      <rPr>
        <b/>
        <sz val="10"/>
        <rFont val="Arial"/>
        <family val="2"/>
      </rPr>
      <t xml:space="preserve">% </t>
    </r>
    <r>
      <rPr>
        <sz val="8"/>
        <rFont val="Arial"/>
        <family val="2"/>
      </rPr>
      <t>(to Total Net Revenue)</t>
    </r>
  </si>
  <si>
    <t>Operating Expenses</t>
  </si>
  <si>
    <r>
      <t xml:space="preserve">   </t>
    </r>
    <r>
      <rPr>
        <sz val="10"/>
        <rFont val="Arial"/>
        <family val="2"/>
      </rPr>
      <t>Operating Expenses</t>
    </r>
    <r>
      <rPr>
        <sz val="10"/>
        <color rgb="FF7030A0"/>
        <rFont val="Arial"/>
        <family val="2"/>
      </rPr>
      <t xml:space="preserve"> </t>
    </r>
    <r>
      <rPr>
        <b/>
        <sz val="8"/>
        <color rgb="FF7030A0"/>
        <rFont val="Arial"/>
        <family val="2"/>
      </rPr>
      <t>(Tab 3)</t>
    </r>
  </si>
  <si>
    <t>Total Operating Expenses</t>
  </si>
  <si>
    <r>
      <t xml:space="preserve">Income from Operations </t>
    </r>
    <r>
      <rPr>
        <b/>
        <sz val="10"/>
        <color rgb="FF006600"/>
        <rFont val="Arial"/>
        <family val="2"/>
      </rPr>
      <t>$</t>
    </r>
  </si>
  <si>
    <t xml:space="preserve">     </t>
  </si>
  <si>
    <r>
      <t xml:space="preserve">Income from Operations </t>
    </r>
    <r>
      <rPr>
        <b/>
        <sz val="10"/>
        <rFont val="Arial"/>
        <family val="2"/>
      </rPr>
      <t>%</t>
    </r>
  </si>
  <si>
    <t>&gt;1%</t>
  </si>
  <si>
    <t>&lt;1%</t>
  </si>
  <si>
    <t xml:space="preserve">   Interest Expense net of Income</t>
  </si>
  <si>
    <t xml:space="preserve">   Gain on disposal of Fixed Assets</t>
  </si>
  <si>
    <t>Total other Income (Expense)</t>
  </si>
  <si>
    <r>
      <t xml:space="preserve">Pretax Income </t>
    </r>
    <r>
      <rPr>
        <b/>
        <sz val="10"/>
        <color rgb="FFFF0000"/>
        <rFont val="Arial"/>
        <family val="2"/>
      </rPr>
      <t>(Loss)</t>
    </r>
  </si>
  <si>
    <t>"Adjusted" EBITDA</t>
  </si>
  <si>
    <r>
      <t>(</t>
    </r>
    <r>
      <rPr>
        <b/>
        <u/>
        <sz val="8"/>
        <rFont val="Arial"/>
        <family val="2"/>
      </rPr>
      <t>E</t>
    </r>
    <r>
      <rPr>
        <sz val="8"/>
        <rFont val="Arial"/>
        <family val="2"/>
      </rPr>
      <t xml:space="preserve">arnings </t>
    </r>
    <r>
      <rPr>
        <b/>
        <u/>
        <sz val="8"/>
        <rFont val="Arial"/>
        <family val="2"/>
      </rPr>
      <t>B</t>
    </r>
    <r>
      <rPr>
        <sz val="8"/>
        <rFont val="Arial"/>
        <family val="2"/>
      </rPr>
      <t xml:space="preserve">efore </t>
    </r>
    <r>
      <rPr>
        <b/>
        <u/>
        <sz val="8"/>
        <rFont val="Arial"/>
        <family val="2"/>
      </rPr>
      <t>I</t>
    </r>
    <r>
      <rPr>
        <sz val="8"/>
        <rFont val="Arial"/>
        <family val="2"/>
      </rPr>
      <t xml:space="preserve">nt., </t>
    </r>
    <r>
      <rPr>
        <b/>
        <u/>
        <sz val="8"/>
        <rFont val="Arial"/>
        <family val="2"/>
      </rPr>
      <t>T</t>
    </r>
    <r>
      <rPr>
        <sz val="8"/>
        <rFont val="Arial"/>
        <family val="2"/>
      </rPr>
      <t xml:space="preserve">axes, </t>
    </r>
    <r>
      <rPr>
        <b/>
        <u/>
        <sz val="8"/>
        <rFont val="Arial"/>
        <family val="2"/>
      </rPr>
      <t>D</t>
    </r>
    <r>
      <rPr>
        <sz val="8"/>
        <rFont val="Arial"/>
        <family val="2"/>
      </rPr>
      <t xml:space="preserve">ep. &amp; </t>
    </r>
    <r>
      <rPr>
        <b/>
        <u/>
        <sz val="8"/>
        <rFont val="Arial"/>
        <family val="2"/>
      </rPr>
      <t>A</t>
    </r>
    <r>
      <rPr>
        <sz val="8"/>
        <rFont val="Arial"/>
        <family val="2"/>
      </rPr>
      <t>mort.)</t>
    </r>
  </si>
  <si>
    <t>Extp.-2018</t>
  </si>
  <si>
    <t>10 mo. 2018</t>
  </si>
  <si>
    <t>Total Net Sales</t>
  </si>
  <si>
    <r>
      <t xml:space="preserve">Pretax Income </t>
    </r>
    <r>
      <rPr>
        <sz val="10"/>
        <color rgb="FFFF0000"/>
        <rFont val="Arial"/>
        <family val="2"/>
      </rPr>
      <t xml:space="preserve">(Loss) </t>
    </r>
  </si>
  <si>
    <t>Reverse non-operating (Income)/Losses</t>
  </si>
  <si>
    <t>Depreciation &amp; Amortization</t>
  </si>
  <si>
    <t>"Adjusted" EBITDA $</t>
  </si>
  <si>
    <r>
      <t xml:space="preserve">"Adjusted" EBITDA </t>
    </r>
    <r>
      <rPr>
        <b/>
        <sz val="10"/>
        <color rgb="FF0000CC"/>
        <rFont val="Arial"/>
        <family val="2"/>
      </rPr>
      <t>%</t>
    </r>
  </si>
  <si>
    <t>9 mo.</t>
  </si>
  <si>
    <t>Did not break out 2015 and 2014</t>
  </si>
  <si>
    <t>Manufacturing Expenses</t>
  </si>
  <si>
    <t>Paper Purchases</t>
  </si>
  <si>
    <t>Production wages</t>
  </si>
  <si>
    <t>Supplies Purchased</t>
  </si>
  <si>
    <t>Did</t>
  </si>
  <si>
    <t>Buyouts &amp; outside purchases</t>
  </si>
  <si>
    <t>not</t>
  </si>
  <si>
    <t>break</t>
  </si>
  <si>
    <t>out</t>
  </si>
  <si>
    <t>Rep. &amp; Maintenance</t>
  </si>
  <si>
    <t>Shipping wages</t>
  </si>
  <si>
    <t>Plates &amp; negatives</t>
  </si>
  <si>
    <t>Retirement plan expenses</t>
  </si>
  <si>
    <t>Copy paper</t>
  </si>
  <si>
    <t>Carbon products</t>
  </si>
  <si>
    <t>Truck expenses</t>
  </si>
  <si>
    <t>Purchase discounts</t>
  </si>
  <si>
    <t>Mfg. Expense Detail</t>
  </si>
  <si>
    <t>10 mo.</t>
  </si>
  <si>
    <t>2018</t>
  </si>
  <si>
    <t>Bank/Payroll Fees</t>
  </si>
  <si>
    <t>for</t>
  </si>
  <si>
    <t>Telephone &amp; Internet</t>
  </si>
  <si>
    <t>the</t>
  </si>
  <si>
    <t>Travel &amp; Entertainment</t>
  </si>
  <si>
    <t>period</t>
  </si>
  <si>
    <t>Retirement Plan Expense</t>
  </si>
  <si>
    <t xml:space="preserve"> Office Repairs &amp; Maint.</t>
  </si>
  <si>
    <t>Training &amp; Education</t>
  </si>
  <si>
    <t>Dues &amp; Subscriptions</t>
  </si>
  <si>
    <t>Misc. Expenses</t>
  </si>
  <si>
    <t>ASSETS</t>
  </si>
  <si>
    <t xml:space="preserve">   Cash &amp; Cash Equivalents</t>
  </si>
  <si>
    <t xml:space="preserve">   Accounts Receivable-Trade</t>
  </si>
  <si>
    <t xml:space="preserve">   Accounts Receivable-Other</t>
  </si>
  <si>
    <t xml:space="preserve">   Accounts Receivable-Related party</t>
  </si>
  <si>
    <t xml:space="preserve">   Inventories</t>
  </si>
  <si>
    <t xml:space="preserve">   Prepaid Expenses</t>
  </si>
  <si>
    <t>Total Current Assets</t>
  </si>
  <si>
    <t>Plant, Property &amp; Equipment</t>
  </si>
  <si>
    <t xml:space="preserve">   Land</t>
  </si>
  <si>
    <t xml:space="preserve">   Buildings</t>
  </si>
  <si>
    <t xml:space="preserve">   Leasehold Improvements</t>
  </si>
  <si>
    <t xml:space="preserve">   Machinery &amp; Equipment</t>
  </si>
  <si>
    <t xml:space="preserve">   Vehicles</t>
  </si>
  <si>
    <t xml:space="preserve">   Furniture, Fixtures &amp; Office Equip.</t>
  </si>
  <si>
    <r>
      <t xml:space="preserve">Sub-total P&amp;E </t>
    </r>
    <r>
      <rPr>
        <sz val="10"/>
        <rFont val="Arial"/>
        <family val="2"/>
      </rPr>
      <t>(at Cost)</t>
    </r>
  </si>
  <si>
    <r>
      <t xml:space="preserve">   </t>
    </r>
    <r>
      <rPr>
        <i/>
        <u/>
        <sz val="10"/>
        <rFont val="Arial"/>
        <family val="2"/>
      </rPr>
      <t>Less:</t>
    </r>
    <r>
      <rPr>
        <sz val="10"/>
        <rFont val="Arial"/>
        <family val="2"/>
      </rPr>
      <t xml:space="preserve"> Accumulated Depreciation</t>
    </r>
  </si>
  <si>
    <t>Net Plant, Property &amp; Equipment</t>
  </si>
  <si>
    <t xml:space="preserve">   Cash Value of Life Insurance</t>
  </si>
  <si>
    <t xml:space="preserve">   Goodwill</t>
  </si>
  <si>
    <t xml:space="preserve">   Deposits</t>
  </si>
  <si>
    <t xml:space="preserve">   Total Other Assets</t>
  </si>
  <si>
    <t>TOTAL ASSETS</t>
  </si>
  <si>
    <t xml:space="preserve">LIABILITIES AND </t>
  </si>
  <si>
    <t xml:space="preserve">   SHAREHOLDERS' EQUITY</t>
  </si>
  <si>
    <t xml:space="preserve">   Capital Lease, current portion</t>
  </si>
  <si>
    <t xml:space="preserve">   Long-term Debt, current portion</t>
  </si>
  <si>
    <t xml:space="preserve">   Accounts Payable, trade</t>
  </si>
  <si>
    <t xml:space="preserve">   Accrued Payroll &amp; Related costs</t>
  </si>
  <si>
    <t xml:space="preserve">   Accrued Rent, related parties</t>
  </si>
  <si>
    <t xml:space="preserve">   Accrued taxes</t>
  </si>
  <si>
    <t xml:space="preserve">   Accrued Interest</t>
  </si>
  <si>
    <t xml:space="preserve">   Advance from Officer</t>
  </si>
  <si>
    <t xml:space="preserve"> Total Current Liabilities</t>
  </si>
  <si>
    <t>Long-term Liabilities</t>
  </si>
  <si>
    <t xml:space="preserve">   Line of Credit</t>
  </si>
  <si>
    <t xml:space="preserve">   Capital Lease, net of current portion</t>
  </si>
  <si>
    <t xml:space="preserve">   Long-term Debt, net of current portion</t>
  </si>
  <si>
    <t>Total Long-term Liabilities</t>
  </si>
  <si>
    <t>TOTAL LIABILITIES</t>
  </si>
  <si>
    <t>SHAREHOLDERS' EQUITY</t>
  </si>
  <si>
    <t>10/31/18</t>
  </si>
  <si>
    <t>2016</t>
  </si>
  <si>
    <t>Comp of HCF to EBF</t>
  </si>
  <si>
    <t>HCF</t>
  </si>
  <si>
    <t>EBF</t>
  </si>
  <si>
    <r>
      <t xml:space="preserve">   </t>
    </r>
    <r>
      <rPr>
        <sz val="10"/>
        <rFont val="Arial"/>
        <family val="2"/>
      </rPr>
      <t xml:space="preserve">Manufacturing Expenses </t>
    </r>
  </si>
  <si>
    <r>
      <t xml:space="preserve">Operating Exp. </t>
    </r>
    <r>
      <rPr>
        <b/>
        <sz val="10"/>
        <rFont val="Arial"/>
        <family val="2"/>
      </rPr>
      <t xml:space="preserve">% </t>
    </r>
    <r>
      <rPr>
        <sz val="8"/>
        <rFont val="Arial"/>
        <family val="2"/>
      </rPr>
      <t xml:space="preserve">(to Total Net Revenue) </t>
    </r>
  </si>
  <si>
    <t xml:space="preserve">   Gain (Loss) on disposal of Assets</t>
  </si>
  <si>
    <t xml:space="preserve">   Other Expense</t>
  </si>
  <si>
    <r>
      <rPr>
        <b/>
        <u/>
        <sz val="10"/>
        <rFont val="Arial"/>
        <family val="2"/>
      </rPr>
      <t>Note re: EBF:</t>
    </r>
    <r>
      <rPr>
        <sz val="10"/>
        <rFont val="Arial"/>
        <family val="2"/>
      </rPr>
      <t xml:space="preserve"> </t>
    </r>
  </si>
  <si>
    <t>As of the market close on Thurs 12/13/18,</t>
  </si>
  <si>
    <t>shares of EBF were trading at $17.82.</t>
  </si>
  <si>
    <t>EBF has 26.32MM shares outstanding</t>
  </si>
  <si>
    <t>so that gives it a Market Cap of ~$469MM.</t>
  </si>
  <si>
    <t xml:space="preserve">EBF has Cash on hand of ~$79MM and </t>
  </si>
  <si>
    <r>
      <t xml:space="preserve">only $30MM in Debt yielding a </t>
    </r>
    <r>
      <rPr>
        <b/>
        <u/>
        <sz val="10"/>
        <rFont val="Arial"/>
        <family val="2"/>
      </rPr>
      <t>T</t>
    </r>
    <r>
      <rPr>
        <sz val="10"/>
        <rFont val="Arial"/>
        <family val="2"/>
      </rPr>
      <t xml:space="preserve">otal </t>
    </r>
  </si>
  <si>
    <r>
      <rPr>
        <b/>
        <u/>
        <sz val="10"/>
        <rFont val="Arial"/>
        <family val="2"/>
      </rPr>
      <t>E</t>
    </r>
    <r>
      <rPr>
        <sz val="10"/>
        <rFont val="Arial"/>
        <family val="2"/>
      </rPr>
      <t xml:space="preserve">nterprise </t>
    </r>
    <r>
      <rPr>
        <b/>
        <u/>
        <sz val="10"/>
        <rFont val="Arial"/>
        <family val="2"/>
      </rPr>
      <t>V</t>
    </r>
    <r>
      <rPr>
        <sz val="10"/>
        <rFont val="Arial"/>
        <family val="2"/>
      </rPr>
      <t xml:space="preserve">alue (TEV) of ~$420MM. </t>
    </r>
  </si>
  <si>
    <t>So, EBF is trading at 7.5X EBITDA</t>
  </si>
  <si>
    <t>Note re: HCF:</t>
  </si>
  <si>
    <r>
      <t xml:space="preserve">At 10/31/18 HCF had </t>
    </r>
    <r>
      <rPr>
        <sz val="10"/>
        <color rgb="FFFF0000"/>
        <rFont val="Arial"/>
        <family val="2"/>
      </rPr>
      <t>negative</t>
    </r>
    <r>
      <rPr>
        <sz val="10"/>
        <rFont val="Arial"/>
        <family val="2"/>
      </rPr>
      <t xml:space="preserve"> Cash of </t>
    </r>
    <r>
      <rPr>
        <sz val="10"/>
        <color rgb="FFFF0000"/>
        <rFont val="Arial"/>
        <family val="2"/>
      </rPr>
      <t>-$32K</t>
    </r>
    <r>
      <rPr>
        <sz val="10"/>
        <rFont val="Arial"/>
        <family val="2"/>
      </rPr>
      <t xml:space="preserve"> and</t>
    </r>
  </si>
  <si>
    <t>Total Debt of $1.5MM.</t>
  </si>
  <si>
    <t>5X EBITDA would equal ~$3MM in TEV so that</t>
  </si>
  <si>
    <t>amount minus $1.5MM in Debt and minus $32K in</t>
  </si>
  <si>
    <t xml:space="preserve">negative Cash produces an Equity value of $1.5MM.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</si>
</sst>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4" formatCode="_(&quot;$&quot;* #,##0.00_);_(&quot;$&quot;* \(#,##0.00\);_(&quot;$&quot;* &quot;-&quot;??_);_(@_)"/>
    <numFmt numFmtId="43" formatCode="_(* #,##0.00_);_(* \(#,##0.00\);_(* &quot;-&quot;??_);_(@_)"/>
    <numFmt numFmtId="164" formatCode="0.0%"/>
    <numFmt numFmtId="165" formatCode="_(* #,##0_);_(* \(#,##0\);_(* &quot;-&quot;??_);_(@_)"/>
    <numFmt numFmtId="166" formatCode="0_);[Red]\(0\)"/>
    <numFmt numFmtId="167" formatCode="0_);\(0\)"/>
    <numFmt numFmtId="168" formatCode="mm/dd/yy;@"/>
    <numFmt numFmtId="169" formatCode="m/d/yy;@"/>
    <numFmt numFmtId="170" formatCode="_(&quot;$&quot;* #,##0_);_(&quot;$&quot;* \(#,##0\);_(&quot;$&quot;* &quot;-&quot;??_);_(@_)"/>
    <numFmt numFmtId="171" formatCode="#,##0;\(#,##0\)"/>
    <numFmt numFmtId="172" formatCode="0.0"/>
  </numFmts>
  <fonts count="143">
    <font>
      <sz val="10"/>
      <name val="Arial"/>
    </font>
    <font>
      <sz val="11"/>
      <color theme="1"/>
      <name val="Calibri"/>
      <family val="2"/>
      <scheme val="minor"/>
    </font>
    <font>
      <sz val="11"/>
      <color theme="1"/>
      <name val="Calibri"/>
      <family val="2"/>
      <scheme val="minor"/>
    </font>
    <font>
      <sz val="11"/>
      <color theme="1"/>
      <name val="Calibri"/>
      <family val="2"/>
    </font>
    <font>
      <sz val="11"/>
      <color theme="1"/>
      <name val="Calibri"/>
      <family val="2"/>
    </font>
    <font>
      <sz val="10"/>
      <name val="Arial"/>
      <family val="2"/>
    </font>
    <font>
      <b/>
      <u/>
      <sz val="10"/>
      <name val="Arial"/>
      <family val="2"/>
    </font>
    <font>
      <b/>
      <sz val="10"/>
      <name val="Arial"/>
      <family val="2"/>
    </font>
    <font>
      <sz val="8"/>
      <name val="Arial"/>
      <family val="2"/>
    </font>
    <font>
      <vertAlign val="subscript"/>
      <sz val="8"/>
      <name val="Arial"/>
      <family val="2"/>
    </font>
    <font>
      <sz val="6"/>
      <name val="Arial"/>
      <family val="2"/>
    </font>
    <font>
      <b/>
      <sz val="10"/>
      <color indexed="12"/>
      <name val="Arial"/>
      <family val="2"/>
    </font>
    <font>
      <b/>
      <sz val="10"/>
      <color indexed="62"/>
      <name val="Arial"/>
      <family val="2"/>
    </font>
    <font>
      <b/>
      <sz val="9"/>
      <color indexed="62"/>
      <name val="Arial"/>
      <family val="2"/>
    </font>
    <font>
      <b/>
      <sz val="8"/>
      <name val="Arial"/>
      <family val="2"/>
    </font>
    <font>
      <b/>
      <u/>
      <sz val="10"/>
      <color indexed="62"/>
      <name val="Arial"/>
      <family val="2"/>
    </font>
    <font>
      <b/>
      <u/>
      <sz val="8"/>
      <color indexed="62"/>
      <name val="Arial"/>
      <family val="2"/>
    </font>
    <font>
      <b/>
      <u/>
      <sz val="8"/>
      <name val="Arial"/>
      <family val="2"/>
    </font>
    <font>
      <sz val="9"/>
      <name val="Arial"/>
      <family val="2"/>
    </font>
    <font>
      <b/>
      <i/>
      <u/>
      <sz val="10"/>
      <color indexed="62"/>
      <name val="Arial"/>
      <family val="2"/>
    </font>
    <font>
      <b/>
      <u/>
      <sz val="12"/>
      <name val="Arial"/>
      <family val="2"/>
    </font>
    <font>
      <b/>
      <sz val="10"/>
      <color indexed="17"/>
      <name val="Arial"/>
      <family val="2"/>
    </font>
    <font>
      <i/>
      <sz val="9"/>
      <color indexed="62"/>
      <name val="Arial"/>
      <family val="2"/>
    </font>
    <font>
      <i/>
      <sz val="8"/>
      <color indexed="62"/>
      <name val="Arial"/>
      <family val="2"/>
    </font>
    <font>
      <sz val="8"/>
      <color indexed="62"/>
      <name val="Arial"/>
      <family val="2"/>
    </font>
    <font>
      <i/>
      <u/>
      <sz val="10"/>
      <name val="Arial"/>
      <family val="2"/>
    </font>
    <font>
      <b/>
      <sz val="10"/>
      <color rgb="FF006600"/>
      <name val="Arial"/>
      <family val="2"/>
    </font>
    <font>
      <u/>
      <sz val="10"/>
      <name val="Arial"/>
      <family val="2"/>
    </font>
    <font>
      <b/>
      <sz val="10"/>
      <color rgb="FFFF0000"/>
      <name val="Arial"/>
      <family val="2"/>
    </font>
    <font>
      <b/>
      <u/>
      <sz val="10"/>
      <color rgb="FF0000CC"/>
      <name val="Arial"/>
      <family val="2"/>
    </font>
    <font>
      <b/>
      <sz val="10"/>
      <color rgb="FF0000CC"/>
      <name val="Arial"/>
      <family val="2"/>
    </font>
    <font>
      <sz val="10"/>
      <color rgb="FF0000CC"/>
      <name val="Arial"/>
      <family val="2"/>
    </font>
    <font>
      <b/>
      <sz val="12"/>
      <name val="Arial"/>
      <family val="2"/>
    </font>
    <font>
      <sz val="10"/>
      <color rgb="FFFF0000"/>
      <name val="Arial"/>
      <family val="2"/>
    </font>
    <font>
      <b/>
      <u/>
      <sz val="12"/>
      <color rgb="FF0000CC"/>
      <name val="Arial"/>
      <family val="2"/>
    </font>
    <font>
      <b/>
      <sz val="12"/>
      <color rgb="FF0000CC"/>
      <name val="Arial"/>
      <family val="2"/>
    </font>
    <font>
      <b/>
      <u/>
      <sz val="9"/>
      <name val="Arial"/>
      <family val="2"/>
    </font>
    <font>
      <b/>
      <sz val="9"/>
      <name val="Arial"/>
      <family val="2"/>
    </font>
    <font>
      <sz val="12"/>
      <color rgb="FF0000CC"/>
      <name val="Arial"/>
      <family val="2"/>
    </font>
    <font>
      <sz val="12"/>
      <name val="Arial"/>
      <family val="2"/>
    </font>
    <font>
      <sz val="10"/>
      <color theme="1"/>
      <name val="Arial"/>
      <family val="2"/>
    </font>
    <font>
      <b/>
      <sz val="10"/>
      <color theme="1"/>
      <name val="Arial"/>
      <family val="2"/>
    </font>
    <font>
      <b/>
      <sz val="8"/>
      <color rgb="FF7030A0"/>
      <name val="Arial"/>
      <family val="2"/>
    </font>
    <font>
      <b/>
      <sz val="8"/>
      <color rgb="FF0070C0"/>
      <name val="Arial"/>
      <family val="2"/>
    </font>
    <font>
      <sz val="10"/>
      <color rgb="FF0070C0"/>
      <name val="Arial"/>
      <family val="2"/>
    </font>
    <font>
      <sz val="10"/>
      <color rgb="FF7030A0"/>
      <name val="Arial"/>
      <family val="2"/>
    </font>
    <font>
      <b/>
      <sz val="8"/>
      <color rgb="FF006600"/>
      <name val="Arial"/>
      <family val="2"/>
    </font>
    <font>
      <b/>
      <sz val="14"/>
      <name val="Arial"/>
      <family val="2"/>
    </font>
    <font>
      <b/>
      <sz val="9"/>
      <color rgb="FF0000CC"/>
      <name val="Arial"/>
      <family val="2"/>
    </font>
    <font>
      <u/>
      <sz val="10"/>
      <color theme="1"/>
      <name val="Arial"/>
      <family val="2"/>
    </font>
    <font>
      <b/>
      <u/>
      <sz val="14"/>
      <color rgb="FF0000CC"/>
      <name val="Arial"/>
      <family val="2"/>
    </font>
    <font>
      <sz val="9"/>
      <color indexed="81"/>
      <name val="Tahoma"/>
      <family val="2"/>
    </font>
    <font>
      <u val="singleAccounting"/>
      <sz val="10"/>
      <name val="Arial"/>
      <family val="2"/>
    </font>
    <font>
      <sz val="10"/>
      <name val="Arial"/>
      <family val="2"/>
    </font>
    <font>
      <b/>
      <sz val="11"/>
      <color theme="1"/>
      <name val="Calibri"/>
      <family val="2"/>
    </font>
    <font>
      <b/>
      <sz val="11"/>
      <color rgb="FF0000CC"/>
      <name val="Calibri"/>
      <family val="2"/>
    </font>
    <font>
      <b/>
      <sz val="14"/>
      <color rgb="FF0000CC"/>
      <name val="Calibri"/>
      <family val="2"/>
    </font>
    <font>
      <b/>
      <sz val="16"/>
      <color theme="0"/>
      <name val="Calibri"/>
      <family val="2"/>
    </font>
    <font>
      <b/>
      <sz val="12"/>
      <color theme="1"/>
      <name val="Calibri"/>
      <family val="2"/>
    </font>
    <font>
      <u/>
      <sz val="11"/>
      <color theme="1"/>
      <name val="Calibri"/>
      <family val="2"/>
    </font>
    <font>
      <u val="singleAccounting"/>
      <sz val="11"/>
      <color theme="1"/>
      <name val="Calibri"/>
      <family val="2"/>
    </font>
    <font>
      <sz val="11"/>
      <name val="Calibri"/>
      <family val="2"/>
    </font>
    <font>
      <sz val="8"/>
      <name val="Arial"/>
      <family val="2"/>
    </font>
    <font>
      <b/>
      <sz val="12"/>
      <name val="Calibri"/>
      <family val="2"/>
      <scheme val="minor"/>
    </font>
    <font>
      <b/>
      <sz val="12"/>
      <color rgb="FF0000CC"/>
      <name val="Calibri"/>
      <family val="2"/>
    </font>
    <font>
      <b/>
      <sz val="13"/>
      <color theme="0"/>
      <name val="Calibri"/>
      <family val="2"/>
    </font>
    <font>
      <b/>
      <sz val="14"/>
      <color theme="1"/>
      <name val="Calibri"/>
      <family val="2"/>
    </font>
    <font>
      <sz val="9"/>
      <color theme="3" tint="0.39997558519241921"/>
      <name val="Calibri"/>
      <family val="2"/>
    </font>
    <font>
      <b/>
      <sz val="12"/>
      <color rgb="FF00B050"/>
      <name val="Calibri"/>
      <family val="2"/>
    </font>
    <font>
      <i/>
      <sz val="11"/>
      <color theme="1"/>
      <name val="Calibri"/>
      <family val="2"/>
    </font>
    <font>
      <i/>
      <u/>
      <sz val="11"/>
      <color rgb="FFFF0000"/>
      <name val="Calibri"/>
      <family val="2"/>
    </font>
    <font>
      <b/>
      <u/>
      <sz val="12"/>
      <color theme="1"/>
      <name val="Calibri"/>
      <family val="2"/>
    </font>
    <font>
      <sz val="10"/>
      <color rgb="FF0000CC"/>
      <name val="Calibri"/>
      <family val="2"/>
    </font>
    <font>
      <b/>
      <sz val="12"/>
      <color theme="1"/>
      <name val="Calibri"/>
      <family val="2"/>
      <scheme val="minor"/>
    </font>
    <font>
      <b/>
      <sz val="12"/>
      <color rgb="FF006600"/>
      <name val="Calibri"/>
      <family val="2"/>
      <scheme val="minor"/>
    </font>
    <font>
      <b/>
      <sz val="11"/>
      <color theme="1"/>
      <name val="Calibri"/>
      <family val="2"/>
      <scheme val="minor"/>
    </font>
    <font>
      <b/>
      <sz val="16"/>
      <name val="Arial"/>
      <family val="2"/>
    </font>
    <font>
      <b/>
      <sz val="12"/>
      <color rgb="FFFF0000"/>
      <name val="Calibri"/>
      <family val="2"/>
    </font>
    <font>
      <sz val="12"/>
      <color rgb="FF0000CC"/>
      <name val="Calibri"/>
      <family val="2"/>
    </font>
    <font>
      <sz val="10"/>
      <color rgb="FF1F497D"/>
      <name val="Calibri"/>
      <family val="2"/>
    </font>
    <font>
      <b/>
      <sz val="11"/>
      <color rgb="FFFF0000"/>
      <name val="Calibri"/>
      <family val="2"/>
    </font>
    <font>
      <b/>
      <sz val="11"/>
      <color rgb="FF00B050"/>
      <name val="Calibri"/>
      <family val="2"/>
    </font>
    <font>
      <b/>
      <sz val="9"/>
      <color indexed="81"/>
      <name val="Tahoma"/>
      <family val="2"/>
    </font>
    <font>
      <b/>
      <i/>
      <u/>
      <sz val="11"/>
      <color theme="1"/>
      <name val="Calibri"/>
      <family val="2"/>
    </font>
    <font>
      <i/>
      <sz val="10"/>
      <color theme="3" tint="0.39997558519241921"/>
      <name val="Arial"/>
      <family val="2"/>
    </font>
    <font>
      <i/>
      <sz val="10"/>
      <color theme="4" tint="-0.249977111117893"/>
      <name val="Calibri"/>
      <family val="2"/>
      <scheme val="minor"/>
    </font>
    <font>
      <sz val="11"/>
      <color rgb="FFFF0000"/>
      <name val="Calibri"/>
      <family val="2"/>
    </font>
    <font>
      <sz val="12"/>
      <color theme="1"/>
      <name val="Calibri"/>
      <family val="2"/>
    </font>
    <font>
      <sz val="10"/>
      <color theme="3" tint="0.499984740745262"/>
      <name val="Calibri"/>
      <family val="2"/>
    </font>
    <font>
      <b/>
      <sz val="14"/>
      <color theme="0"/>
      <name val="Calibri"/>
      <family val="2"/>
    </font>
    <font>
      <i/>
      <sz val="11"/>
      <color theme="4" tint="-0.249977111117893"/>
      <name val="Calibri"/>
      <family val="2"/>
    </font>
    <font>
      <b/>
      <sz val="12"/>
      <name val="Calibri"/>
      <family val="2"/>
    </font>
    <font>
      <b/>
      <sz val="11"/>
      <name val="Arial"/>
      <family val="2"/>
    </font>
    <font>
      <b/>
      <sz val="11"/>
      <color rgb="FFFF0000"/>
      <name val="Calibri"/>
      <family val="2"/>
      <scheme val="minor"/>
    </font>
    <font>
      <b/>
      <sz val="14"/>
      <color theme="1"/>
      <name val="Calibri"/>
      <family val="2"/>
      <scheme val="minor"/>
    </font>
    <font>
      <b/>
      <sz val="11"/>
      <color rgb="FF006600"/>
      <name val="Calibri"/>
      <family val="2"/>
      <scheme val="minor"/>
    </font>
    <font>
      <b/>
      <u/>
      <sz val="12"/>
      <color theme="1"/>
      <name val="Calibri"/>
      <family val="2"/>
      <scheme val="minor"/>
    </font>
    <font>
      <u/>
      <sz val="11"/>
      <color theme="1"/>
      <name val="Calibri"/>
      <family val="2"/>
      <scheme val="minor"/>
    </font>
    <font>
      <u val="singleAccounting"/>
      <sz val="11"/>
      <color theme="1"/>
      <name val="Calibri"/>
      <family val="2"/>
      <scheme val="minor"/>
    </font>
    <font>
      <i/>
      <sz val="12"/>
      <name val="Calibri"/>
      <family val="2"/>
      <scheme val="minor"/>
    </font>
    <font>
      <b/>
      <sz val="12"/>
      <color rgb="FF7030A0"/>
      <name val="Calibri"/>
      <family val="2"/>
      <scheme val="minor"/>
    </font>
    <font>
      <b/>
      <i/>
      <sz val="12"/>
      <color rgb="FF7030A0"/>
      <name val="Calibri"/>
      <family val="2"/>
      <scheme val="minor"/>
    </font>
    <font>
      <b/>
      <sz val="12"/>
      <color rgb="FF7030A0"/>
      <name val="Symbol"/>
      <family val="1"/>
      <charset val="2"/>
    </font>
    <font>
      <b/>
      <sz val="14"/>
      <color theme="0"/>
      <name val="Calibri"/>
      <family val="2"/>
      <scheme val="minor"/>
    </font>
    <font>
      <i/>
      <sz val="11"/>
      <name val="Calibri"/>
      <family val="2"/>
      <scheme val="minor"/>
    </font>
    <font>
      <b/>
      <sz val="12"/>
      <color theme="8"/>
      <name val="Calibri"/>
      <family val="2"/>
      <scheme val="minor"/>
    </font>
    <font>
      <b/>
      <sz val="11"/>
      <name val="Calibri"/>
      <family val="2"/>
      <scheme val="minor"/>
    </font>
    <font>
      <vertAlign val="superscript"/>
      <sz val="9"/>
      <color rgb="FF0000CC"/>
      <name val="Calibri"/>
      <family val="2"/>
      <scheme val="minor"/>
    </font>
    <font>
      <b/>
      <vertAlign val="superscript"/>
      <sz val="10"/>
      <color theme="1"/>
      <name val="Calibri"/>
      <family val="2"/>
    </font>
    <font>
      <b/>
      <vertAlign val="superscript"/>
      <sz val="9"/>
      <color theme="1"/>
      <name val="Calibri"/>
      <family val="2"/>
    </font>
    <font>
      <b/>
      <vertAlign val="superscript"/>
      <sz val="9"/>
      <color theme="1"/>
      <name val="Calibri"/>
      <family val="2"/>
      <scheme val="minor"/>
    </font>
    <font>
      <b/>
      <vertAlign val="superscript"/>
      <sz val="8"/>
      <color rgb="FF0000CC"/>
      <name val="Calibri"/>
      <family val="2"/>
      <scheme val="minor"/>
    </font>
    <font>
      <b/>
      <sz val="10"/>
      <color theme="9" tint="-0.249977111117893"/>
      <name val="Arial"/>
      <family val="2"/>
    </font>
    <font>
      <u val="singleAccounting"/>
      <sz val="11"/>
      <name val="Calibri"/>
      <family val="2"/>
    </font>
    <font>
      <vertAlign val="superscript"/>
      <sz val="10"/>
      <color theme="1"/>
      <name val="Calibri"/>
      <family val="2"/>
      <scheme val="minor"/>
    </font>
    <font>
      <i/>
      <sz val="11"/>
      <name val="Calibri"/>
      <family val="2"/>
    </font>
    <font>
      <i/>
      <vertAlign val="superscript"/>
      <sz val="11"/>
      <name val="Calibri"/>
      <family val="2"/>
      <scheme val="minor"/>
    </font>
    <font>
      <vertAlign val="superscript"/>
      <sz val="9"/>
      <name val="Calibri"/>
      <family val="2"/>
    </font>
    <font>
      <b/>
      <i/>
      <u/>
      <sz val="11"/>
      <name val="Calibri"/>
      <family val="2"/>
    </font>
    <font>
      <b/>
      <i/>
      <sz val="11"/>
      <name val="Calibri"/>
      <family val="2"/>
    </font>
    <font>
      <vertAlign val="superscript"/>
      <sz val="14"/>
      <name val="Aptos Narrow"/>
      <family val="2"/>
    </font>
    <font>
      <i/>
      <vertAlign val="superscript"/>
      <sz val="9"/>
      <name val="Calibri"/>
      <family val="2"/>
    </font>
    <font>
      <i/>
      <sz val="10"/>
      <color theme="1"/>
      <name val="Calibri"/>
      <family val="2"/>
    </font>
    <font>
      <i/>
      <u/>
      <sz val="10"/>
      <color rgb="FFFF0000"/>
      <name val="Calibri"/>
      <family val="2"/>
    </font>
    <font>
      <sz val="10"/>
      <color theme="1"/>
      <name val="Calibri"/>
      <family val="2"/>
    </font>
    <font>
      <sz val="10"/>
      <name val="Calibri"/>
      <family val="2"/>
      <scheme val="minor"/>
    </font>
    <font>
      <sz val="10"/>
      <color theme="1"/>
      <name val="Calibri"/>
      <family val="2"/>
      <scheme val="minor"/>
    </font>
    <font>
      <i/>
      <u/>
      <sz val="11"/>
      <color theme="1"/>
      <name val="Calibri"/>
      <family val="2"/>
    </font>
    <font>
      <i/>
      <u val="singleAccounting"/>
      <sz val="10"/>
      <name val="Calibri"/>
      <family val="2"/>
      <scheme val="minor"/>
    </font>
    <font>
      <sz val="8"/>
      <name val="Arial"/>
      <family val="2"/>
    </font>
    <font>
      <b/>
      <sz val="11"/>
      <color rgb="FF7030A0"/>
      <name val="Calibri"/>
      <family val="2"/>
    </font>
    <font>
      <sz val="12"/>
      <name val="Calibri"/>
      <family val="2"/>
    </font>
    <font>
      <b/>
      <vertAlign val="superscript"/>
      <sz val="10"/>
      <color rgb="FF7030A0"/>
      <name val="Calibri"/>
      <family val="2"/>
    </font>
    <font>
      <b/>
      <sz val="11"/>
      <color theme="0"/>
      <name val="Calibri"/>
      <family val="2"/>
      <scheme val="minor"/>
    </font>
    <font>
      <sz val="11"/>
      <color theme="0"/>
      <name val="Calibri"/>
      <family val="2"/>
      <scheme val="minor"/>
    </font>
    <font>
      <b/>
      <sz val="12"/>
      <color theme="0"/>
      <name val="Calibri"/>
      <family val="2"/>
    </font>
    <font>
      <b/>
      <sz val="11"/>
      <color theme="0"/>
      <name val="Calibri"/>
      <family val="2"/>
    </font>
    <font>
      <sz val="12"/>
      <color theme="0"/>
      <name val="Calibri"/>
      <family val="2"/>
    </font>
    <font>
      <sz val="11"/>
      <color theme="0"/>
      <name val="Calibri"/>
      <family val="2"/>
    </font>
    <font>
      <u val="singleAccounting"/>
      <sz val="11"/>
      <color theme="0"/>
      <name val="Calibri"/>
      <family val="2"/>
    </font>
    <font>
      <u/>
      <sz val="11"/>
      <color theme="0"/>
      <name val="Calibri"/>
      <family val="2"/>
    </font>
    <font>
      <b/>
      <sz val="12"/>
      <color theme="0"/>
      <name val="Calibri"/>
      <family val="2"/>
      <scheme val="minor"/>
    </font>
    <font>
      <u val="singleAccounting"/>
      <sz val="11"/>
      <color theme="0"/>
      <name val="Calibri"/>
      <family val="2"/>
      <scheme val="minor"/>
    </font>
  </fonts>
  <fills count="39">
    <fill>
      <patternFill patternType="none"/>
    </fill>
    <fill>
      <patternFill patternType="gray125"/>
    </fill>
    <fill>
      <patternFill patternType="solid">
        <fgColor theme="6" tint="0.5999938962981048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0000CC"/>
        <bgColor rgb="FF0000CC"/>
      </patternFill>
    </fill>
    <fill>
      <patternFill patternType="solid">
        <fgColor theme="0" tint="-4.9989318521683403E-2"/>
        <bgColor indexed="64"/>
      </patternFill>
    </fill>
    <fill>
      <patternFill patternType="solid">
        <fgColor rgb="FFFFFF00"/>
        <bgColor indexed="64"/>
      </patternFill>
    </fill>
    <fill>
      <patternFill patternType="solid">
        <fgColor theme="4" tint="0.59999389629810485"/>
        <bgColor rgb="FFDBE5F1"/>
      </patternFill>
    </fill>
    <fill>
      <patternFill patternType="solid">
        <fgColor theme="0" tint="-4.9989318521683403E-2"/>
        <bgColor rgb="FFFFFF00"/>
      </patternFill>
    </fill>
    <fill>
      <patternFill patternType="solid">
        <fgColor rgb="FFD9E2F3"/>
        <bgColor rgb="FFD9E2F3"/>
      </patternFill>
    </fill>
    <fill>
      <patternFill patternType="solid">
        <fgColor rgb="FFDEEAF6"/>
        <bgColor rgb="FFDEEAF6"/>
      </patternFill>
    </fill>
    <fill>
      <patternFill patternType="solid">
        <fgColor theme="0" tint="-0.14999847407452621"/>
        <bgColor rgb="FFD9E2F3"/>
      </patternFill>
    </fill>
    <fill>
      <patternFill patternType="solid">
        <fgColor theme="0" tint="-0.14999847407452621"/>
        <bgColor rgb="FFDEEAF6"/>
      </patternFill>
    </fill>
    <fill>
      <patternFill patternType="solid">
        <fgColor theme="4" tint="0.79998168889431442"/>
        <bgColor rgb="FFF4CCCC"/>
      </patternFill>
    </fill>
    <fill>
      <patternFill patternType="solid">
        <fgColor theme="1"/>
        <bgColor indexed="64"/>
      </patternFill>
    </fill>
    <fill>
      <patternFill patternType="solid">
        <fgColor rgb="FF00B0F0"/>
        <bgColor indexed="64"/>
      </patternFill>
    </fill>
    <fill>
      <patternFill patternType="solid">
        <fgColor rgb="FFCAF2CE"/>
        <bgColor indexed="64"/>
      </patternFill>
    </fill>
    <fill>
      <patternFill patternType="solid">
        <fgColor theme="8" tint="0.79998168889431442"/>
        <bgColor indexed="64"/>
      </patternFill>
    </fill>
    <fill>
      <patternFill patternType="solid">
        <fgColor rgb="FFDBE5F1"/>
        <bgColor rgb="FFDBE5F1"/>
      </patternFill>
    </fill>
    <fill>
      <patternFill patternType="solid">
        <fgColor theme="9" tint="0.39997558519241921"/>
        <bgColor indexed="64"/>
      </patternFill>
    </fill>
    <fill>
      <patternFill patternType="solid">
        <fgColor theme="3" tint="0.89999084444715716"/>
        <bgColor indexed="64"/>
      </patternFill>
    </fill>
    <fill>
      <patternFill patternType="solid">
        <fgColor theme="9"/>
        <bgColor indexed="64"/>
      </patternFill>
    </fill>
    <fill>
      <patternFill patternType="solid">
        <fgColor theme="2"/>
        <bgColor indexed="64"/>
      </patternFill>
    </fill>
    <fill>
      <patternFill patternType="solid">
        <fgColor theme="2" tint="-9.9978637043366805E-2"/>
        <bgColor indexed="64"/>
      </patternFill>
    </fill>
    <fill>
      <patternFill patternType="solid">
        <fgColor rgb="FFCAEDFB"/>
        <bgColor indexed="64"/>
      </patternFill>
    </fill>
    <fill>
      <patternFill patternType="solid">
        <fgColor theme="8"/>
        <bgColor indexed="64"/>
      </patternFill>
    </fill>
    <fill>
      <patternFill patternType="solid">
        <fgColor theme="9" tint="0.79998168889431442"/>
        <bgColor indexed="64"/>
      </patternFill>
    </fill>
    <fill>
      <patternFill patternType="solid">
        <fgColor rgb="FF7030A0"/>
        <bgColor rgb="FF0000CC"/>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rgb="FF0000CC"/>
      </patternFill>
    </fill>
    <fill>
      <patternFill patternType="solid">
        <fgColor theme="0"/>
        <bgColor rgb="FFF4CCCC"/>
      </patternFill>
    </fill>
    <fill>
      <patternFill patternType="solid">
        <fgColor theme="0"/>
        <bgColor rgb="FFD9E2F3"/>
      </patternFill>
    </fill>
    <fill>
      <patternFill patternType="solid">
        <fgColor theme="0"/>
        <bgColor rgb="FFDEEAF6"/>
      </patternFill>
    </fill>
    <fill>
      <patternFill patternType="solid">
        <fgColor theme="0"/>
        <bgColor rgb="FFFFFF00"/>
      </patternFill>
    </fill>
    <fill>
      <patternFill patternType="solid">
        <fgColor theme="0"/>
        <bgColor rgb="FFDBE5F1"/>
      </patternFill>
    </fill>
  </fills>
  <borders count="37">
    <border>
      <left/>
      <right/>
      <top/>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indexed="64"/>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diagonal/>
    </border>
    <border>
      <left/>
      <right/>
      <top style="medium">
        <color rgb="FF000000"/>
      </top>
      <bottom/>
      <diagonal/>
    </border>
    <border>
      <left style="medium">
        <color rgb="FF000000"/>
      </left>
      <right style="medium">
        <color rgb="FF000000"/>
      </right>
      <top style="medium">
        <color auto="1"/>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rgb="FF000000"/>
      </top>
      <bottom/>
      <diagonal/>
    </border>
    <border>
      <left style="medium">
        <color indexed="64"/>
      </left>
      <right style="medium">
        <color rgb="FF000000"/>
      </right>
      <top/>
      <bottom/>
      <diagonal/>
    </border>
    <border>
      <left style="medium">
        <color rgb="FF000000"/>
      </left>
      <right style="medium">
        <color auto="1"/>
      </right>
      <top style="medium">
        <color rgb="FF000000"/>
      </top>
      <bottom style="medium">
        <color rgb="FF000000"/>
      </bottom>
      <diagonal/>
    </border>
    <border>
      <left/>
      <right style="medium">
        <color auto="1"/>
      </right>
      <top style="medium">
        <color rgb="FF000000"/>
      </top>
      <bottom style="medium">
        <color rgb="FF000000"/>
      </bottom>
      <diagonal/>
    </border>
    <border>
      <left style="medium">
        <color rgb="FF000000"/>
      </left>
      <right style="medium">
        <color auto="1"/>
      </right>
      <top style="medium">
        <color rgb="FF000000"/>
      </top>
      <bottom/>
      <diagonal/>
    </border>
    <border>
      <left style="medium">
        <color rgb="FF000000"/>
      </left>
      <right style="medium">
        <color auto="1"/>
      </right>
      <top/>
      <bottom style="medium">
        <color rgb="FF000000"/>
      </bottom>
      <diagonal/>
    </border>
  </borders>
  <cellStyleXfs count="10">
    <xf numFmtId="0" fontId="0" fillId="0" borderId="0"/>
    <xf numFmtId="43" fontId="5" fillId="0" borderId="0" applyFont="0" applyFill="0" applyBorder="0" applyAlignment="0" applyProtection="0"/>
    <xf numFmtId="9" fontId="5" fillId="0" borderId="0" applyFont="0" applyFill="0" applyBorder="0" applyAlignment="0" applyProtection="0"/>
    <xf numFmtId="44" fontId="53" fillId="0" borderId="0" applyFont="0" applyFill="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3" fillId="0" borderId="0"/>
    <xf numFmtId="0" fontId="2" fillId="0" borderId="0"/>
    <xf numFmtId="44" fontId="2" fillId="0" borderId="0" applyFont="0" applyFill="0" applyBorder="0" applyAlignment="0" applyProtection="0"/>
  </cellStyleXfs>
  <cellXfs count="671">
    <xf numFmtId="0" fontId="0" fillId="0" borderId="0" xfId="0"/>
    <xf numFmtId="0" fontId="0" fillId="0" borderId="0" xfId="0" applyAlignment="1">
      <alignment horizontal="left" indent="2"/>
    </xf>
    <xf numFmtId="0" fontId="7" fillId="0" borderId="0" xfId="0" applyFont="1"/>
    <xf numFmtId="0" fontId="8" fillId="0" borderId="0" xfId="0" applyFont="1"/>
    <xf numFmtId="0" fontId="9" fillId="0" borderId="0" xfId="0" applyFont="1"/>
    <xf numFmtId="0" fontId="6" fillId="0" borderId="0" xfId="0" applyFont="1" applyAlignment="1">
      <alignment horizontal="right"/>
    </xf>
    <xf numFmtId="0" fontId="0" fillId="0" borderId="0" xfId="0" applyAlignment="1">
      <alignment horizontal="right"/>
    </xf>
    <xf numFmtId="0" fontId="10" fillId="0" borderId="0" xfId="0" applyFont="1"/>
    <xf numFmtId="165" fontId="0" fillId="0" borderId="0" xfId="1" applyNumberFormat="1" applyFont="1" applyAlignment="1">
      <alignment horizontal="right"/>
    </xf>
    <xf numFmtId="165" fontId="7" fillId="0" borderId="0" xfId="1" applyNumberFormat="1" applyFont="1" applyAlignment="1">
      <alignment horizontal="right"/>
    </xf>
    <xf numFmtId="0" fontId="0" fillId="0" borderId="0" xfId="0" quotePrefix="1"/>
    <xf numFmtId="3" fontId="0" fillId="0" borderId="0" xfId="0" applyNumberFormat="1"/>
    <xf numFmtId="3" fontId="7" fillId="0" borderId="1" xfId="0" applyNumberFormat="1" applyFont="1" applyBorder="1"/>
    <xf numFmtId="3" fontId="7" fillId="0" borderId="0" xfId="0" applyNumberFormat="1" applyFont="1"/>
    <xf numFmtId="37" fontId="0" fillId="0" borderId="0" xfId="0" applyNumberFormat="1"/>
    <xf numFmtId="37" fontId="0" fillId="0" borderId="0" xfId="1" applyNumberFormat="1" applyFont="1" applyAlignment="1">
      <alignment horizontal="right"/>
    </xf>
    <xf numFmtId="37" fontId="7" fillId="0" borderId="0" xfId="0" applyNumberFormat="1" applyFont="1"/>
    <xf numFmtId="0" fontId="12" fillId="0" borderId="0" xfId="0" applyFont="1"/>
    <xf numFmtId="0" fontId="13" fillId="0" borderId="0" xfId="0" applyFont="1"/>
    <xf numFmtId="0" fontId="15" fillId="0" borderId="0" xfId="0" applyFont="1"/>
    <xf numFmtId="0" fontId="16" fillId="0" borderId="0" xfId="0" applyFont="1"/>
    <xf numFmtId="0" fontId="8" fillId="0" borderId="0" xfId="0" quotePrefix="1" applyFont="1"/>
    <xf numFmtId="0" fontId="14" fillId="0" borderId="0" xfId="0" applyFont="1"/>
    <xf numFmtId="0" fontId="18" fillId="0" borderId="0" xfId="0" applyFont="1"/>
    <xf numFmtId="0" fontId="20" fillId="0" borderId="0" xfId="0" applyFont="1" applyAlignment="1">
      <alignment horizontal="right"/>
    </xf>
    <xf numFmtId="0" fontId="5" fillId="0" borderId="0" xfId="0" applyFont="1"/>
    <xf numFmtId="0" fontId="8" fillId="0" borderId="0" xfId="0" applyFont="1" applyAlignment="1">
      <alignment horizontal="left"/>
    </xf>
    <xf numFmtId="0" fontId="14" fillId="0" borderId="0" xfId="0" applyFont="1" applyAlignment="1">
      <alignment horizontal="left"/>
    </xf>
    <xf numFmtId="0" fontId="22" fillId="0" borderId="0" xfId="0" applyFont="1"/>
    <xf numFmtId="0" fontId="23" fillId="0" borderId="0" xfId="0" applyFont="1"/>
    <xf numFmtId="0" fontId="24" fillId="0" borderId="0" xfId="0" applyFont="1"/>
    <xf numFmtId="0" fontId="13" fillId="0" borderId="0" xfId="0" applyFont="1" applyAlignment="1">
      <alignment horizontal="left"/>
    </xf>
    <xf numFmtId="165" fontId="0" fillId="0" borderId="0" xfId="1" applyNumberFormat="1" applyFont="1" applyFill="1" applyBorder="1" applyAlignment="1">
      <alignment horizontal="right"/>
    </xf>
    <xf numFmtId="37" fontId="0" fillId="0" borderId="0" xfId="1" applyNumberFormat="1" applyFont="1" applyFill="1" applyBorder="1" applyAlignment="1">
      <alignment horizontal="right"/>
    </xf>
    <xf numFmtId="0" fontId="11" fillId="0" borderId="0" xfId="0" applyFont="1"/>
    <xf numFmtId="0" fontId="19" fillId="0" borderId="0" xfId="0" applyFont="1"/>
    <xf numFmtId="37" fontId="7" fillId="0" borderId="0" xfId="1" applyNumberFormat="1" applyFont="1" applyFill="1" applyBorder="1" applyAlignment="1">
      <alignment horizontal="right"/>
    </xf>
    <xf numFmtId="165" fontId="7" fillId="0" borderId="0" xfId="1" applyNumberFormat="1" applyFont="1" applyFill="1" applyBorder="1" applyAlignment="1">
      <alignment horizontal="right"/>
    </xf>
    <xf numFmtId="0" fontId="30" fillId="0" borderId="0" xfId="0" applyFont="1" applyAlignment="1">
      <alignment horizontal="right"/>
    </xf>
    <xf numFmtId="0" fontId="30" fillId="0" borderId="0" xfId="0" applyFont="1" applyAlignment="1">
      <alignment horizontal="right" vertical="center"/>
    </xf>
    <xf numFmtId="0" fontId="31" fillId="0" borderId="0" xfId="0" applyFont="1" applyAlignment="1">
      <alignment horizontal="right" vertical="center"/>
    </xf>
    <xf numFmtId="0" fontId="32" fillId="0" borderId="0" xfId="0" applyFont="1"/>
    <xf numFmtId="37" fontId="27" fillId="0" borderId="0" xfId="0" applyNumberFormat="1" applyFont="1"/>
    <xf numFmtId="0" fontId="29" fillId="0" borderId="0" xfId="0" applyFont="1" applyAlignment="1">
      <alignment horizontal="right"/>
    </xf>
    <xf numFmtId="0" fontId="34" fillId="0" borderId="0" xfId="0" applyFont="1"/>
    <xf numFmtId="0" fontId="34" fillId="0" borderId="0" xfId="0" applyFont="1" applyAlignment="1">
      <alignment horizontal="right"/>
    </xf>
    <xf numFmtId="49" fontId="35" fillId="0" borderId="0" xfId="0" applyNumberFormat="1" applyFont="1" applyAlignment="1">
      <alignment horizontal="right"/>
    </xf>
    <xf numFmtId="0" fontId="35" fillId="0" borderId="0" xfId="0" applyFont="1" applyAlignment="1">
      <alignment horizontal="right"/>
    </xf>
    <xf numFmtId="0" fontId="31" fillId="0" borderId="0" xfId="0" applyFont="1"/>
    <xf numFmtId="14" fontId="30" fillId="0" borderId="0" xfId="0" applyNumberFormat="1" applyFont="1" applyAlignment="1">
      <alignment horizontal="right"/>
    </xf>
    <xf numFmtId="0" fontId="37" fillId="0" borderId="0" xfId="0" applyFont="1"/>
    <xf numFmtId="37" fontId="32" fillId="2" borderId="3" xfId="0" applyNumberFormat="1" applyFont="1" applyFill="1" applyBorder="1"/>
    <xf numFmtId="37" fontId="32" fillId="2" borderId="2" xfId="0" applyNumberFormat="1" applyFont="1" applyFill="1" applyBorder="1"/>
    <xf numFmtId="0" fontId="28" fillId="0" borderId="0" xfId="0" applyFont="1"/>
    <xf numFmtId="0" fontId="33" fillId="0" borderId="0" xfId="0" applyFont="1"/>
    <xf numFmtId="0" fontId="0" fillId="0" borderId="5" xfId="0" applyBorder="1"/>
    <xf numFmtId="165" fontId="0" fillId="0" borderId="7" xfId="1" applyNumberFormat="1" applyFont="1" applyFill="1" applyBorder="1" applyAlignment="1">
      <alignment horizontal="right"/>
    </xf>
    <xf numFmtId="37" fontId="0" fillId="0" borderId="7" xfId="1" applyNumberFormat="1" applyFont="1" applyFill="1" applyBorder="1" applyAlignment="1">
      <alignment horizontal="right"/>
    </xf>
    <xf numFmtId="37" fontId="27" fillId="0" borderId="7" xfId="1" applyNumberFormat="1" applyFont="1" applyFill="1" applyBorder="1" applyAlignment="1">
      <alignment horizontal="right"/>
    </xf>
    <xf numFmtId="165" fontId="0" fillId="0" borderId="7" xfId="1" applyNumberFormat="1" applyFont="1" applyBorder="1" applyAlignment="1">
      <alignment horizontal="right"/>
    </xf>
    <xf numFmtId="37" fontId="0" fillId="0" borderId="7" xfId="1" applyNumberFormat="1" applyFont="1" applyBorder="1" applyAlignment="1">
      <alignment horizontal="right"/>
    </xf>
    <xf numFmtId="37" fontId="27" fillId="0" borderId="7" xfId="1" applyNumberFormat="1" applyFont="1" applyBorder="1" applyAlignment="1">
      <alignment horizontal="right"/>
    </xf>
    <xf numFmtId="37" fontId="7" fillId="0" borderId="7" xfId="1" applyNumberFormat="1" applyFont="1" applyBorder="1" applyAlignment="1">
      <alignment horizontal="right"/>
    </xf>
    <xf numFmtId="3" fontId="7" fillId="0" borderId="7" xfId="0" applyNumberFormat="1" applyFont="1" applyBorder="1"/>
    <xf numFmtId="164" fontId="0" fillId="0" borderId="7" xfId="0" applyNumberFormat="1" applyBorder="1"/>
    <xf numFmtId="37" fontId="0" fillId="0" borderId="7" xfId="0" applyNumberFormat="1" applyBorder="1"/>
    <xf numFmtId="37" fontId="27" fillId="0" borderId="7" xfId="0" applyNumberFormat="1" applyFont="1" applyBorder="1"/>
    <xf numFmtId="0" fontId="7" fillId="0" borderId="0" xfId="0" applyFont="1" applyAlignment="1">
      <alignment horizontal="right"/>
    </xf>
    <xf numFmtId="37" fontId="7" fillId="0" borderId="7" xfId="0" applyNumberFormat="1" applyFont="1" applyBorder="1"/>
    <xf numFmtId="164" fontId="0" fillId="0" borderId="7" xfId="2" applyNumberFormat="1" applyFont="1" applyBorder="1" applyAlignment="1">
      <alignment horizontal="right"/>
    </xf>
    <xf numFmtId="165" fontId="7" fillId="0" borderId="7" xfId="1" applyNumberFormat="1" applyFont="1" applyBorder="1" applyAlignment="1">
      <alignment horizontal="right"/>
    </xf>
    <xf numFmtId="0" fontId="46" fillId="4" borderId="11" xfId="0" applyFont="1" applyFill="1" applyBorder="1"/>
    <xf numFmtId="0" fontId="7" fillId="4" borderId="11" xfId="0" applyFont="1" applyFill="1" applyBorder="1"/>
    <xf numFmtId="0" fontId="37" fillId="0" borderId="10" xfId="0" applyFont="1" applyBorder="1" applyAlignment="1">
      <alignment horizontal="center" vertical="center"/>
    </xf>
    <xf numFmtId="0" fontId="35" fillId="0" borderId="11" xfId="0" applyFont="1" applyBorder="1" applyAlignment="1">
      <alignment horizontal="right"/>
    </xf>
    <xf numFmtId="0" fontId="7" fillId="0" borderId="11" xfId="0" applyFont="1" applyBorder="1"/>
    <xf numFmtId="37" fontId="27" fillId="0" borderId="11" xfId="0" applyNumberFormat="1" applyFont="1" applyBorder="1"/>
    <xf numFmtId="37" fontId="7" fillId="0" borderId="11" xfId="0" applyNumberFormat="1" applyFont="1" applyBorder="1" applyAlignment="1">
      <alignment horizontal="right"/>
    </xf>
    <xf numFmtId="0" fontId="0" fillId="0" borderId="11" xfId="0" applyBorder="1"/>
    <xf numFmtId="0" fontId="46" fillId="4" borderId="10" xfId="0" applyFont="1" applyFill="1" applyBorder="1"/>
    <xf numFmtId="0" fontId="13" fillId="0" borderId="10" xfId="0" applyFont="1" applyBorder="1" applyAlignment="1">
      <alignment horizontal="left"/>
    </xf>
    <xf numFmtId="3" fontId="0" fillId="0" borderId="11" xfId="0" applyNumberFormat="1" applyBorder="1"/>
    <xf numFmtId="37" fontId="0" fillId="0" borderId="11" xfId="0" applyNumberFormat="1" applyBorder="1"/>
    <xf numFmtId="37" fontId="7" fillId="0" borderId="11" xfId="0" applyNumberFormat="1" applyFont="1" applyBorder="1"/>
    <xf numFmtId="3" fontId="41" fillId="0" borderId="11" xfId="0" applyNumberFormat="1" applyFont="1" applyBorder="1" applyAlignment="1">
      <alignment horizontal="right"/>
    </xf>
    <xf numFmtId="164" fontId="40" fillId="0" borderId="11" xfId="0" applyNumberFormat="1" applyFont="1" applyBorder="1"/>
    <xf numFmtId="164" fontId="0" fillId="0" borderId="11" xfId="0" applyNumberFormat="1" applyBorder="1"/>
    <xf numFmtId="37" fontId="7" fillId="0" borderId="7" xfId="1" applyNumberFormat="1" applyFont="1" applyFill="1" applyBorder="1" applyAlignment="1">
      <alignment horizontal="right"/>
    </xf>
    <xf numFmtId="0" fontId="0" fillId="0" borderId="7" xfId="0" applyBorder="1" applyAlignment="1">
      <alignment horizontal="right"/>
    </xf>
    <xf numFmtId="164" fontId="31" fillId="3" borderId="13" xfId="0" applyNumberFormat="1" applyFont="1" applyFill="1" applyBorder="1" applyAlignment="1">
      <alignment vertical="center"/>
    </xf>
    <xf numFmtId="41" fontId="27" fillId="0" borderId="7" xfId="1" applyNumberFormat="1" applyFont="1" applyBorder="1" applyAlignment="1">
      <alignment horizontal="right"/>
    </xf>
    <xf numFmtId="37" fontId="28" fillId="0" borderId="12" xfId="0" applyNumberFormat="1" applyFont="1" applyBorder="1" applyAlignment="1">
      <alignment horizontal="right"/>
    </xf>
    <xf numFmtId="37" fontId="28" fillId="0" borderId="9" xfId="1" applyNumberFormat="1" applyFont="1" applyBorder="1" applyAlignment="1">
      <alignment horizontal="right"/>
    </xf>
    <xf numFmtId="37" fontId="33" fillId="0" borderId="11" xfId="0" applyNumberFormat="1" applyFont="1" applyBorder="1"/>
    <xf numFmtId="0" fontId="35" fillId="0" borderId="12" xfId="0" applyFont="1" applyBorder="1"/>
    <xf numFmtId="49" fontId="35" fillId="0" borderId="12" xfId="0" applyNumberFormat="1" applyFont="1" applyBorder="1" applyAlignment="1">
      <alignment horizontal="right"/>
    </xf>
    <xf numFmtId="0" fontId="35" fillId="0" borderId="9" xfId="0" applyFont="1" applyBorder="1" applyAlignment="1">
      <alignment horizontal="right"/>
    </xf>
    <xf numFmtId="0" fontId="47" fillId="4" borderId="12" xfId="0" applyFont="1" applyFill="1" applyBorder="1"/>
    <xf numFmtId="0" fontId="48" fillId="0" borderId="0" xfId="0" applyFont="1"/>
    <xf numFmtId="0" fontId="26" fillId="0" borderId="0" xfId="0" applyFont="1"/>
    <xf numFmtId="37" fontId="7" fillId="4" borderId="11" xfId="0" applyNumberFormat="1" applyFont="1" applyFill="1" applyBorder="1"/>
    <xf numFmtId="37" fontId="0" fillId="4" borderId="11" xfId="0" applyNumberFormat="1" applyFill="1" applyBorder="1"/>
    <xf numFmtId="37" fontId="7" fillId="4" borderId="11" xfId="0" applyNumberFormat="1" applyFont="1" applyFill="1" applyBorder="1" applyAlignment="1">
      <alignment horizontal="right"/>
    </xf>
    <xf numFmtId="37" fontId="27" fillId="4" borderId="11" xfId="0" applyNumberFormat="1" applyFont="1" applyFill="1" applyBorder="1"/>
    <xf numFmtId="41" fontId="27" fillId="0" borderId="11" xfId="0" applyNumberFormat="1" applyFont="1" applyBorder="1"/>
    <xf numFmtId="37" fontId="40" fillId="4" borderId="11" xfId="0" applyNumberFormat="1" applyFont="1" applyFill="1" applyBorder="1"/>
    <xf numFmtId="37" fontId="27" fillId="4" borderId="11" xfId="0" applyNumberFormat="1" applyFont="1" applyFill="1" applyBorder="1" applyAlignment="1">
      <alignment horizontal="right"/>
    </xf>
    <xf numFmtId="37" fontId="49" fillId="4" borderId="11" xfId="0" applyNumberFormat="1" applyFont="1" applyFill="1" applyBorder="1"/>
    <xf numFmtId="41" fontId="27" fillId="4" borderId="11" xfId="0" applyNumberFormat="1" applyFont="1" applyFill="1" applyBorder="1"/>
    <xf numFmtId="37" fontId="28" fillId="4" borderId="12" xfId="0" applyNumberFormat="1" applyFont="1" applyFill="1" applyBorder="1" applyAlignment="1">
      <alignment horizontal="right"/>
    </xf>
    <xf numFmtId="37" fontId="33" fillId="4" borderId="11" xfId="0" applyNumberFormat="1" applyFont="1" applyFill="1" applyBorder="1"/>
    <xf numFmtId="164" fontId="31" fillId="4" borderId="12" xfId="0" applyNumberFormat="1" applyFont="1" applyFill="1" applyBorder="1" applyAlignment="1">
      <alignment horizontal="right" vertical="center"/>
    </xf>
    <xf numFmtId="164" fontId="31" fillId="0" borderId="12" xfId="0" applyNumberFormat="1" applyFont="1" applyBorder="1" applyAlignment="1">
      <alignment horizontal="right" vertical="center"/>
    </xf>
    <xf numFmtId="0" fontId="0" fillId="0" borderId="6" xfId="0" applyBorder="1"/>
    <xf numFmtId="3" fontId="32" fillId="0" borderId="7" xfId="0" applyNumberFormat="1" applyFont="1" applyBorder="1"/>
    <xf numFmtId="37" fontId="32" fillId="0" borderId="7" xfId="0" applyNumberFormat="1" applyFont="1" applyBorder="1"/>
    <xf numFmtId="37" fontId="0" fillId="0" borderId="9" xfId="1" applyNumberFormat="1" applyFont="1" applyBorder="1" applyAlignment="1">
      <alignment horizontal="right"/>
    </xf>
    <xf numFmtId="0" fontId="37" fillId="0" borderId="10" xfId="0" applyFont="1" applyBorder="1" applyAlignment="1">
      <alignment horizontal="right"/>
    </xf>
    <xf numFmtId="169" fontId="34" fillId="0" borderId="11" xfId="0" applyNumberFormat="1" applyFont="1" applyBorder="1"/>
    <xf numFmtId="37" fontId="32" fillId="0" borderId="11" xfId="0" applyNumberFormat="1" applyFont="1" applyBorder="1"/>
    <xf numFmtId="37" fontId="0" fillId="0" borderId="12" xfId="0" applyNumberFormat="1" applyBorder="1"/>
    <xf numFmtId="3" fontId="7" fillId="0" borderId="11" xfId="0" applyNumberFormat="1" applyFont="1" applyBorder="1"/>
    <xf numFmtId="3" fontId="32" fillId="0" borderId="11" xfId="0" applyNumberFormat="1" applyFont="1" applyBorder="1"/>
    <xf numFmtId="165" fontId="0" fillId="0" borderId="10" xfId="1" applyNumberFormat="1" applyFont="1" applyBorder="1" applyAlignment="1">
      <alignment horizontal="right"/>
    </xf>
    <xf numFmtId="165" fontId="0" fillId="0" borderId="11" xfId="1" applyNumberFormat="1" applyFont="1" applyBorder="1" applyAlignment="1">
      <alignment horizontal="right"/>
    </xf>
    <xf numFmtId="0" fontId="32" fillId="0" borderId="0" xfId="0" applyFont="1" applyAlignment="1">
      <alignment horizontal="right"/>
    </xf>
    <xf numFmtId="3" fontId="27" fillId="0" borderId="11" xfId="0" applyNumberFormat="1" applyFont="1" applyBorder="1"/>
    <xf numFmtId="37" fontId="0" fillId="5" borderId="11" xfId="0" applyNumberFormat="1" applyFill="1" applyBorder="1"/>
    <xf numFmtId="37" fontId="32" fillId="5" borderId="2" xfId="0" applyNumberFormat="1" applyFont="1" applyFill="1" applyBorder="1"/>
    <xf numFmtId="49" fontId="50" fillId="0" borderId="11" xfId="0" applyNumberFormat="1" applyFont="1" applyBorder="1" applyAlignment="1">
      <alignment horizontal="right"/>
    </xf>
    <xf numFmtId="0" fontId="50" fillId="0" borderId="7" xfId="0" applyFont="1" applyBorder="1" applyAlignment="1">
      <alignment horizontal="right"/>
    </xf>
    <xf numFmtId="0" fontId="7" fillId="0" borderId="5" xfId="0" applyFont="1" applyBorder="1" applyAlignment="1">
      <alignment horizontal="right"/>
    </xf>
    <xf numFmtId="0" fontId="32" fillId="0" borderId="11" xfId="0" applyFont="1" applyBorder="1" applyAlignment="1">
      <alignment horizontal="right"/>
    </xf>
    <xf numFmtId="0" fontId="32" fillId="0" borderId="7" xfId="0" applyFont="1" applyBorder="1" applyAlignment="1">
      <alignment horizontal="right"/>
    </xf>
    <xf numFmtId="0" fontId="0" fillId="0" borderId="4" xfId="0" applyBorder="1"/>
    <xf numFmtId="0" fontId="39" fillId="0" borderId="6" xfId="0" applyFont="1" applyBorder="1"/>
    <xf numFmtId="0" fontId="39" fillId="0" borderId="7" xfId="0" applyFont="1" applyBorder="1"/>
    <xf numFmtId="0" fontId="35" fillId="0" borderId="6" xfId="0" applyFont="1" applyBorder="1"/>
    <xf numFmtId="0" fontId="7" fillId="0" borderId="7" xfId="0" applyFont="1" applyBorder="1"/>
    <xf numFmtId="0" fontId="7" fillId="0" borderId="7" xfId="0" applyFont="1" applyBorder="1" applyAlignment="1">
      <alignment horizontal="right"/>
    </xf>
    <xf numFmtId="0" fontId="44" fillId="0" borderId="7" xfId="0" applyFont="1" applyBorder="1"/>
    <xf numFmtId="0" fontId="0" fillId="0" borderId="7" xfId="0" applyBorder="1"/>
    <xf numFmtId="0" fontId="45" fillId="0" borderId="7" xfId="0" applyFont="1" applyBorder="1"/>
    <xf numFmtId="0" fontId="0" fillId="0" borderId="8" xfId="0" applyBorder="1"/>
    <xf numFmtId="167" fontId="7" fillId="0" borderId="9" xfId="0" applyNumberFormat="1" applyFont="1" applyBorder="1" applyAlignment="1">
      <alignment horizontal="right"/>
    </xf>
    <xf numFmtId="37" fontId="0" fillId="0" borderId="9" xfId="0" applyNumberFormat="1" applyBorder="1"/>
    <xf numFmtId="0" fontId="35" fillId="0" borderId="0" xfId="0" applyFont="1"/>
    <xf numFmtId="0" fontId="38" fillId="0" borderId="0" xfId="0" applyFont="1"/>
    <xf numFmtId="0" fontId="7" fillId="0" borderId="0" xfId="0" applyFont="1" applyAlignment="1">
      <alignment horizontal="left"/>
    </xf>
    <xf numFmtId="37" fontId="32" fillId="0" borderId="12" xfId="0" applyNumberFormat="1" applyFont="1" applyBorder="1"/>
    <xf numFmtId="165" fontId="52" fillId="0" borderId="11" xfId="1" applyNumberFormat="1" applyFont="1" applyBorder="1" applyAlignment="1">
      <alignment horizontal="right"/>
    </xf>
    <xf numFmtId="165" fontId="7" fillId="0" borderId="11" xfId="1" applyNumberFormat="1" applyFont="1" applyBorder="1" applyAlignment="1">
      <alignment horizontal="right"/>
    </xf>
    <xf numFmtId="37" fontId="0" fillId="0" borderId="11" xfId="1" applyNumberFormat="1" applyFont="1" applyBorder="1" applyAlignment="1">
      <alignment horizontal="right"/>
    </xf>
    <xf numFmtId="164" fontId="0" fillId="0" borderId="11" xfId="2" applyNumberFormat="1" applyFont="1" applyBorder="1" applyAlignment="1">
      <alignment horizontal="right"/>
    </xf>
    <xf numFmtId="165" fontId="7" fillId="5" borderId="11" xfId="1" applyNumberFormat="1" applyFont="1" applyFill="1" applyBorder="1" applyAlignment="1">
      <alignment horizontal="right"/>
    </xf>
    <xf numFmtId="3" fontId="7" fillId="5" borderId="11" xfId="0" applyNumberFormat="1" applyFont="1" applyFill="1" applyBorder="1"/>
    <xf numFmtId="37" fontId="7" fillId="5" borderId="11" xfId="0" applyNumberFormat="1" applyFont="1" applyFill="1" applyBorder="1"/>
    <xf numFmtId="41" fontId="0" fillId="0" borderId="11" xfId="1" applyNumberFormat="1" applyFont="1" applyBorder="1" applyAlignment="1">
      <alignment horizontal="right"/>
    </xf>
    <xf numFmtId="41" fontId="52" fillId="0" borderId="11" xfId="1" applyNumberFormat="1" applyFont="1" applyBorder="1" applyAlignment="1">
      <alignment horizontal="right"/>
    </xf>
    <xf numFmtId="37" fontId="7" fillId="0" borderId="11" xfId="1" applyNumberFormat="1" applyFont="1" applyBorder="1" applyAlignment="1">
      <alignment horizontal="right"/>
    </xf>
    <xf numFmtId="37" fontId="7" fillId="0" borderId="12" xfId="1" applyNumberFormat="1" applyFont="1" applyBorder="1" applyAlignment="1">
      <alignment horizontal="right"/>
    </xf>
    <xf numFmtId="37" fontId="28" fillId="0" borderId="12" xfId="1" applyNumberFormat="1" applyFont="1" applyBorder="1" applyAlignment="1">
      <alignment horizontal="right"/>
    </xf>
    <xf numFmtId="37" fontId="0" fillId="0" borderId="11" xfId="0" applyNumberFormat="1" applyBorder="1" applyAlignment="1">
      <alignment horizontal="right"/>
    </xf>
    <xf numFmtId="37" fontId="33" fillId="0" borderId="0" xfId="0" applyNumberFormat="1" applyFont="1" applyAlignment="1">
      <alignment horizontal="right"/>
    </xf>
    <xf numFmtId="41" fontId="0" fillId="0" borderId="0" xfId="0" applyNumberFormat="1" applyAlignment="1">
      <alignment horizontal="right"/>
    </xf>
    <xf numFmtId="37" fontId="0" fillId="0" borderId="0" xfId="1" applyNumberFormat="1" applyFont="1" applyBorder="1" applyAlignment="1">
      <alignment horizontal="right"/>
    </xf>
    <xf numFmtId="164" fontId="31" fillId="3" borderId="15" xfId="0" applyNumberFormat="1" applyFont="1" applyFill="1" applyBorder="1" applyAlignment="1">
      <alignment vertical="center"/>
    </xf>
    <xf numFmtId="37" fontId="33" fillId="0" borderId="11" xfId="0" applyNumberFormat="1" applyFont="1" applyBorder="1" applyAlignment="1">
      <alignment horizontal="right"/>
    </xf>
    <xf numFmtId="37" fontId="30" fillId="4" borderId="2" xfId="0" applyNumberFormat="1" applyFont="1" applyFill="1" applyBorder="1" applyAlignment="1">
      <alignment horizontal="right" vertical="center"/>
    </xf>
    <xf numFmtId="37" fontId="30" fillId="0" borderId="2" xfId="0" applyNumberFormat="1" applyFont="1" applyBorder="1" applyAlignment="1">
      <alignment horizontal="right" vertical="center"/>
    </xf>
    <xf numFmtId="37" fontId="30" fillId="3" borderId="13" xfId="0" applyNumberFormat="1" applyFont="1" applyFill="1" applyBorder="1" applyAlignment="1">
      <alignment vertical="center"/>
    </xf>
    <xf numFmtId="37" fontId="30" fillId="3" borderId="15" xfId="0" applyNumberFormat="1" applyFont="1" applyFill="1" applyBorder="1" applyAlignment="1">
      <alignment vertical="center"/>
    </xf>
    <xf numFmtId="37" fontId="30" fillId="3" borderId="2" xfId="0" applyNumberFormat="1" applyFont="1" applyFill="1" applyBorder="1"/>
    <xf numFmtId="164" fontId="31" fillId="3" borderId="12" xfId="0" applyNumberFormat="1" applyFont="1" applyFill="1" applyBorder="1"/>
    <xf numFmtId="0" fontId="33" fillId="0" borderId="0" xfId="0" applyFont="1" applyAlignment="1">
      <alignment horizontal="center" vertical="center" wrapText="1"/>
    </xf>
    <xf numFmtId="0" fontId="31" fillId="0" borderId="0" xfId="0" applyFont="1" applyAlignment="1">
      <alignment horizontal="right"/>
    </xf>
    <xf numFmtId="0" fontId="7" fillId="0" borderId="11" xfId="0" applyFont="1" applyBorder="1" applyAlignment="1">
      <alignment horizontal="center" vertical="center"/>
    </xf>
    <xf numFmtId="0" fontId="13" fillId="0" borderId="10" xfId="0" applyFont="1" applyBorder="1" applyAlignment="1">
      <alignment horizontal="center" vertical="center"/>
    </xf>
    <xf numFmtId="49" fontId="35" fillId="0" borderId="12" xfId="0" applyNumberFormat="1" applyFont="1" applyBorder="1" applyAlignment="1">
      <alignment horizontal="center" vertical="center"/>
    </xf>
    <xf numFmtId="0" fontId="35" fillId="0" borderId="9" xfId="0" applyFont="1" applyBorder="1" applyAlignment="1">
      <alignment horizontal="center" vertical="center"/>
    </xf>
    <xf numFmtId="0" fontId="7" fillId="0" borderId="10" xfId="0" applyFont="1" applyBorder="1" applyAlignment="1">
      <alignment horizontal="center" vertical="center"/>
    </xf>
    <xf numFmtId="0" fontId="35" fillId="0" borderId="12" xfId="0" applyFont="1" applyBorder="1" applyAlignment="1">
      <alignment horizontal="center" vertical="center"/>
    </xf>
    <xf numFmtId="0" fontId="31" fillId="0" borderId="11" xfId="0" applyFont="1" applyBorder="1"/>
    <xf numFmtId="37" fontId="33" fillId="0" borderId="11" xfId="0" applyNumberFormat="1" applyFont="1" applyBorder="1" applyAlignment="1">
      <alignment horizontal="center" vertical="center"/>
    </xf>
    <xf numFmtId="37" fontId="33" fillId="0" borderId="11" xfId="0" applyNumberFormat="1" applyFont="1" applyBorder="1" applyAlignment="1">
      <alignment horizontal="center"/>
    </xf>
    <xf numFmtId="37" fontId="31" fillId="0" borderId="11" xfId="0" applyNumberFormat="1" applyFont="1" applyBorder="1" applyAlignment="1">
      <alignment horizontal="right"/>
    </xf>
    <xf numFmtId="0" fontId="0" fillId="0" borderId="10" xfId="0" applyBorder="1" applyAlignment="1">
      <alignment horizontal="center" vertical="center"/>
    </xf>
    <xf numFmtId="0" fontId="31" fillId="0" borderId="11" xfId="0" applyFont="1" applyBorder="1" applyAlignment="1">
      <alignment horizontal="right"/>
    </xf>
    <xf numFmtId="0" fontId="30" fillId="0" borderId="10" xfId="0" applyFont="1" applyBorder="1" applyAlignment="1">
      <alignment horizontal="center" vertical="center"/>
    </xf>
    <xf numFmtId="41" fontId="30" fillId="3" borderId="2" xfId="0" applyNumberFormat="1" applyFont="1" applyFill="1" applyBorder="1"/>
    <xf numFmtId="0" fontId="32" fillId="0" borderId="10" xfId="0" applyFont="1" applyBorder="1" applyAlignment="1">
      <alignment horizontal="center" vertical="center"/>
    </xf>
    <xf numFmtId="0" fontId="32" fillId="0" borderId="5" xfId="0" applyFont="1" applyBorder="1" applyAlignment="1">
      <alignment horizontal="center" vertical="center"/>
    </xf>
    <xf numFmtId="165" fontId="7" fillId="0" borderId="11" xfId="1" applyNumberFormat="1" applyFont="1" applyFill="1" applyBorder="1" applyAlignment="1">
      <alignment horizontal="right"/>
    </xf>
    <xf numFmtId="165" fontId="0" fillId="0" borderId="11" xfId="1" applyNumberFormat="1" applyFont="1" applyFill="1" applyBorder="1" applyAlignment="1">
      <alignment horizontal="right"/>
    </xf>
    <xf numFmtId="37" fontId="30" fillId="3" borderId="2" xfId="0" applyNumberFormat="1" applyFont="1" applyFill="1" applyBorder="1" applyAlignment="1">
      <alignment vertical="center"/>
    </xf>
    <xf numFmtId="0" fontId="7" fillId="0" borderId="5" xfId="0" applyFont="1" applyBorder="1" applyAlignment="1">
      <alignment horizontal="center" vertical="center"/>
    </xf>
    <xf numFmtId="37" fontId="7" fillId="0" borderId="10" xfId="0" applyNumberFormat="1" applyFont="1" applyBorder="1"/>
    <xf numFmtId="37" fontId="7" fillId="4" borderId="10" xfId="0" applyNumberFormat="1" applyFont="1" applyFill="1" applyBorder="1"/>
    <xf numFmtId="37" fontId="7" fillId="0" borderId="14" xfId="1" applyNumberFormat="1" applyFont="1" applyFill="1" applyBorder="1" applyAlignment="1">
      <alignment horizontal="right"/>
    </xf>
    <xf numFmtId="37" fontId="7" fillId="0" borderId="10" xfId="0" applyNumberFormat="1" applyFont="1" applyBorder="1" applyAlignment="1">
      <alignment horizontal="right"/>
    </xf>
    <xf numFmtId="0" fontId="7" fillId="4" borderId="8" xfId="0" applyFont="1" applyFill="1" applyBorder="1" applyAlignment="1">
      <alignment horizontal="left"/>
    </xf>
    <xf numFmtId="164" fontId="31" fillId="3" borderId="10" xfId="0" applyNumberFormat="1" applyFont="1" applyFill="1" applyBorder="1" applyAlignment="1">
      <alignment vertical="center"/>
    </xf>
    <xf numFmtId="0" fontId="6" fillId="4" borderId="4" xfId="0" applyFont="1" applyFill="1" applyBorder="1"/>
    <xf numFmtId="49" fontId="32" fillId="4" borderId="5" xfId="0" applyNumberFormat="1" applyFont="1" applyFill="1" applyBorder="1" applyAlignment="1">
      <alignment horizontal="right"/>
    </xf>
    <xf numFmtId="14" fontId="7" fillId="4" borderId="7" xfId="0" applyNumberFormat="1" applyFont="1" applyFill="1" applyBorder="1" applyAlignment="1">
      <alignment horizontal="right"/>
    </xf>
    <xf numFmtId="168" fontId="20" fillId="4" borderId="7" xfId="0" applyNumberFormat="1" applyFont="1" applyFill="1" applyBorder="1" applyAlignment="1">
      <alignment horizontal="right"/>
    </xf>
    <xf numFmtId="0" fontId="5" fillId="4" borderId="6" xfId="0" applyFont="1" applyFill="1" applyBorder="1" applyAlignment="1">
      <alignment horizontal="left" vertical="center"/>
    </xf>
    <xf numFmtId="0" fontId="5" fillId="4" borderId="8" xfId="0" applyFont="1" applyFill="1" applyBorder="1" applyAlignment="1">
      <alignment vertical="center"/>
    </xf>
    <xf numFmtId="0" fontId="39" fillId="0" borderId="4" xfId="0" applyFont="1" applyBorder="1"/>
    <xf numFmtId="0" fontId="39" fillId="0" borderId="5" xfId="0" applyFont="1" applyBorder="1"/>
    <xf numFmtId="170" fontId="0" fillId="0" borderId="0" xfId="3" applyNumberFormat="1" applyFont="1"/>
    <xf numFmtId="0" fontId="0" fillId="0" borderId="0" xfId="1" applyNumberFormat="1" applyFont="1"/>
    <xf numFmtId="0" fontId="0" fillId="0" borderId="0" xfId="1" applyNumberFormat="1" applyFont="1" applyAlignment="1">
      <alignment horizontal="center"/>
    </xf>
    <xf numFmtId="0" fontId="55" fillId="0" borderId="17" xfId="0" applyFont="1" applyBorder="1" applyAlignment="1">
      <alignment horizontal="center" vertical="center"/>
    </xf>
    <xf numFmtId="0" fontId="56" fillId="0" borderId="18" xfId="0" applyFont="1" applyBorder="1" applyAlignment="1">
      <alignment horizontal="center" vertical="center"/>
    </xf>
    <xf numFmtId="0" fontId="58" fillId="0" borderId="10" xfId="0" applyFont="1" applyBorder="1"/>
    <xf numFmtId="37" fontId="58" fillId="7" borderId="20" xfId="0" applyNumberFormat="1" applyFont="1" applyFill="1" applyBorder="1"/>
    <xf numFmtId="0" fontId="58" fillId="0" borderId="11" xfId="0" applyFont="1" applyBorder="1" applyAlignment="1">
      <alignment horizontal="right"/>
    </xf>
    <xf numFmtId="41" fontId="58" fillId="7" borderId="21" xfId="0" applyNumberFormat="1" applyFont="1" applyFill="1" applyBorder="1" applyAlignment="1">
      <alignment horizontal="right"/>
    </xf>
    <xf numFmtId="0" fontId="58" fillId="0" borderId="11" xfId="0" applyFont="1" applyBorder="1"/>
    <xf numFmtId="37" fontId="58" fillId="7" borderId="21" xfId="0" applyNumberFormat="1" applyFont="1" applyFill="1" applyBorder="1"/>
    <xf numFmtId="41" fontId="60" fillId="7" borderId="21" xfId="0" applyNumberFormat="1" applyFont="1" applyFill="1" applyBorder="1"/>
    <xf numFmtId="0" fontId="58" fillId="0" borderId="11" xfId="0" applyFont="1" applyBorder="1" applyAlignment="1">
      <alignment horizontal="left"/>
    </xf>
    <xf numFmtId="37" fontId="58" fillId="7" borderId="21" xfId="0" applyNumberFormat="1" applyFont="1" applyFill="1" applyBorder="1" applyAlignment="1">
      <alignment horizontal="left"/>
    </xf>
    <xf numFmtId="41" fontId="59" fillId="7" borderId="21" xfId="0" applyNumberFormat="1" applyFont="1" applyFill="1" applyBorder="1" applyAlignment="1">
      <alignment horizontal="right"/>
    </xf>
    <xf numFmtId="0" fontId="54" fillId="0" borderId="11" xfId="0" applyFont="1" applyBorder="1" applyAlignment="1">
      <alignment horizontal="right"/>
    </xf>
    <xf numFmtId="37" fontId="54" fillId="7" borderId="21" xfId="0" applyNumberFormat="1" applyFont="1" applyFill="1" applyBorder="1" applyAlignment="1">
      <alignment horizontal="right"/>
    </xf>
    <xf numFmtId="0" fontId="58" fillId="9" borderId="22" xfId="0" applyFont="1" applyFill="1" applyBorder="1" applyAlignment="1">
      <alignment horizontal="right"/>
    </xf>
    <xf numFmtId="41" fontId="58" fillId="9" borderId="18" xfId="0" applyNumberFormat="1" applyFont="1" applyFill="1" applyBorder="1" applyAlignment="1">
      <alignment horizontal="right"/>
    </xf>
    <xf numFmtId="41" fontId="61" fillId="10" borderId="21" xfId="0" applyNumberFormat="1" applyFont="1" applyFill="1" applyBorder="1" applyAlignment="1">
      <alignment horizontal="left"/>
    </xf>
    <xf numFmtId="0" fontId="58" fillId="0" borderId="0" xfId="0" applyFont="1"/>
    <xf numFmtId="0" fontId="56" fillId="0" borderId="17" xfId="0" applyFont="1" applyBorder="1"/>
    <xf numFmtId="0" fontId="58" fillId="11" borderId="18" xfId="0" applyFont="1" applyFill="1" applyBorder="1" applyAlignment="1">
      <alignment horizontal="right"/>
    </xf>
    <xf numFmtId="0" fontId="64" fillId="0" borderId="18" xfId="0" applyFont="1" applyBorder="1"/>
    <xf numFmtId="0" fontId="54" fillId="0" borderId="22" xfId="0" applyFont="1" applyBorder="1" applyAlignment="1">
      <alignment horizontal="left" indent="1"/>
    </xf>
    <xf numFmtId="0" fontId="54" fillId="0" borderId="22" xfId="0" applyFont="1" applyBorder="1" applyAlignment="1">
      <alignment horizontal="right"/>
    </xf>
    <xf numFmtId="0" fontId="58" fillId="0" borderId="22" xfId="0" applyFont="1" applyBorder="1" applyAlignment="1">
      <alignment horizontal="right"/>
    </xf>
    <xf numFmtId="0" fontId="54" fillId="0" borderId="22" xfId="0" applyFont="1" applyBorder="1"/>
    <xf numFmtId="0" fontId="58" fillId="12" borderId="17" xfId="0" applyFont="1" applyFill="1" applyBorder="1" applyAlignment="1">
      <alignment horizontal="right"/>
    </xf>
    <xf numFmtId="165" fontId="55" fillId="0" borderId="0" xfId="0" applyNumberFormat="1" applyFont="1" applyAlignment="1">
      <alignment horizontal="center" vertical="center"/>
    </xf>
    <xf numFmtId="41" fontId="58" fillId="13" borderId="18" xfId="0" applyNumberFormat="1" applyFont="1" applyFill="1" applyBorder="1" applyAlignment="1">
      <alignment horizontal="right"/>
    </xf>
    <xf numFmtId="41" fontId="66" fillId="14" borderId="17" xfId="0" applyNumberFormat="1" applyFont="1" applyFill="1" applyBorder="1" applyAlignment="1">
      <alignment horizontal="right"/>
    </xf>
    <xf numFmtId="41" fontId="54" fillId="7" borderId="22" xfId="0" applyNumberFormat="1" applyFont="1" applyFill="1" applyBorder="1"/>
    <xf numFmtId="41" fontId="60" fillId="7" borderId="22" xfId="0" applyNumberFormat="1" applyFont="1" applyFill="1" applyBorder="1" applyAlignment="1">
      <alignment horizontal="left" indent="1"/>
    </xf>
    <xf numFmtId="41" fontId="54" fillId="7" borderId="22" xfId="0" applyNumberFormat="1" applyFont="1" applyFill="1" applyBorder="1" applyAlignment="1">
      <alignment horizontal="left" indent="1"/>
    </xf>
    <xf numFmtId="41" fontId="54" fillId="7" borderId="21" xfId="0" applyNumberFormat="1" applyFont="1" applyFill="1" applyBorder="1"/>
    <xf numFmtId="41" fontId="58" fillId="7" borderId="21" xfId="0" applyNumberFormat="1" applyFont="1" applyFill="1" applyBorder="1"/>
    <xf numFmtId="41" fontId="58" fillId="7" borderId="22" xfId="0" applyNumberFormat="1" applyFont="1" applyFill="1" applyBorder="1"/>
    <xf numFmtId="41" fontId="54" fillId="7" borderId="22" xfId="0" applyNumberFormat="1" applyFont="1" applyFill="1" applyBorder="1" applyAlignment="1">
      <alignment horizontal="right"/>
    </xf>
    <xf numFmtId="0" fontId="55" fillId="0" borderId="0" xfId="0" applyFont="1" applyAlignment="1">
      <alignment horizontal="center" vertical="center"/>
    </xf>
    <xf numFmtId="0" fontId="56" fillId="0" borderId="17" xfId="0" applyFont="1" applyBorder="1" applyAlignment="1">
      <alignment horizontal="center" vertical="center"/>
    </xf>
    <xf numFmtId="0" fontId="57" fillId="6" borderId="19" xfId="0" applyFont="1" applyFill="1" applyBorder="1" applyAlignment="1">
      <alignment horizontal="center"/>
    </xf>
    <xf numFmtId="0" fontId="58" fillId="0" borderId="22" xfId="0" applyFont="1" applyBorder="1"/>
    <xf numFmtId="41" fontId="58" fillId="0" borderId="22" xfId="0" applyNumberFormat="1" applyFont="1" applyBorder="1"/>
    <xf numFmtId="41" fontId="54" fillId="0" borderId="22" xfId="0" applyNumberFormat="1" applyFont="1" applyBorder="1"/>
    <xf numFmtId="41" fontId="59" fillId="0" borderId="22" xfId="0" applyNumberFormat="1" applyFont="1" applyBorder="1"/>
    <xf numFmtId="41" fontId="58" fillId="0" borderId="22" xfId="0" applyNumberFormat="1" applyFont="1" applyBorder="1" applyAlignment="1">
      <alignment horizontal="right"/>
    </xf>
    <xf numFmtId="41" fontId="59" fillId="0" borderId="22" xfId="0" applyNumberFormat="1" applyFont="1" applyBorder="1" applyAlignment="1">
      <alignment horizontal="right"/>
    </xf>
    <xf numFmtId="41" fontId="54" fillId="0" borderId="22" xfId="0" applyNumberFormat="1" applyFont="1" applyBorder="1" applyAlignment="1">
      <alignment horizontal="right"/>
    </xf>
    <xf numFmtId="0" fontId="58" fillId="0" borderId="22" xfId="0" applyFont="1" applyBorder="1" applyAlignment="1">
      <alignment horizontal="left"/>
    </xf>
    <xf numFmtId="41" fontId="58" fillId="0" borderId="22" xfId="0" applyNumberFormat="1" applyFont="1" applyBorder="1" applyAlignment="1">
      <alignment horizontal="left"/>
    </xf>
    <xf numFmtId="0" fontId="66" fillId="0" borderId="22" xfId="0" applyFont="1" applyBorder="1" applyAlignment="1">
      <alignment horizontal="right"/>
    </xf>
    <xf numFmtId="41" fontId="66" fillId="0" borderId="22" xfId="0" applyNumberFormat="1" applyFont="1" applyBorder="1" applyAlignment="1">
      <alignment horizontal="right"/>
    </xf>
    <xf numFmtId="0" fontId="66" fillId="0" borderId="22" xfId="0" applyFont="1" applyBorder="1"/>
    <xf numFmtId="41" fontId="66" fillId="0" borderId="22" xfId="0" applyNumberFormat="1" applyFont="1" applyBorder="1"/>
    <xf numFmtId="0" fontId="66" fillId="15" borderId="17" xfId="0" applyFont="1" applyFill="1" applyBorder="1" applyAlignment="1">
      <alignment horizontal="right" vertical="center"/>
    </xf>
    <xf numFmtId="41" fontId="66" fillId="15" borderId="17" xfId="0" applyNumberFormat="1" applyFont="1" applyFill="1" applyBorder="1" applyAlignment="1">
      <alignment horizontal="right" vertical="center"/>
    </xf>
    <xf numFmtId="0" fontId="72" fillId="0" borderId="17" xfId="0" applyFont="1" applyBorder="1" applyAlignment="1">
      <alignment horizontal="center"/>
    </xf>
    <xf numFmtId="171" fontId="54" fillId="0" borderId="22" xfId="0" applyNumberFormat="1" applyFont="1" applyBorder="1" applyAlignment="1">
      <alignment horizontal="right"/>
    </xf>
    <xf numFmtId="171" fontId="69" fillId="0" borderId="22" xfId="0" applyNumberFormat="1" applyFont="1" applyBorder="1" applyAlignment="1">
      <alignment horizontal="right"/>
    </xf>
    <xf numFmtId="171" fontId="58" fillId="0" borderId="22" xfId="0" applyNumberFormat="1" applyFont="1" applyBorder="1" applyAlignment="1">
      <alignment horizontal="right"/>
    </xf>
    <xf numFmtId="0" fontId="58" fillId="0" borderId="22" xfId="0" applyFont="1" applyBorder="1" applyAlignment="1">
      <alignment horizontal="left" indent="1"/>
    </xf>
    <xf numFmtId="0" fontId="73" fillId="16" borderId="4" xfId="0" applyFont="1" applyFill="1" applyBorder="1"/>
    <xf numFmtId="0" fontId="73" fillId="17" borderId="15" xfId="0" applyFont="1" applyFill="1" applyBorder="1"/>
    <xf numFmtId="0" fontId="75" fillId="0" borderId="6" xfId="0" applyFont="1" applyBorder="1" applyAlignment="1">
      <alignment horizontal="center" vertical="center"/>
    </xf>
    <xf numFmtId="0" fontId="74" fillId="18" borderId="2" xfId="0" applyFont="1" applyFill="1" applyBorder="1" applyAlignment="1">
      <alignment horizontal="center" vertical="center"/>
    </xf>
    <xf numFmtId="49" fontId="73" fillId="0" borderId="10" xfId="0" applyNumberFormat="1" applyFont="1" applyBorder="1" applyAlignment="1">
      <alignment horizontal="center" vertical="center"/>
    </xf>
    <xf numFmtId="41" fontId="74" fillId="18" borderId="2" xfId="0" applyNumberFormat="1" applyFont="1" applyFill="1" applyBorder="1" applyAlignment="1">
      <alignment horizontal="center" vertical="center"/>
    </xf>
    <xf numFmtId="41" fontId="73" fillId="0" borderId="6" xfId="0" applyNumberFormat="1" applyFont="1" applyBorder="1" applyAlignment="1">
      <alignment horizontal="center" vertical="center"/>
    </xf>
    <xf numFmtId="0" fontId="73" fillId="19" borderId="2" xfId="0" applyFont="1" applyFill="1" applyBorder="1" applyAlignment="1">
      <alignment horizontal="center" vertical="center"/>
    </xf>
    <xf numFmtId="41" fontId="73" fillId="19" borderId="2" xfId="0" applyNumberFormat="1" applyFont="1" applyFill="1" applyBorder="1" applyAlignment="1">
      <alignment horizontal="center" vertical="center"/>
    </xf>
    <xf numFmtId="41" fontId="73" fillId="17" borderId="15" xfId="0" applyNumberFormat="1" applyFont="1" applyFill="1" applyBorder="1" applyAlignment="1">
      <alignment horizontal="center" vertical="center"/>
    </xf>
    <xf numFmtId="41" fontId="73" fillId="17" borderId="2" xfId="0" applyNumberFormat="1" applyFont="1" applyFill="1" applyBorder="1" applyAlignment="1">
      <alignment horizontal="center" vertical="center"/>
    </xf>
    <xf numFmtId="0" fontId="69" fillId="0" borderId="11" xfId="0" applyFont="1" applyBorder="1" applyAlignment="1">
      <alignment horizontal="right" vertical="center"/>
    </xf>
    <xf numFmtId="41" fontId="73" fillId="0" borderId="11" xfId="0" applyNumberFormat="1" applyFont="1" applyBorder="1" applyAlignment="1">
      <alignment horizontal="center" vertical="center"/>
    </xf>
    <xf numFmtId="0" fontId="54" fillId="0" borderId="0" xfId="0" applyFont="1" applyAlignment="1">
      <alignment horizontal="right" vertical="center"/>
    </xf>
    <xf numFmtId="0" fontId="56" fillId="0" borderId="24" xfId="0" applyFont="1" applyBorder="1"/>
    <xf numFmtId="0" fontId="57" fillId="6" borderId="17" xfId="0" applyFont="1" applyFill="1" applyBorder="1" applyAlignment="1">
      <alignment horizontal="center"/>
    </xf>
    <xf numFmtId="0" fontId="58" fillId="0" borderId="18" xfId="0" applyFont="1" applyBorder="1" applyAlignment="1">
      <alignment horizontal="right" vertical="center"/>
    </xf>
    <xf numFmtId="41" fontId="58" fillId="0" borderId="18" xfId="0" applyNumberFormat="1" applyFont="1" applyBorder="1" applyAlignment="1">
      <alignment horizontal="right" vertical="center"/>
    </xf>
    <xf numFmtId="41" fontId="58" fillId="0" borderId="22" xfId="0" applyNumberFormat="1" applyFont="1" applyBorder="1" applyAlignment="1">
      <alignment horizontal="right" vertical="center"/>
    </xf>
    <xf numFmtId="164" fontId="58" fillId="0" borderId="22" xfId="2" applyNumberFormat="1" applyFont="1" applyBorder="1" applyAlignment="1">
      <alignment horizontal="center" vertical="center"/>
    </xf>
    <xf numFmtId="0" fontId="58" fillId="16" borderId="25" xfId="0" applyFont="1" applyFill="1" applyBorder="1" applyAlignment="1">
      <alignment horizontal="right" vertical="center"/>
    </xf>
    <xf numFmtId="41" fontId="58" fillId="0" borderId="11" xfId="0" applyNumberFormat="1" applyFont="1" applyBorder="1" applyAlignment="1">
      <alignment horizontal="right"/>
    </xf>
    <xf numFmtId="0" fontId="64" fillId="20" borderId="18" xfId="0" applyFont="1" applyFill="1" applyBorder="1" applyAlignment="1">
      <alignment horizontal="right"/>
    </xf>
    <xf numFmtId="0" fontId="78" fillId="20" borderId="23" xfId="0" applyFont="1" applyFill="1" applyBorder="1" applyAlignment="1">
      <alignment horizontal="right"/>
    </xf>
    <xf numFmtId="164" fontId="78" fillId="3" borderId="23" xfId="0" applyNumberFormat="1" applyFont="1" applyFill="1" applyBorder="1" applyAlignment="1">
      <alignment horizontal="right"/>
    </xf>
    <xf numFmtId="0" fontId="79" fillId="0" borderId="0" xfId="0" applyFont="1"/>
    <xf numFmtId="0" fontId="54" fillId="0" borderId="22" xfId="0" applyFont="1" applyBorder="1" applyAlignment="1">
      <alignment horizontal="right" vertical="center"/>
    </xf>
    <xf numFmtId="41" fontId="64" fillId="3" borderId="27" xfId="0" applyNumberFormat="1" applyFont="1" applyFill="1" applyBorder="1" applyAlignment="1">
      <alignment horizontal="right"/>
    </xf>
    <xf numFmtId="41" fontId="77" fillId="0" borderId="22" xfId="0" applyNumberFormat="1" applyFont="1" applyBorder="1" applyAlignment="1">
      <alignment horizontal="right" vertical="center"/>
    </xf>
    <xf numFmtId="41" fontId="58" fillId="8" borderId="11" xfId="0" applyNumberFormat="1" applyFont="1" applyFill="1" applyBorder="1" applyAlignment="1">
      <alignment horizontal="right"/>
    </xf>
    <xf numFmtId="41" fontId="77" fillId="7" borderId="21" xfId="0" applyNumberFormat="1" applyFont="1" applyFill="1" applyBorder="1"/>
    <xf numFmtId="41" fontId="60" fillId="0" borderId="22" xfId="0" applyNumberFormat="1" applyFont="1" applyBorder="1"/>
    <xf numFmtId="0" fontId="79" fillId="0" borderId="0" xfId="0" applyFont="1" applyAlignment="1">
      <alignment vertical="center" wrapText="1"/>
    </xf>
    <xf numFmtId="0" fontId="84" fillId="0" borderId="0" xfId="0" applyFont="1" applyAlignment="1">
      <alignment horizontal="left" vertical="top"/>
    </xf>
    <xf numFmtId="0" fontId="0" fillId="0" borderId="0" xfId="0" applyAlignment="1">
      <alignment horizontal="left" vertical="top"/>
    </xf>
    <xf numFmtId="0" fontId="4" fillId="0" borderId="0" xfId="4"/>
    <xf numFmtId="170" fontId="0" fillId="0" borderId="0" xfId="5" applyNumberFormat="1" applyFont="1"/>
    <xf numFmtId="170" fontId="4" fillId="0" borderId="0" xfId="4" applyNumberFormat="1"/>
    <xf numFmtId="0" fontId="4" fillId="19" borderId="0" xfId="4" applyFill="1"/>
    <xf numFmtId="170" fontId="0" fillId="21" borderId="0" xfId="5" applyNumberFormat="1" applyFont="1" applyFill="1"/>
    <xf numFmtId="170" fontId="4" fillId="21" borderId="0" xfId="4" applyNumberFormat="1" applyFill="1"/>
    <xf numFmtId="0" fontId="4" fillId="21" borderId="0" xfId="4" applyFill="1"/>
    <xf numFmtId="0" fontId="4" fillId="5" borderId="0" xfId="4" applyFill="1"/>
    <xf numFmtId="0" fontId="4" fillId="3" borderId="0" xfId="4" applyFill="1"/>
    <xf numFmtId="0" fontId="4" fillId="0" borderId="0" xfId="4" applyAlignment="1">
      <alignment horizontal="center"/>
    </xf>
    <xf numFmtId="41" fontId="4" fillId="0" borderId="0" xfId="4" applyNumberFormat="1"/>
    <xf numFmtId="41" fontId="87" fillId="0" borderId="0" xfId="4" applyNumberFormat="1" applyFont="1"/>
    <xf numFmtId="164" fontId="87" fillId="0" borderId="0" xfId="4" applyNumberFormat="1" applyFont="1"/>
    <xf numFmtId="0" fontId="4" fillId="0" borderId="0" xfId="4" applyAlignment="1">
      <alignment horizontal="left" vertical="top"/>
    </xf>
    <xf numFmtId="41" fontId="87" fillId="0" borderId="0" xfId="4" applyNumberFormat="1" applyFont="1" applyAlignment="1">
      <alignment horizontal="center" vertical="center"/>
    </xf>
    <xf numFmtId="164" fontId="0" fillId="0" borderId="0" xfId="6" applyNumberFormat="1" applyFont="1"/>
    <xf numFmtId="0" fontId="4" fillId="0" borderId="0" xfId="4" applyAlignment="1">
      <alignment horizontal="center" vertical="center" wrapText="1"/>
    </xf>
    <xf numFmtId="0" fontId="4" fillId="0" borderId="0" xfId="4" applyAlignment="1">
      <alignment horizontal="center" vertical="center"/>
    </xf>
    <xf numFmtId="41" fontId="66" fillId="14" borderId="17" xfId="4" applyNumberFormat="1" applyFont="1" applyFill="1" applyBorder="1" applyAlignment="1">
      <alignment horizontal="right"/>
    </xf>
    <xf numFmtId="0" fontId="58" fillId="12" borderId="17" xfId="4" applyFont="1" applyFill="1" applyBorder="1" applyAlignment="1">
      <alignment horizontal="right"/>
    </xf>
    <xf numFmtId="0" fontId="4" fillId="7" borderId="11" xfId="4" applyFill="1" applyBorder="1"/>
    <xf numFmtId="0" fontId="4" fillId="0" borderId="11" xfId="4" applyBorder="1"/>
    <xf numFmtId="41" fontId="4" fillId="7" borderId="11" xfId="4" applyNumberFormat="1" applyFill="1" applyBorder="1"/>
    <xf numFmtId="0" fontId="58" fillId="0" borderId="11" xfId="4" applyFont="1" applyBorder="1" applyAlignment="1">
      <alignment horizontal="right"/>
    </xf>
    <xf numFmtId="0" fontId="4" fillId="0" borderId="11" xfId="4" applyBorder="1" applyAlignment="1">
      <alignment horizontal="left" vertical="center" indent="1"/>
    </xf>
    <xf numFmtId="0" fontId="58" fillId="0" borderId="11" xfId="4" applyFont="1" applyBorder="1" applyAlignment="1">
      <alignment horizontal="left"/>
    </xf>
    <xf numFmtId="41" fontId="58" fillId="7" borderId="28" xfId="4" applyNumberFormat="1" applyFont="1" applyFill="1" applyBorder="1" applyAlignment="1">
      <alignment horizontal="right"/>
    </xf>
    <xf numFmtId="0" fontId="58" fillId="22" borderId="28" xfId="4" applyFont="1" applyFill="1" applyBorder="1" applyAlignment="1">
      <alignment horizontal="right"/>
    </xf>
    <xf numFmtId="41" fontId="58" fillId="7" borderId="11" xfId="4" applyNumberFormat="1" applyFont="1" applyFill="1" applyBorder="1" applyAlignment="1">
      <alignment horizontal="right"/>
    </xf>
    <xf numFmtId="0" fontId="4" fillId="0" borderId="11" xfId="4" applyBorder="1" applyAlignment="1">
      <alignment horizontal="right" vertical="center"/>
    </xf>
    <xf numFmtId="0" fontId="4" fillId="22" borderId="29" xfId="4" applyFill="1" applyBorder="1" applyAlignment="1">
      <alignment horizontal="right"/>
    </xf>
    <xf numFmtId="41" fontId="58" fillId="7" borderId="30" xfId="4" applyNumberFormat="1" applyFont="1" applyFill="1" applyBorder="1" applyAlignment="1">
      <alignment horizontal="right"/>
    </xf>
    <xf numFmtId="0" fontId="58" fillId="22" borderId="30" xfId="4" applyFont="1" applyFill="1" applyBorder="1" applyAlignment="1">
      <alignment horizontal="right"/>
    </xf>
    <xf numFmtId="41" fontId="58" fillId="7" borderId="11" xfId="4" applyNumberFormat="1" applyFont="1" applyFill="1" applyBorder="1"/>
    <xf numFmtId="0" fontId="4" fillId="0" borderId="11" xfId="4" applyBorder="1" applyAlignment="1">
      <alignment horizontal="right"/>
    </xf>
    <xf numFmtId="0" fontId="54" fillId="0" borderId="11" xfId="4" applyFont="1" applyBorder="1" applyAlignment="1">
      <alignment horizontal="right"/>
    </xf>
    <xf numFmtId="41" fontId="60" fillId="7" borderId="11" xfId="4" applyNumberFormat="1" applyFont="1" applyFill="1" applyBorder="1"/>
    <xf numFmtId="0" fontId="4" fillId="0" borderId="11" xfId="4" applyBorder="1" applyAlignment="1">
      <alignment horizontal="left" vertical="center" indent="2"/>
    </xf>
    <xf numFmtId="0" fontId="69" fillId="0" borderId="11" xfId="4" applyFont="1" applyBorder="1" applyAlignment="1">
      <alignment horizontal="right" vertical="center"/>
    </xf>
    <xf numFmtId="0" fontId="58" fillId="0" borderId="11" xfId="4" applyFont="1" applyBorder="1"/>
    <xf numFmtId="0" fontId="69" fillId="0" borderId="11" xfId="4" applyFont="1" applyBorder="1" applyAlignment="1">
      <alignment horizontal="right"/>
    </xf>
    <xf numFmtId="0" fontId="4" fillId="7" borderId="31" xfId="4" applyFill="1" applyBorder="1"/>
    <xf numFmtId="0" fontId="89" fillId="6" borderId="19" xfId="4" applyFont="1" applyFill="1" applyBorder="1" applyAlignment="1">
      <alignment horizontal="center" vertical="center"/>
    </xf>
    <xf numFmtId="0" fontId="56" fillId="0" borderId="17" xfId="4" applyFont="1" applyBorder="1" applyAlignment="1">
      <alignment horizontal="center" vertical="center"/>
    </xf>
    <xf numFmtId="0" fontId="55" fillId="0" borderId="17" xfId="4" applyFont="1" applyBorder="1" applyAlignment="1">
      <alignment horizontal="center" vertical="center"/>
    </xf>
    <xf numFmtId="0" fontId="54" fillId="0" borderId="0" xfId="4" applyFont="1"/>
    <xf numFmtId="41" fontId="0" fillId="0" borderId="0" xfId="0" applyNumberFormat="1"/>
    <xf numFmtId="41" fontId="5" fillId="0" borderId="0" xfId="0" applyNumberFormat="1" applyFont="1"/>
    <xf numFmtId="0" fontId="0" fillId="8" borderId="0" xfId="0" applyFill="1"/>
    <xf numFmtId="0" fontId="5" fillId="8" borderId="0" xfId="0" applyFont="1" applyFill="1"/>
    <xf numFmtId="0" fontId="3" fillId="0" borderId="22" xfId="0" applyFont="1" applyBorder="1" applyAlignment="1">
      <alignment horizontal="left" indent="2"/>
    </xf>
    <xf numFmtId="0" fontId="54" fillId="8" borderId="0" xfId="0" applyFont="1" applyFill="1" applyAlignment="1">
      <alignment horizontal="right"/>
    </xf>
    <xf numFmtId="41" fontId="5" fillId="0" borderId="0" xfId="0" applyNumberFormat="1" applyFont="1" applyAlignment="1">
      <alignment horizontal="center"/>
    </xf>
    <xf numFmtId="41" fontId="58" fillId="0" borderId="22" xfId="0" applyNumberFormat="1" applyFont="1" applyBorder="1" applyAlignment="1">
      <alignment horizontal="left" indent="1"/>
    </xf>
    <xf numFmtId="0" fontId="3" fillId="0" borderId="22" xfId="0" applyFont="1" applyBorder="1" applyAlignment="1">
      <alignment horizontal="left" indent="1"/>
    </xf>
    <xf numFmtId="41" fontId="91" fillId="0" borderId="22" xfId="0" applyNumberFormat="1" applyFont="1" applyBorder="1" applyAlignment="1">
      <alignment horizontal="right" vertical="center"/>
    </xf>
    <xf numFmtId="0" fontId="0" fillId="23" borderId="0" xfId="0" applyFill="1"/>
    <xf numFmtId="43" fontId="0" fillId="0" borderId="0" xfId="0" applyNumberFormat="1"/>
    <xf numFmtId="0" fontId="92" fillId="0" borderId="0" xfId="0" applyFont="1"/>
    <xf numFmtId="0" fontId="92" fillId="0" borderId="0" xfId="1" applyNumberFormat="1" applyFont="1" applyAlignment="1">
      <alignment horizontal="center"/>
    </xf>
    <xf numFmtId="0" fontId="3" fillId="0" borderId="11" xfId="0" applyFont="1" applyBorder="1" applyAlignment="1">
      <alignment horizontal="left" vertical="center" indent="2"/>
    </xf>
    <xf numFmtId="165" fontId="89" fillId="6" borderId="17" xfId="0" applyNumberFormat="1" applyFont="1" applyFill="1" applyBorder="1" applyAlignment="1">
      <alignment horizontal="center"/>
    </xf>
    <xf numFmtId="165" fontId="57" fillId="6" borderId="17" xfId="0" applyNumberFormat="1" applyFont="1" applyFill="1" applyBorder="1" applyAlignment="1">
      <alignment horizontal="center"/>
    </xf>
    <xf numFmtId="165" fontId="55" fillId="0" borderId="17" xfId="0" applyNumberFormat="1" applyFont="1" applyBorder="1" applyAlignment="1">
      <alignment horizontal="center" vertical="center"/>
    </xf>
    <xf numFmtId="0" fontId="54" fillId="0" borderId="0" xfId="7" applyFont="1" applyAlignment="1">
      <alignment horizontal="center" vertical="center"/>
    </xf>
    <xf numFmtId="0" fontId="2" fillId="0" borderId="0" xfId="8"/>
    <xf numFmtId="0" fontId="3" fillId="0" borderId="0" xfId="7"/>
    <xf numFmtId="14" fontId="75" fillId="0" borderId="0" xfId="8" applyNumberFormat="1" applyFont="1" applyAlignment="1">
      <alignment horizontal="left"/>
    </xf>
    <xf numFmtId="14" fontId="75" fillId="24" borderId="2" xfId="8" applyNumberFormat="1" applyFont="1" applyFill="1" applyBorder="1" applyAlignment="1">
      <alignment horizontal="center" vertical="center"/>
    </xf>
    <xf numFmtId="0" fontId="75" fillId="0" borderId="2" xfId="8" applyFont="1" applyBorder="1" applyAlignment="1">
      <alignment horizontal="center"/>
    </xf>
    <xf numFmtId="0" fontId="75" fillId="7" borderId="2" xfId="8" applyFont="1" applyFill="1" applyBorder="1" applyAlignment="1">
      <alignment horizontal="center"/>
    </xf>
    <xf numFmtId="14" fontId="75" fillId="25" borderId="12" xfId="8" applyNumberFormat="1" applyFont="1" applyFill="1" applyBorder="1" applyAlignment="1">
      <alignment horizontal="center" vertical="center"/>
    </xf>
    <xf numFmtId="168" fontId="58" fillId="26" borderId="2" xfId="8" applyNumberFormat="1" applyFont="1" applyFill="1" applyBorder="1" applyAlignment="1">
      <alignment horizontal="center"/>
    </xf>
    <xf numFmtId="168" fontId="58" fillId="7" borderId="2" xfId="8" applyNumberFormat="1" applyFont="1" applyFill="1" applyBorder="1" applyAlignment="1">
      <alignment horizontal="center"/>
    </xf>
    <xf numFmtId="0" fontId="94" fillId="0" borderId="10" xfId="8" applyFont="1" applyBorder="1"/>
    <xf numFmtId="0" fontId="94" fillId="24" borderId="10" xfId="8" applyFont="1" applyFill="1" applyBorder="1" applyAlignment="1">
      <alignment horizontal="center" vertical="center"/>
    </xf>
    <xf numFmtId="0" fontId="2" fillId="5" borderId="10" xfId="8" applyFill="1" applyBorder="1"/>
    <xf numFmtId="0" fontId="2" fillId="0" borderId="10" xfId="8" applyBorder="1"/>
    <xf numFmtId="0" fontId="2" fillId="7" borderId="10" xfId="8" applyFill="1" applyBorder="1"/>
    <xf numFmtId="0" fontId="94" fillId="0" borderId="11" xfId="8" applyFont="1" applyBorder="1"/>
    <xf numFmtId="0" fontId="94" fillId="24" borderId="11" xfId="8" applyFont="1" applyFill="1" applyBorder="1" applyAlignment="1">
      <alignment horizontal="center" vertical="center"/>
    </xf>
    <xf numFmtId="0" fontId="2" fillId="5" borderId="11" xfId="8" applyFill="1" applyBorder="1"/>
    <xf numFmtId="0" fontId="2" fillId="0" borderId="11" xfId="8" applyBorder="1"/>
    <xf numFmtId="0" fontId="2" fillId="7" borderId="11" xfId="8" applyFill="1" applyBorder="1"/>
    <xf numFmtId="0" fontId="95" fillId="0" borderId="11" xfId="8" applyFont="1" applyBorder="1" applyAlignment="1">
      <alignment horizontal="right"/>
    </xf>
    <xf numFmtId="3" fontId="74" fillId="4" borderId="11" xfId="8" applyNumberFormat="1" applyFont="1" applyFill="1" applyBorder="1" applyAlignment="1">
      <alignment horizontal="center" vertical="center"/>
    </xf>
    <xf numFmtId="41" fontId="74" fillId="4" borderId="11" xfId="8" applyNumberFormat="1" applyFont="1" applyFill="1" applyBorder="1"/>
    <xf numFmtId="3" fontId="94" fillId="24" borderId="11" xfId="8" applyNumberFormat="1" applyFont="1" applyFill="1" applyBorder="1" applyAlignment="1">
      <alignment horizontal="center" vertical="center"/>
    </xf>
    <xf numFmtId="41" fontId="2" fillId="5" borderId="11" xfId="8" applyNumberFormat="1" applyFill="1" applyBorder="1"/>
    <xf numFmtId="41" fontId="2" fillId="0" borderId="11" xfId="8" applyNumberFormat="1" applyBorder="1"/>
    <xf numFmtId="41" fontId="2" fillId="7" borderId="11" xfId="8" applyNumberFormat="1" applyFill="1" applyBorder="1"/>
    <xf numFmtId="0" fontId="96" fillId="0" borderId="11" xfId="8" applyFont="1" applyBorder="1" applyAlignment="1">
      <alignment horizontal="right" vertical="center"/>
    </xf>
    <xf numFmtId="3" fontId="96" fillId="24" borderId="11" xfId="8" applyNumberFormat="1" applyFont="1" applyFill="1" applyBorder="1" applyAlignment="1">
      <alignment horizontal="center" vertical="center"/>
    </xf>
    <xf numFmtId="0" fontId="2" fillId="0" borderId="11" xfId="8" applyBorder="1" applyAlignment="1">
      <alignment horizontal="right" vertical="center"/>
    </xf>
    <xf numFmtId="3" fontId="2" fillId="24" borderId="11" xfId="8" applyNumberFormat="1" applyFill="1" applyBorder="1" applyAlignment="1">
      <alignment horizontal="center" vertical="center"/>
    </xf>
    <xf numFmtId="3" fontId="97" fillId="24" borderId="11" xfId="8" applyNumberFormat="1" applyFont="1" applyFill="1" applyBorder="1" applyAlignment="1">
      <alignment horizontal="center" vertical="center"/>
    </xf>
    <xf numFmtId="41" fontId="98" fillId="5" borderId="11" xfId="8" applyNumberFormat="1" applyFont="1" applyFill="1" applyBorder="1"/>
    <xf numFmtId="41" fontId="98" fillId="0" borderId="11" xfId="8" applyNumberFormat="1" applyFont="1" applyBorder="1"/>
    <xf numFmtId="41" fontId="98" fillId="7" borderId="11" xfId="8" applyNumberFormat="1" applyFont="1" applyFill="1" applyBorder="1"/>
    <xf numFmtId="0" fontId="75" fillId="0" borderId="11" xfId="8" applyFont="1" applyBorder="1" applyAlignment="1">
      <alignment horizontal="right" vertical="center"/>
    </xf>
    <xf numFmtId="3" fontId="75" fillId="24" borderId="11" xfId="8" applyNumberFormat="1" applyFont="1" applyFill="1" applyBorder="1" applyAlignment="1">
      <alignment horizontal="center" vertical="center"/>
    </xf>
    <xf numFmtId="41" fontId="75" fillId="5" borderId="11" xfId="8" applyNumberFormat="1" applyFont="1" applyFill="1" applyBorder="1"/>
    <xf numFmtId="41" fontId="73" fillId="0" borderId="11" xfId="8" applyNumberFormat="1" applyFont="1" applyBorder="1"/>
    <xf numFmtId="41" fontId="73" fillId="7" borderId="11" xfId="8" applyNumberFormat="1" applyFont="1" applyFill="1" applyBorder="1"/>
    <xf numFmtId="3" fontId="73" fillId="24" borderId="11" xfId="8" applyNumberFormat="1" applyFont="1" applyFill="1" applyBorder="1" applyAlignment="1">
      <alignment horizontal="center" vertical="center"/>
    </xf>
    <xf numFmtId="41" fontId="73" fillId="5" borderId="11" xfId="8" applyNumberFormat="1" applyFont="1" applyFill="1" applyBorder="1"/>
    <xf numFmtId="0" fontId="63" fillId="0" borderId="11" xfId="8" applyFont="1" applyBorder="1" applyAlignment="1">
      <alignment horizontal="right" vertical="center"/>
    </xf>
    <xf numFmtId="3" fontId="63" fillId="0" borderId="2" xfId="8" applyNumberFormat="1" applyFont="1" applyBorder="1" applyAlignment="1">
      <alignment horizontal="center" vertical="center"/>
    </xf>
    <xf numFmtId="41" fontId="73" fillId="26" borderId="2" xfId="8" applyNumberFormat="1" applyFont="1" applyFill="1" applyBorder="1"/>
    <xf numFmtId="41" fontId="73" fillId="7" borderId="2" xfId="8" applyNumberFormat="1" applyFont="1" applyFill="1" applyBorder="1"/>
    <xf numFmtId="0" fontId="100" fillId="0" borderId="11" xfId="8" applyFont="1" applyBorder="1" applyAlignment="1">
      <alignment horizontal="right" vertical="center"/>
    </xf>
    <xf numFmtId="172" fontId="103" fillId="27" borderId="12" xfId="8" applyNumberFormat="1" applyFont="1" applyFill="1" applyBorder="1" applyAlignment="1">
      <alignment horizontal="center" vertical="center"/>
    </xf>
    <xf numFmtId="172" fontId="73" fillId="19" borderId="2" xfId="8" applyNumberFormat="1" applyFont="1" applyFill="1" applyBorder="1" applyAlignment="1">
      <alignment horizontal="center" vertical="center"/>
    </xf>
    <xf numFmtId="172" fontId="73" fillId="7" borderId="2" xfId="8" applyNumberFormat="1" applyFont="1" applyFill="1" applyBorder="1" applyAlignment="1">
      <alignment horizontal="center" vertical="center"/>
    </xf>
    <xf numFmtId="0" fontId="2" fillId="0" borderId="12" xfId="8" applyBorder="1"/>
    <xf numFmtId="0" fontId="104" fillId="0" borderId="0" xfId="8" applyFont="1" applyAlignment="1">
      <alignment vertical="top" wrapText="1"/>
    </xf>
    <xf numFmtId="0" fontId="73" fillId="0" borderId="0" xfId="8" applyFont="1" applyAlignment="1">
      <alignment horizontal="right" vertical="center"/>
    </xf>
    <xf numFmtId="0" fontId="73" fillId="0" borderId="0" xfId="8" applyFont="1"/>
    <xf numFmtId="41" fontId="0" fillId="0" borderId="0" xfId="9" applyNumberFormat="1" applyFont="1" applyFill="1" applyBorder="1"/>
    <xf numFmtId="14" fontId="73" fillId="0" borderId="0" xfId="8" applyNumberFormat="1" applyFont="1" applyAlignment="1">
      <alignment horizontal="right" vertical="center"/>
    </xf>
    <xf numFmtId="14" fontId="73" fillId="0" borderId="0" xfId="8" applyNumberFormat="1" applyFont="1" applyAlignment="1">
      <alignment horizontal="left"/>
    </xf>
    <xf numFmtId="0" fontId="73" fillId="0" borderId="0" xfId="8" applyFont="1" applyAlignment="1">
      <alignment horizontal="center"/>
    </xf>
    <xf numFmtId="14" fontId="75" fillId="0" borderId="0" xfId="8" applyNumberFormat="1" applyFont="1" applyAlignment="1">
      <alignment horizontal="center" vertical="center"/>
    </xf>
    <xf numFmtId="168" fontId="58" fillId="0" borderId="0" xfId="8" applyNumberFormat="1" applyFont="1" applyAlignment="1">
      <alignment horizontal="center"/>
    </xf>
    <xf numFmtId="3" fontId="2" fillId="0" borderId="0" xfId="8" applyNumberFormat="1"/>
    <xf numFmtId="3" fontId="95" fillId="0" borderId="0" xfId="8" applyNumberFormat="1" applyFont="1"/>
    <xf numFmtId="41" fontId="2" fillId="0" borderId="0" xfId="8" applyNumberFormat="1" applyAlignment="1">
      <alignment horizontal="right"/>
    </xf>
    <xf numFmtId="3" fontId="97" fillId="0" borderId="0" xfId="8" applyNumberFormat="1" applyFont="1"/>
    <xf numFmtId="3" fontId="98" fillId="0" borderId="0" xfId="8" applyNumberFormat="1" applyFont="1"/>
    <xf numFmtId="3" fontId="73" fillId="0" borderId="0" xfId="8" applyNumberFormat="1" applyFont="1"/>
    <xf numFmtId="172" fontId="103" fillId="0" borderId="0" xfId="8" applyNumberFormat="1" applyFont="1" applyAlignment="1">
      <alignment horizontal="center" vertical="center"/>
    </xf>
    <xf numFmtId="172" fontId="75" fillId="0" borderId="0" xfId="8" applyNumberFormat="1" applyFont="1" applyAlignment="1">
      <alignment horizontal="center" vertical="center"/>
    </xf>
    <xf numFmtId="172" fontId="106" fillId="0" borderId="0" xfId="8" applyNumberFormat="1" applyFont="1" applyAlignment="1">
      <alignment horizontal="center" vertical="center"/>
    </xf>
    <xf numFmtId="168" fontId="58" fillId="0" borderId="0" xfId="8" applyNumberFormat="1" applyFont="1" applyAlignment="1">
      <alignment horizontal="right"/>
    </xf>
    <xf numFmtId="0" fontId="3" fillId="0" borderId="11" xfId="0" applyFont="1" applyBorder="1" applyAlignment="1">
      <alignment horizontal="left" vertical="center" indent="1"/>
    </xf>
    <xf numFmtId="0" fontId="112" fillId="0" borderId="0" xfId="0" applyFont="1"/>
    <xf numFmtId="170" fontId="5" fillId="28" borderId="0" xfId="3" applyNumberFormat="1" applyFont="1" applyFill="1"/>
    <xf numFmtId="170" fontId="0" fillId="28" borderId="0" xfId="3" applyNumberFormat="1" applyFont="1" applyFill="1"/>
    <xf numFmtId="41" fontId="113" fillId="10" borderId="21" xfId="0" applyNumberFormat="1" applyFont="1" applyFill="1" applyBorder="1" applyAlignment="1">
      <alignment horizontal="left"/>
    </xf>
    <xf numFmtId="41" fontId="3" fillId="7" borderId="22" xfId="0" applyNumberFormat="1" applyFont="1" applyFill="1" applyBorder="1" applyAlignment="1">
      <alignment horizontal="left" indent="1"/>
    </xf>
    <xf numFmtId="41" fontId="60" fillId="7" borderId="21" xfId="0" applyNumberFormat="1" applyFont="1" applyFill="1" applyBorder="1" applyAlignment="1">
      <alignment horizontal="right"/>
    </xf>
    <xf numFmtId="0" fontId="104" fillId="0" borderId="0" xfId="0" applyFont="1" applyAlignment="1">
      <alignment horizontal="left" vertical="top"/>
    </xf>
    <xf numFmtId="171" fontId="122" fillId="0" borderId="22" xfId="0" applyNumberFormat="1" applyFont="1" applyBorder="1" applyAlignment="1">
      <alignment horizontal="right"/>
    </xf>
    <xf numFmtId="0" fontId="124" fillId="0" borderId="22" xfId="0" applyFont="1" applyBorder="1" applyAlignment="1">
      <alignment horizontal="left" indent="2"/>
    </xf>
    <xf numFmtId="41" fontId="3" fillId="0" borderId="22" xfId="0" applyNumberFormat="1" applyFont="1" applyBorder="1"/>
    <xf numFmtId="41" fontId="125" fillId="16" borderId="22" xfId="0" applyNumberFormat="1" applyFont="1" applyFill="1" applyBorder="1"/>
    <xf numFmtId="41" fontId="98" fillId="0" borderId="22" xfId="0" applyNumberFormat="1" applyFont="1" applyBorder="1"/>
    <xf numFmtId="41" fontId="73" fillId="0" borderId="22" xfId="0" applyNumberFormat="1" applyFont="1" applyBorder="1" applyAlignment="1">
      <alignment horizontal="right"/>
    </xf>
    <xf numFmtId="41" fontId="126" fillId="0" borderId="22" xfId="0" applyNumberFormat="1" applyFont="1" applyBorder="1"/>
    <xf numFmtId="41" fontId="106" fillId="0" borderId="22" xfId="0" applyNumberFormat="1" applyFont="1" applyBorder="1"/>
    <xf numFmtId="41" fontId="127" fillId="0" borderId="22" xfId="0" applyNumberFormat="1" applyFont="1" applyBorder="1" applyAlignment="1">
      <alignment horizontal="right"/>
    </xf>
    <xf numFmtId="41" fontId="128" fillId="0" borderId="22" xfId="0" applyNumberFormat="1" applyFont="1" applyBorder="1"/>
    <xf numFmtId="41" fontId="128" fillId="0" borderId="22" xfId="0" applyNumberFormat="1" applyFont="1" applyBorder="1" applyAlignment="1">
      <alignment horizontal="center"/>
    </xf>
    <xf numFmtId="41" fontId="61" fillId="16" borderId="22" xfId="0" applyNumberFormat="1" applyFont="1" applyFill="1" applyBorder="1"/>
    <xf numFmtId="41" fontId="124" fillId="0" borderId="22" xfId="0" applyNumberFormat="1" applyFont="1" applyBorder="1"/>
    <xf numFmtId="41" fontId="54" fillId="0" borderId="22" xfId="0" applyNumberFormat="1" applyFont="1" applyBorder="1" applyAlignment="1">
      <alignment horizontal="center" vertical="center"/>
    </xf>
    <xf numFmtId="0" fontId="92" fillId="5" borderId="0" xfId="1" applyNumberFormat="1" applyFont="1" applyFill="1"/>
    <xf numFmtId="0" fontId="0" fillId="5" borderId="0" xfId="0" applyFill="1"/>
    <xf numFmtId="3" fontId="0" fillId="5" borderId="0" xfId="0" applyNumberFormat="1" applyFill="1"/>
    <xf numFmtId="3" fontId="5" fillId="5" borderId="0" xfId="0" applyNumberFormat="1" applyFont="1" applyFill="1"/>
    <xf numFmtId="170" fontId="0" fillId="5" borderId="0" xfId="3" applyNumberFormat="1" applyFont="1" applyFill="1"/>
    <xf numFmtId="170" fontId="63" fillId="0" borderId="0" xfId="3" applyNumberFormat="1" applyFont="1" applyAlignment="1"/>
    <xf numFmtId="0" fontId="54" fillId="8" borderId="22" xfId="0" applyFont="1" applyFill="1" applyBorder="1" applyAlignment="1">
      <alignment horizontal="right"/>
    </xf>
    <xf numFmtId="0" fontId="54" fillId="8" borderId="23" xfId="0" applyFont="1" applyFill="1" applyBorder="1" applyAlignment="1">
      <alignment horizontal="right"/>
    </xf>
    <xf numFmtId="0" fontId="130" fillId="0" borderId="17" xfId="0" applyFont="1" applyBorder="1" applyAlignment="1">
      <alignment horizontal="center" vertical="center"/>
    </xf>
    <xf numFmtId="165" fontId="89" fillId="29" borderId="17" xfId="0" applyNumberFormat="1" applyFont="1" applyFill="1" applyBorder="1" applyAlignment="1">
      <alignment horizontal="center"/>
    </xf>
    <xf numFmtId="41" fontId="58" fillId="30" borderId="18" xfId="0" applyNumberFormat="1" applyFont="1" applyFill="1" applyBorder="1" applyAlignment="1">
      <alignment horizontal="right" vertical="center"/>
    </xf>
    <xf numFmtId="41" fontId="58" fillId="30" borderId="22" xfId="0" applyNumberFormat="1" applyFont="1" applyFill="1" applyBorder="1" applyAlignment="1">
      <alignment horizontal="right" vertical="center"/>
    </xf>
    <xf numFmtId="164" fontId="58" fillId="30" borderId="22" xfId="2" applyNumberFormat="1" applyFont="1" applyFill="1" applyBorder="1" applyAlignment="1">
      <alignment horizontal="center" vertical="center"/>
    </xf>
    <xf numFmtId="41" fontId="91" fillId="30" borderId="22" xfId="0" applyNumberFormat="1" applyFont="1" applyFill="1" applyBorder="1" applyAlignment="1">
      <alignment horizontal="right" vertical="center"/>
    </xf>
    <xf numFmtId="41" fontId="58" fillId="30" borderId="11" xfId="0" applyNumberFormat="1" applyFont="1" applyFill="1" applyBorder="1" applyAlignment="1">
      <alignment horizontal="right"/>
    </xf>
    <xf numFmtId="0" fontId="54" fillId="30" borderId="0" xfId="0" applyFont="1" applyFill="1" applyAlignment="1">
      <alignment horizontal="right"/>
    </xf>
    <xf numFmtId="41" fontId="91" fillId="31" borderId="27" xfId="0" applyNumberFormat="1" applyFont="1" applyFill="1" applyBorder="1" applyAlignment="1">
      <alignment horizontal="right"/>
    </xf>
    <xf numFmtId="164" fontId="131" fillId="31" borderId="23" xfId="0" applyNumberFormat="1" applyFont="1" applyFill="1" applyBorder="1" applyAlignment="1">
      <alignment horizontal="right"/>
    </xf>
    <xf numFmtId="0" fontId="89" fillId="6" borderId="19" xfId="0" applyFont="1" applyFill="1" applyBorder="1" applyAlignment="1">
      <alignment horizontal="center" vertical="center"/>
    </xf>
    <xf numFmtId="0" fontId="136" fillId="32" borderId="0" xfId="0" applyFont="1" applyFill="1" applyAlignment="1">
      <alignment horizontal="center" vertical="center"/>
    </xf>
    <xf numFmtId="0" fontId="57" fillId="33" borderId="0" xfId="0" applyFont="1" applyFill="1" applyAlignment="1">
      <alignment horizontal="center"/>
    </xf>
    <xf numFmtId="41" fontId="135" fillId="32" borderId="0" xfId="0" applyNumberFormat="1" applyFont="1" applyFill="1" applyAlignment="1">
      <alignment horizontal="right" vertical="center"/>
    </xf>
    <xf numFmtId="164" fontId="135" fillId="32" borderId="0" xfId="2" applyNumberFormat="1" applyFont="1" applyFill="1" applyBorder="1" applyAlignment="1">
      <alignment horizontal="center" vertical="center"/>
    </xf>
    <xf numFmtId="0" fontId="135" fillId="32" borderId="0" xfId="0" applyFont="1" applyFill="1" applyAlignment="1">
      <alignment horizontal="right" vertical="center"/>
    </xf>
    <xf numFmtId="41" fontId="135" fillId="32" borderId="0" xfId="0" applyNumberFormat="1" applyFont="1" applyFill="1" applyAlignment="1">
      <alignment horizontal="right"/>
    </xf>
    <xf numFmtId="164" fontId="137" fillId="32" borderId="0" xfId="0" applyNumberFormat="1" applyFont="1" applyFill="1" applyAlignment="1">
      <alignment horizontal="right"/>
    </xf>
    <xf numFmtId="0" fontId="58" fillId="16" borderId="22" xfId="0" applyFont="1" applyFill="1" applyBorder="1" applyAlignment="1">
      <alignment horizontal="right" vertical="center"/>
    </xf>
    <xf numFmtId="41" fontId="58" fillId="0" borderId="32" xfId="0" applyNumberFormat="1" applyFont="1" applyBorder="1" applyAlignment="1">
      <alignment horizontal="right"/>
    </xf>
    <xf numFmtId="41" fontId="58" fillId="8" borderId="32" xfId="0" applyNumberFormat="1" applyFont="1" applyFill="1" applyBorder="1" applyAlignment="1">
      <alignment horizontal="right"/>
    </xf>
    <xf numFmtId="41" fontId="135" fillId="32" borderId="0" xfId="0" applyNumberFormat="1" applyFont="1" applyFill="1"/>
    <xf numFmtId="41" fontId="138" fillId="32" borderId="0" xfId="0" applyNumberFormat="1" applyFont="1" applyFill="1"/>
    <xf numFmtId="41" fontId="139" fillId="32" borderId="0" xfId="0" applyNumberFormat="1" applyFont="1" applyFill="1"/>
    <xf numFmtId="41" fontId="136" fillId="32" borderId="0" xfId="0" applyNumberFormat="1" applyFont="1" applyFill="1"/>
    <xf numFmtId="41" fontId="138" fillId="32" borderId="0" xfId="0" applyNumberFormat="1" applyFont="1" applyFill="1" applyAlignment="1">
      <alignment horizontal="right"/>
    </xf>
    <xf numFmtId="41" fontId="140" fillId="32" borderId="0" xfId="0" applyNumberFormat="1" applyFont="1" applyFill="1" applyAlignment="1">
      <alignment horizontal="right"/>
    </xf>
    <xf numFmtId="41" fontId="136" fillId="32" borderId="0" xfId="0" applyNumberFormat="1" applyFont="1" applyFill="1" applyAlignment="1">
      <alignment horizontal="right"/>
    </xf>
    <xf numFmtId="41" fontId="135" fillId="32" borderId="0" xfId="0" applyNumberFormat="1" applyFont="1" applyFill="1" applyAlignment="1">
      <alignment horizontal="left"/>
    </xf>
    <xf numFmtId="41" fontId="89" fillId="32" borderId="0" xfId="0" applyNumberFormat="1" applyFont="1" applyFill="1" applyAlignment="1">
      <alignment horizontal="right"/>
    </xf>
    <xf numFmtId="41" fontId="89" fillId="32" borderId="0" xfId="0" applyNumberFormat="1" applyFont="1" applyFill="1"/>
    <xf numFmtId="41" fontId="138" fillId="32" borderId="0" xfId="0" applyNumberFormat="1" applyFont="1" applyFill="1" applyAlignment="1">
      <alignment horizontal="center" vertical="center"/>
    </xf>
    <xf numFmtId="41" fontId="140" fillId="32" borderId="0" xfId="0" applyNumberFormat="1" applyFont="1" applyFill="1"/>
    <xf numFmtId="41" fontId="89" fillId="34" borderId="0" xfId="0" applyNumberFormat="1" applyFont="1" applyFill="1" applyAlignment="1">
      <alignment horizontal="right" vertical="center"/>
    </xf>
    <xf numFmtId="165" fontId="136" fillId="32" borderId="0" xfId="0" applyNumberFormat="1" applyFont="1" applyFill="1" applyAlignment="1">
      <alignment horizontal="center" vertical="center"/>
    </xf>
    <xf numFmtId="165" fontId="65" fillId="33" borderId="0" xfId="0" applyNumberFormat="1" applyFont="1" applyFill="1" applyAlignment="1">
      <alignment horizontal="center"/>
    </xf>
    <xf numFmtId="41" fontId="135" fillId="35" borderId="0" xfId="0" applyNumberFormat="1" applyFont="1" applyFill="1" applyAlignment="1">
      <alignment horizontal="right"/>
    </xf>
    <xf numFmtId="164" fontId="138" fillId="35" borderId="0" xfId="2" applyNumberFormat="1" applyFont="1" applyFill="1" applyBorder="1"/>
    <xf numFmtId="41" fontId="138" fillId="32" borderId="0" xfId="0" applyNumberFormat="1" applyFont="1" applyFill="1" applyAlignment="1">
      <alignment vertical="center"/>
    </xf>
    <xf numFmtId="41" fontId="138" fillId="32" borderId="0" xfId="0" applyNumberFormat="1" applyFont="1" applyFill="1" applyAlignment="1">
      <alignment horizontal="left" indent="1"/>
    </xf>
    <xf numFmtId="41" fontId="139" fillId="32" borderId="0" xfId="0" applyNumberFormat="1" applyFont="1" applyFill="1" applyAlignment="1">
      <alignment horizontal="left" indent="1"/>
    </xf>
    <xf numFmtId="41" fontId="136" fillId="32" borderId="0" xfId="0" applyNumberFormat="1" applyFont="1" applyFill="1" applyAlignment="1">
      <alignment horizontal="left" indent="1"/>
    </xf>
    <xf numFmtId="41" fontId="138" fillId="32" borderId="0" xfId="0" applyNumberFormat="1" applyFont="1" applyFill="1" applyAlignment="1">
      <alignment horizontal="left"/>
    </xf>
    <xf numFmtId="41" fontId="89" fillId="36" borderId="0" xfId="0" applyNumberFormat="1" applyFont="1" applyFill="1" applyAlignment="1">
      <alignment horizontal="right"/>
    </xf>
    <xf numFmtId="41" fontId="77" fillId="7" borderId="22" xfId="0" applyNumberFormat="1" applyFont="1" applyFill="1" applyBorder="1"/>
    <xf numFmtId="0" fontId="57" fillId="33" borderId="0" xfId="0" applyFont="1" applyFill="1" applyAlignment="1">
      <alignment horizontal="center" vertical="center"/>
    </xf>
    <xf numFmtId="37" fontId="135" fillId="32" borderId="0" xfId="0" applyNumberFormat="1" applyFont="1" applyFill="1"/>
    <xf numFmtId="164" fontId="138" fillId="32" borderId="0" xfId="2" applyNumberFormat="1" applyFont="1" applyFill="1" applyBorder="1" applyAlignment="1">
      <alignment horizontal="right"/>
    </xf>
    <xf numFmtId="37" fontId="138" fillId="32" borderId="0" xfId="0" applyNumberFormat="1" applyFont="1" applyFill="1" applyAlignment="1">
      <alignment horizontal="right"/>
    </xf>
    <xf numFmtId="37" fontId="135" fillId="32" borderId="0" xfId="0" applyNumberFormat="1" applyFont="1" applyFill="1" applyAlignment="1">
      <alignment horizontal="left"/>
    </xf>
    <xf numFmtId="41" fontId="138" fillId="37" borderId="0" xfId="0" applyNumberFormat="1" applyFont="1" applyFill="1" applyAlignment="1">
      <alignment horizontal="right"/>
    </xf>
    <xf numFmtId="41" fontId="138" fillId="37" borderId="0" xfId="0" applyNumberFormat="1" applyFont="1" applyFill="1" applyAlignment="1">
      <alignment horizontal="left"/>
    </xf>
    <xf numFmtId="37" fontId="138" fillId="32" borderId="0" xfId="0" applyNumberFormat="1" applyFont="1" applyFill="1" applyAlignment="1">
      <alignment horizontal="left"/>
    </xf>
    <xf numFmtId="37" fontId="136" fillId="32" borderId="0" xfId="0" applyNumberFormat="1" applyFont="1" applyFill="1" applyAlignment="1">
      <alignment horizontal="right"/>
    </xf>
    <xf numFmtId="37" fontId="138" fillId="32" borderId="0" xfId="0" applyNumberFormat="1" applyFont="1" applyFill="1"/>
    <xf numFmtId="41" fontId="135" fillId="38" borderId="0" xfId="0" applyNumberFormat="1" applyFont="1" applyFill="1" applyAlignment="1">
      <alignment horizontal="right"/>
    </xf>
    <xf numFmtId="164" fontId="138" fillId="38" borderId="0" xfId="0" applyNumberFormat="1" applyFont="1" applyFill="1" applyAlignment="1">
      <alignment horizontal="right"/>
    </xf>
    <xf numFmtId="0" fontId="55" fillId="0" borderId="33" xfId="0" applyFont="1" applyBorder="1" applyAlignment="1">
      <alignment horizontal="center" vertical="center"/>
    </xf>
    <xf numFmtId="0" fontId="89" fillId="6" borderId="34" xfId="0" applyFont="1" applyFill="1" applyBorder="1" applyAlignment="1">
      <alignment horizontal="center" vertical="center"/>
    </xf>
    <xf numFmtId="37" fontId="58" fillId="7" borderId="31" xfId="0" applyNumberFormat="1" applyFont="1" applyFill="1" applyBorder="1"/>
    <xf numFmtId="41" fontId="60" fillId="7" borderId="7" xfId="0" applyNumberFormat="1" applyFont="1" applyFill="1" applyBorder="1"/>
    <xf numFmtId="41" fontId="58" fillId="7" borderId="7" xfId="0" applyNumberFormat="1" applyFont="1" applyFill="1" applyBorder="1" applyAlignment="1">
      <alignment horizontal="right"/>
    </xf>
    <xf numFmtId="37" fontId="58" fillId="7" borderId="7" xfId="0" applyNumberFormat="1" applyFont="1" applyFill="1" applyBorder="1"/>
    <xf numFmtId="37" fontId="58" fillId="7" borderId="7" xfId="0" applyNumberFormat="1" applyFont="1" applyFill="1" applyBorder="1" applyAlignment="1">
      <alignment horizontal="left"/>
    </xf>
    <xf numFmtId="41" fontId="61" fillId="10" borderId="7" xfId="0" applyNumberFormat="1" applyFont="1" applyFill="1" applyBorder="1" applyAlignment="1">
      <alignment horizontal="left"/>
    </xf>
    <xf numFmtId="41" fontId="113" fillId="10" borderId="7" xfId="0" applyNumberFormat="1" applyFont="1" applyFill="1" applyBorder="1" applyAlignment="1">
      <alignment horizontal="left"/>
    </xf>
    <xf numFmtId="41" fontId="59" fillId="7" borderId="7" xfId="0" applyNumberFormat="1" applyFont="1" applyFill="1" applyBorder="1" applyAlignment="1">
      <alignment horizontal="right"/>
    </xf>
    <xf numFmtId="37" fontId="54" fillId="7" borderId="7" xfId="0" applyNumberFormat="1" applyFont="1" applyFill="1" applyBorder="1" applyAlignment="1">
      <alignment horizontal="right"/>
    </xf>
    <xf numFmtId="41" fontId="60" fillId="7" borderId="7" xfId="0" applyNumberFormat="1" applyFont="1" applyFill="1" applyBorder="1" applyAlignment="1">
      <alignment horizontal="right"/>
    </xf>
    <xf numFmtId="41" fontId="58" fillId="9" borderId="35" xfId="0" applyNumberFormat="1" applyFont="1" applyFill="1" applyBorder="1" applyAlignment="1">
      <alignment horizontal="right"/>
    </xf>
    <xf numFmtId="0" fontId="104" fillId="0" borderId="26" xfId="0" applyFont="1" applyBorder="1" applyAlignment="1">
      <alignment horizontal="left" vertical="top"/>
    </xf>
    <xf numFmtId="0" fontId="104" fillId="0" borderId="26" xfId="0" applyFont="1" applyBorder="1"/>
    <xf numFmtId="170" fontId="104" fillId="0" borderId="26" xfId="3" applyNumberFormat="1" applyFont="1" applyBorder="1"/>
    <xf numFmtId="0" fontId="133" fillId="32" borderId="0" xfId="8" applyFont="1" applyFill="1" applyAlignment="1">
      <alignment horizontal="center"/>
    </xf>
    <xf numFmtId="168" fontId="135" fillId="32" borderId="0" xfId="8" applyNumberFormat="1" applyFont="1" applyFill="1" applyAlignment="1">
      <alignment horizontal="center"/>
    </xf>
    <xf numFmtId="0" fontId="134" fillId="32" borderId="0" xfId="8" applyFont="1" applyFill="1"/>
    <xf numFmtId="41" fontId="141" fillId="32" borderId="0" xfId="8" applyNumberFormat="1" applyFont="1" applyFill="1"/>
    <xf numFmtId="41" fontId="134" fillId="32" borderId="0" xfId="8" applyNumberFormat="1" applyFont="1" applyFill="1"/>
    <xf numFmtId="41" fontId="142" fillId="32" borderId="0" xfId="8" applyNumberFormat="1" applyFont="1" applyFill="1"/>
    <xf numFmtId="172" fontId="141" fillId="32" borderId="0" xfId="8" applyNumberFormat="1" applyFont="1" applyFill="1" applyAlignment="1">
      <alignment horizontal="center" vertical="center"/>
    </xf>
    <xf numFmtId="41" fontId="60" fillId="10" borderId="32" xfId="0" applyNumberFormat="1" applyFont="1" applyFill="1" applyBorder="1" applyAlignment="1">
      <alignment horizontal="center" vertical="center"/>
    </xf>
    <xf numFmtId="0" fontId="2" fillId="0" borderId="0" xfId="8" applyAlignment="1">
      <alignment horizontal="right"/>
    </xf>
    <xf numFmtId="0" fontId="93" fillId="0" borderId="0" xfId="8" applyFont="1" applyAlignment="1">
      <alignment horizontal="center" vertical="center" wrapText="1"/>
    </xf>
    <xf numFmtId="0" fontId="94" fillId="0" borderId="0" xfId="8" applyFont="1" applyAlignment="1">
      <alignment horizontal="right"/>
    </xf>
    <xf numFmtId="0" fontId="54" fillId="0" borderId="0" xfId="4" applyFont="1" applyAlignment="1">
      <alignment horizontal="center"/>
    </xf>
    <xf numFmtId="0" fontId="0" fillId="0" borderId="0" xfId="0"/>
    <xf numFmtId="41" fontId="60" fillId="10" borderId="21" xfId="0" applyNumberFormat="1" applyFont="1" applyFill="1" applyBorder="1" applyAlignment="1">
      <alignment horizontal="center" vertical="center"/>
    </xf>
    <xf numFmtId="41" fontId="3" fillId="7" borderId="21" xfId="0" applyNumberFormat="1" applyFont="1" applyFill="1" applyBorder="1" applyAlignment="1">
      <alignment horizontal="right"/>
    </xf>
    <xf numFmtId="170" fontId="63" fillId="0" borderId="0" xfId="3" applyNumberFormat="1" applyFont="1" applyAlignment="1">
      <alignment horizontal="center"/>
    </xf>
    <xf numFmtId="41" fontId="60" fillId="10" borderId="32" xfId="0" applyNumberFormat="1" applyFont="1" applyFill="1" applyBorder="1" applyAlignment="1">
      <alignment horizontal="center" vertical="center"/>
    </xf>
    <xf numFmtId="0" fontId="116" fillId="0" borderId="0" xfId="0" applyFont="1" applyAlignment="1">
      <alignment horizontal="left" vertical="center" wrapText="1"/>
    </xf>
    <xf numFmtId="41" fontId="124" fillId="0" borderId="22" xfId="0" applyNumberFormat="1" applyFont="1" applyBorder="1" applyAlignment="1">
      <alignment horizontal="center" vertical="center"/>
    </xf>
    <xf numFmtId="41" fontId="126" fillId="0" borderId="22" xfId="0" applyNumberFormat="1" applyFont="1" applyBorder="1" applyAlignment="1">
      <alignment horizontal="center" vertical="center"/>
    </xf>
    <xf numFmtId="41" fontId="1" fillId="0" borderId="22" xfId="0" applyNumberFormat="1" applyFont="1" applyBorder="1" applyAlignment="1">
      <alignment horizontal="center" vertical="center"/>
    </xf>
    <xf numFmtId="0" fontId="115" fillId="0" borderId="0" xfId="0" applyFont="1" applyAlignment="1">
      <alignment horizontal="left" vertical="top" wrapText="1"/>
    </xf>
    <xf numFmtId="0" fontId="115" fillId="0" borderId="26" xfId="0" applyFont="1" applyBorder="1" applyAlignment="1">
      <alignment horizontal="left" vertical="top"/>
    </xf>
    <xf numFmtId="0" fontId="115" fillId="0" borderId="0" xfId="0" applyFont="1" applyAlignment="1">
      <alignment horizontal="left" vertical="top"/>
    </xf>
    <xf numFmtId="0" fontId="76" fillId="0" borderId="0" xfId="0" applyFont="1" applyAlignment="1">
      <alignment horizontal="center" vertical="center"/>
    </xf>
    <xf numFmtId="0" fontId="85" fillId="0" borderId="14" xfId="0" applyFont="1" applyBorder="1" applyAlignment="1">
      <alignment horizontal="left" vertical="top"/>
    </xf>
    <xf numFmtId="0" fontId="75" fillId="0" borderId="0" xfId="8" applyFont="1" applyAlignment="1">
      <alignment horizontal="right"/>
    </xf>
    <xf numFmtId="0" fontId="63" fillId="0" borderId="0" xfId="8" applyFont="1" applyAlignment="1">
      <alignment horizontal="right"/>
    </xf>
    <xf numFmtId="172" fontId="105" fillId="0" borderId="0" xfId="8" applyNumberFormat="1" applyFont="1" applyAlignment="1">
      <alignment horizontal="right"/>
    </xf>
    <xf numFmtId="0" fontId="105" fillId="0" borderId="0" xfId="8" applyFont="1" applyAlignment="1">
      <alignment horizontal="right"/>
    </xf>
    <xf numFmtId="0" fontId="54" fillId="0" borderId="0" xfId="7" applyFont="1" applyAlignment="1">
      <alignment horizontal="center"/>
    </xf>
    <xf numFmtId="0" fontId="96" fillId="0" borderId="0" xfId="8" applyFont="1" applyAlignment="1">
      <alignment horizontal="right"/>
    </xf>
    <xf numFmtId="0" fontId="2" fillId="0" borderId="0" xfId="8" applyAlignment="1">
      <alignment horizontal="right"/>
    </xf>
    <xf numFmtId="0" fontId="93" fillId="0" borderId="0" xfId="8" applyFont="1" applyAlignment="1">
      <alignment horizontal="center" vertical="center" wrapText="1"/>
    </xf>
    <xf numFmtId="0" fontId="94" fillId="0" borderId="0" xfId="8" applyFont="1" applyAlignment="1">
      <alignment horizontal="right"/>
    </xf>
    <xf numFmtId="0" fontId="95" fillId="0" borderId="0" xfId="8" applyFont="1" applyAlignment="1">
      <alignment horizontal="right"/>
    </xf>
    <xf numFmtId="0" fontId="90" fillId="0" borderId="0" xfId="4" applyFont="1" applyAlignment="1">
      <alignment horizontal="left" wrapText="1"/>
    </xf>
    <xf numFmtId="0" fontId="54" fillId="0" borderId="0" xfId="4" applyFont="1" applyAlignment="1">
      <alignment horizontal="center"/>
    </xf>
    <xf numFmtId="0" fontId="90" fillId="0" borderId="26" xfId="4" applyFont="1" applyBorder="1" applyAlignment="1">
      <alignment horizontal="left" wrapText="1"/>
    </xf>
    <xf numFmtId="0" fontId="90" fillId="0" borderId="0" xfId="4" applyFont="1" applyAlignment="1">
      <alignment horizontal="left" vertical="top" wrapText="1"/>
    </xf>
    <xf numFmtId="0" fontId="33" fillId="0" borderId="14"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9" xfId="0" applyFont="1" applyBorder="1" applyAlignment="1">
      <alignment horizontal="center" vertical="center" wrapText="1"/>
    </xf>
    <xf numFmtId="41" fontId="3" fillId="7" borderId="32" xfId="0" applyNumberFormat="1" applyFont="1" applyFill="1" applyBorder="1" applyAlignment="1">
      <alignment horizontal="center" vertical="center"/>
    </xf>
    <xf numFmtId="41" fontId="3" fillId="7" borderId="32" xfId="0" applyNumberFormat="1" applyFont="1" applyFill="1" applyBorder="1" applyAlignment="1">
      <alignment horizontal="center" vertical="center"/>
    </xf>
    <xf numFmtId="41" fontId="3" fillId="7" borderId="21" xfId="0" applyNumberFormat="1" applyFont="1" applyFill="1" applyBorder="1" applyAlignment="1">
      <alignment horizontal="center" vertical="center"/>
    </xf>
    <xf numFmtId="41" fontId="3" fillId="7" borderId="21" xfId="0" applyNumberFormat="1" applyFont="1" applyFill="1" applyBorder="1"/>
    <xf numFmtId="41" fontId="3" fillId="7" borderId="7" xfId="0" applyNumberFormat="1" applyFont="1" applyFill="1" applyBorder="1"/>
    <xf numFmtId="0" fontId="3" fillId="0" borderId="11" xfId="0" applyFont="1" applyBorder="1" applyAlignment="1">
      <alignment horizontal="right"/>
    </xf>
    <xf numFmtId="164" fontId="3" fillId="7" borderId="21" xfId="2" applyNumberFormat="1" applyFont="1" applyFill="1" applyBorder="1" applyAlignment="1">
      <alignment horizontal="right"/>
    </xf>
    <xf numFmtId="164" fontId="3" fillId="7" borderId="7" xfId="2" applyNumberFormat="1" applyFont="1" applyFill="1" applyBorder="1" applyAlignment="1">
      <alignment horizontal="right"/>
    </xf>
    <xf numFmtId="37" fontId="3" fillId="7" borderId="21" xfId="0" applyNumberFormat="1" applyFont="1" applyFill="1" applyBorder="1" applyAlignment="1">
      <alignment horizontal="right"/>
    </xf>
    <xf numFmtId="37" fontId="3" fillId="7" borderId="7" xfId="0" applyNumberFormat="1" applyFont="1" applyFill="1" applyBorder="1" applyAlignment="1">
      <alignment horizontal="right"/>
    </xf>
    <xf numFmtId="41" fontId="3" fillId="7" borderId="7" xfId="0" applyNumberFormat="1" applyFont="1" applyFill="1" applyBorder="1" applyAlignment="1">
      <alignment horizontal="right"/>
    </xf>
    <xf numFmtId="41" fontId="3" fillId="10" borderId="32" xfId="0" applyNumberFormat="1" applyFont="1" applyFill="1" applyBorder="1" applyAlignment="1">
      <alignment horizontal="center" vertical="center"/>
    </xf>
    <xf numFmtId="41" fontId="3" fillId="10" borderId="32" xfId="0" applyNumberFormat="1" applyFont="1" applyFill="1" applyBorder="1" applyAlignment="1">
      <alignment horizontal="center" vertical="center"/>
    </xf>
    <xf numFmtId="41" fontId="3" fillId="10" borderId="21" xfId="0" applyNumberFormat="1" applyFont="1" applyFill="1" applyBorder="1" applyAlignment="1">
      <alignment horizontal="center" vertical="center"/>
    </xf>
    <xf numFmtId="41" fontId="3" fillId="10" borderId="21" xfId="0" applyNumberFormat="1" applyFont="1" applyFill="1" applyBorder="1" applyAlignment="1">
      <alignment horizontal="right"/>
    </xf>
    <xf numFmtId="41" fontId="3" fillId="10" borderId="7" xfId="0" applyNumberFormat="1" applyFont="1" applyFill="1" applyBorder="1" applyAlignment="1">
      <alignment horizontal="right"/>
    </xf>
    <xf numFmtId="0" fontId="3" fillId="0" borderId="11" xfId="0" applyFont="1" applyBorder="1" applyAlignment="1">
      <alignment horizontal="left"/>
    </xf>
    <xf numFmtId="37" fontId="3" fillId="7" borderId="21" xfId="0" applyNumberFormat="1" applyFont="1" applyFill="1" applyBorder="1" applyAlignment="1">
      <alignment horizontal="left"/>
    </xf>
    <xf numFmtId="37" fontId="3" fillId="7" borderId="7" xfId="0" applyNumberFormat="1" applyFont="1" applyFill="1" applyBorder="1" applyAlignment="1">
      <alignment horizontal="left"/>
    </xf>
    <xf numFmtId="0" fontId="3" fillId="0" borderId="12" xfId="0" applyFont="1" applyBorder="1"/>
    <xf numFmtId="37" fontId="3" fillId="7" borderId="21" xfId="0" applyNumberFormat="1" applyFont="1" applyFill="1" applyBorder="1"/>
    <xf numFmtId="37" fontId="3" fillId="7" borderId="7" xfId="0" applyNumberFormat="1" applyFont="1" applyFill="1" applyBorder="1"/>
    <xf numFmtId="0" fontId="3" fillId="9" borderId="23" xfId="0" applyFont="1" applyFill="1" applyBorder="1" applyAlignment="1">
      <alignment horizontal="right"/>
    </xf>
    <xf numFmtId="164" fontId="3" fillId="9" borderId="23" xfId="0" applyNumberFormat="1" applyFont="1" applyFill="1" applyBorder="1" applyAlignment="1">
      <alignment horizontal="right"/>
    </xf>
    <xf numFmtId="164" fontId="3" fillId="9" borderId="36" xfId="0" applyNumberFormat="1" applyFont="1" applyFill="1" applyBorder="1" applyAlignment="1">
      <alignment horizontal="right"/>
    </xf>
    <xf numFmtId="0" fontId="3" fillId="11" borderId="23" xfId="0" applyFont="1" applyFill="1" applyBorder="1" applyAlignment="1">
      <alignment horizontal="right"/>
    </xf>
    <xf numFmtId="164" fontId="3" fillId="13" borderId="23" xfId="2" applyNumberFormat="1" applyFont="1" applyFill="1" applyBorder="1"/>
    <xf numFmtId="41" fontId="3" fillId="7" borderId="22" xfId="0" applyNumberFormat="1" applyFont="1" applyFill="1" applyBorder="1" applyAlignment="1">
      <alignment vertical="center"/>
    </xf>
    <xf numFmtId="41" fontId="3" fillId="7" borderId="22" xfId="0" applyNumberFormat="1" applyFont="1" applyFill="1" applyBorder="1" applyAlignment="1">
      <alignment horizontal="center" vertical="center"/>
    </xf>
    <xf numFmtId="41" fontId="3" fillId="7" borderId="22" xfId="0" applyNumberFormat="1" applyFont="1" applyFill="1" applyBorder="1" applyAlignment="1">
      <alignment horizontal="center" vertical="center"/>
    </xf>
    <xf numFmtId="0" fontId="3" fillId="8" borderId="22" xfId="0" applyFont="1" applyFill="1" applyBorder="1" applyAlignment="1">
      <alignment horizontal="left" indent="2"/>
    </xf>
    <xf numFmtId="41" fontId="3" fillId="8" borderId="22" xfId="0" applyNumberFormat="1" applyFont="1" applyFill="1" applyBorder="1" applyAlignment="1">
      <alignment horizontal="left" indent="1"/>
    </xf>
    <xf numFmtId="0" fontId="3" fillId="0" borderId="22" xfId="0" applyFont="1" applyBorder="1" applyAlignment="1">
      <alignment horizontal="left"/>
    </xf>
    <xf numFmtId="41" fontId="3" fillId="7" borderId="22" xfId="0" applyNumberFormat="1" applyFont="1" applyFill="1" applyBorder="1" applyAlignment="1">
      <alignment horizontal="left"/>
    </xf>
    <xf numFmtId="41" fontId="1" fillId="0" borderId="22" xfId="0" applyNumberFormat="1" applyFont="1" applyBorder="1"/>
    <xf numFmtId="41" fontId="1" fillId="16" borderId="22" xfId="0" applyNumberFormat="1" applyFont="1" applyFill="1" applyBorder="1"/>
    <xf numFmtId="41" fontId="3" fillId="0" borderId="22" xfId="0" applyNumberFormat="1" applyFont="1" applyBorder="1" applyAlignment="1">
      <alignment horizontal="center" vertical="center"/>
    </xf>
    <xf numFmtId="41" fontId="3" fillId="0" borderId="22" xfId="0" applyNumberFormat="1" applyFont="1" applyBorder="1" applyAlignment="1">
      <alignment horizontal="right"/>
    </xf>
    <xf numFmtId="0" fontId="3" fillId="0" borderId="22" xfId="0" applyFont="1" applyBorder="1"/>
    <xf numFmtId="41" fontId="3" fillId="8" borderId="22" xfId="0" applyNumberFormat="1" applyFont="1" applyFill="1" applyBorder="1"/>
    <xf numFmtId="164" fontId="3" fillId="7" borderId="11" xfId="6" applyNumberFormat="1" applyFont="1" applyFill="1" applyBorder="1" applyAlignment="1">
      <alignment horizontal="right"/>
    </xf>
    <xf numFmtId="164" fontId="3" fillId="7" borderId="29" xfId="6" applyNumberFormat="1" applyFont="1" applyFill="1" applyBorder="1" applyAlignment="1">
      <alignment horizontal="right"/>
    </xf>
    <xf numFmtId="0" fontId="5" fillId="0" borderId="7" xfId="0" applyFont="1" applyBorder="1"/>
    <xf numFmtId="37" fontId="5" fillId="4" borderId="11" xfId="0" applyNumberFormat="1" applyFont="1" applyFill="1" applyBorder="1"/>
    <xf numFmtId="37" fontId="5" fillId="0" borderId="11" xfId="0" applyNumberFormat="1" applyFont="1" applyBorder="1"/>
    <xf numFmtId="165" fontId="5" fillId="0" borderId="11" xfId="1" applyNumberFormat="1" applyFont="1" applyBorder="1" applyAlignment="1">
      <alignment horizontal="right"/>
    </xf>
    <xf numFmtId="0" fontId="5" fillId="0" borderId="11" xfId="0" applyFont="1" applyBorder="1"/>
    <xf numFmtId="41" fontId="5" fillId="0" borderId="11" xfId="0" applyNumberFormat="1" applyFont="1" applyBorder="1"/>
    <xf numFmtId="0" fontId="5" fillId="4" borderId="11" xfId="0" applyFont="1" applyFill="1" applyBorder="1"/>
    <xf numFmtId="164" fontId="5" fillId="4" borderId="11" xfId="0" applyNumberFormat="1" applyFont="1" applyFill="1" applyBorder="1"/>
    <xf numFmtId="164" fontId="5" fillId="0" borderId="11" xfId="0" applyNumberFormat="1" applyFont="1" applyBorder="1"/>
    <xf numFmtId="164" fontId="5" fillId="4" borderId="11" xfId="0" applyNumberFormat="1" applyFont="1" applyFill="1" applyBorder="1" applyAlignment="1">
      <alignment horizontal="right"/>
    </xf>
    <xf numFmtId="164" fontId="5" fillId="0" borderId="11" xfId="0" applyNumberFormat="1" applyFont="1" applyBorder="1" applyAlignment="1">
      <alignment horizontal="right"/>
    </xf>
    <xf numFmtId="164" fontId="5" fillId="0" borderId="11" xfId="2" applyNumberFormat="1" applyFont="1" applyBorder="1" applyAlignment="1">
      <alignment horizontal="right"/>
    </xf>
    <xf numFmtId="166" fontId="7" fillId="0" borderId="11" xfId="0" applyNumberFormat="1" applyFont="1" applyBorder="1"/>
    <xf numFmtId="166" fontId="7" fillId="0" borderId="7" xfId="0" applyNumberFormat="1" applyFont="1" applyBorder="1"/>
    <xf numFmtId="41" fontId="5" fillId="4" borderId="11" xfId="0" applyNumberFormat="1" applyFont="1" applyFill="1" applyBorder="1"/>
    <xf numFmtId="37" fontId="5" fillId="0" borderId="0" xfId="1" applyNumberFormat="1" applyFont="1" applyBorder="1" applyAlignment="1">
      <alignment horizontal="right"/>
    </xf>
    <xf numFmtId="37" fontId="5" fillId="0" borderId="11" xfId="1" applyNumberFormat="1" applyFont="1" applyBorder="1" applyAlignment="1">
      <alignment horizontal="right"/>
    </xf>
    <xf numFmtId="168" fontId="20" fillId="0" borderId="0" xfId="0" applyNumberFormat="1" applyFont="1" applyAlignment="1">
      <alignment horizontal="right"/>
    </xf>
    <xf numFmtId="0" fontId="5" fillId="0" borderId="0" xfId="0" applyFont="1" applyAlignment="1">
      <alignment horizontal="right"/>
    </xf>
    <xf numFmtId="37" fontId="5" fillId="5" borderId="11" xfId="0" applyNumberFormat="1" applyFont="1" applyFill="1" applyBorder="1"/>
    <xf numFmtId="0" fontId="5" fillId="5" borderId="0" xfId="0" applyFont="1" applyFill="1" applyAlignment="1">
      <alignment horizontal="right"/>
    </xf>
    <xf numFmtId="0" fontId="5" fillId="0" borderId="0" xfId="0" applyFont="1" applyAlignment="1">
      <alignment horizontal="left"/>
    </xf>
    <xf numFmtId="3" fontId="5" fillId="0" borderId="11" xfId="0" applyNumberFormat="1" applyFont="1" applyBorder="1"/>
    <xf numFmtId="37" fontId="5" fillId="0" borderId="7" xfId="0" applyNumberFormat="1" applyFont="1" applyBorder="1"/>
    <xf numFmtId="37" fontId="5" fillId="0" borderId="7" xfId="1" applyNumberFormat="1" applyFont="1" applyBorder="1" applyAlignment="1">
      <alignment horizontal="right"/>
    </xf>
    <xf numFmtId="0" fontId="0" fillId="0" borderId="0" xfId="0" applyAlignment="1"/>
    <xf numFmtId="0" fontId="5" fillId="0" borderId="7" xfId="0" applyFont="1" applyBorder="1" applyAlignment="1">
      <alignment horizontal="left"/>
    </xf>
    <xf numFmtId="41" fontId="5" fillId="0" borderId="11" xfId="1" applyNumberFormat="1" applyFont="1" applyBorder="1" applyAlignment="1">
      <alignment horizontal="right"/>
    </xf>
    <xf numFmtId="0" fontId="5" fillId="4" borderId="4" xfId="0" applyFont="1" applyFill="1" applyBorder="1" applyAlignment="1">
      <alignment horizontal="left"/>
    </xf>
    <xf numFmtId="0" fontId="5" fillId="4" borderId="14" xfId="0" applyFont="1" applyFill="1" applyBorder="1" applyAlignment="1">
      <alignment horizontal="left"/>
    </xf>
    <xf numFmtId="0" fontId="5" fillId="4" borderId="5" xfId="0" applyFont="1" applyFill="1" applyBorder="1" applyAlignment="1">
      <alignment horizontal="left"/>
    </xf>
    <xf numFmtId="0" fontId="5" fillId="4" borderId="6" xfId="0" applyFont="1" applyFill="1" applyBorder="1" applyAlignment="1">
      <alignment horizontal="left"/>
    </xf>
    <xf numFmtId="0" fontId="5" fillId="4" borderId="0" xfId="0" applyFont="1" applyFill="1" applyAlignment="1">
      <alignment horizontal="left"/>
    </xf>
    <xf numFmtId="0" fontId="5" fillId="4" borderId="7" xfId="0" applyFont="1" applyFill="1" applyBorder="1" applyAlignment="1">
      <alignment horizontal="left"/>
    </xf>
    <xf numFmtId="37" fontId="5" fillId="4" borderId="6" xfId="1" applyNumberFormat="1" applyFont="1" applyFill="1" applyBorder="1" applyAlignment="1">
      <alignment horizontal="left"/>
    </xf>
    <xf numFmtId="37" fontId="5" fillId="0" borderId="11" xfId="0" applyNumberFormat="1" applyFont="1" applyBorder="1" applyAlignment="1">
      <alignment horizontal="right"/>
    </xf>
    <xf numFmtId="0" fontId="5" fillId="4" borderId="16" xfId="0" applyFont="1" applyFill="1" applyBorder="1" applyAlignment="1">
      <alignment horizontal="left"/>
    </xf>
    <xf numFmtId="0" fontId="5" fillId="4" borderId="9" xfId="0" applyFont="1" applyFill="1" applyBorder="1" applyAlignment="1">
      <alignment horizontal="left"/>
    </xf>
    <xf numFmtId="0" fontId="5" fillId="4" borderId="6" xfId="0" applyFont="1" applyFill="1" applyBorder="1" applyAlignment="1">
      <alignment vertical="center"/>
    </xf>
    <xf numFmtId="0" fontId="5" fillId="4" borderId="7" xfId="0" applyFont="1" applyFill="1" applyBorder="1"/>
    <xf numFmtId="0" fontId="5" fillId="4" borderId="9" xfId="0" applyFont="1" applyFill="1" applyBorder="1"/>
  </cellXfs>
  <cellStyles count="10">
    <cellStyle name="Comma" xfId="1" builtinId="3"/>
    <cellStyle name="Currency" xfId="3" builtinId="4"/>
    <cellStyle name="Currency 2" xfId="5" xr:uid="{58D08C7D-CBE4-47C2-8E03-194E539D1541}"/>
    <cellStyle name="Currency 3" xfId="9" xr:uid="{D04DE6CF-17EA-4489-BAD8-3B1F9BEA633A}"/>
    <cellStyle name="Normal" xfId="0" builtinId="0"/>
    <cellStyle name="Normal 2" xfId="4" xr:uid="{F5E53567-487A-494C-BF0A-6C8503BDF01C}"/>
    <cellStyle name="Normal 2 2" xfId="7" xr:uid="{6E943987-62AB-43B7-96A3-B811DFBCA558}"/>
    <cellStyle name="Normal 3" xfId="8" xr:uid="{A0DEDD5C-E379-4F7B-AF25-B6DCDA05D3F8}"/>
    <cellStyle name="Percent" xfId="2" builtinId="5"/>
    <cellStyle name="Percent 2" xfId="6" xr:uid="{04026B39-CF35-4838-A48C-0A55EE298A45}"/>
  </cellStyles>
  <dxfs count="6">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006600"/>
      <color rgb="FFCAF2CE"/>
      <color rgb="FFAFEBB5"/>
      <color rgb="FF91E399"/>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171450</xdr:colOff>
      <xdr:row>29</xdr:row>
      <xdr:rowOff>139700</xdr:rowOff>
    </xdr:to>
    <xdr:pic>
      <xdr:nvPicPr>
        <xdr:cNvPr id="5" name="Picture 4">
          <a:extLst>
            <a:ext uri="{FF2B5EF4-FFF2-40B4-BE49-F238E27FC236}">
              <a16:creationId xmlns:a16="http://schemas.microsoft.com/office/drawing/2014/main" id="{04A4A8C8-9B1D-4C95-8C72-A85AF3B361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829050" cy="4743450"/>
        </a:xfrm>
        <a:prstGeom prst="rect">
          <a:avLst/>
        </a:prstGeom>
      </xdr:spPr>
    </xdr:pic>
    <xdr:clientData/>
  </xdr:twoCellAnchor>
  <xdr:twoCellAnchor editAs="oneCell">
    <xdr:from>
      <xdr:col>0</xdr:col>
      <xdr:colOff>0</xdr:colOff>
      <xdr:row>31</xdr:row>
      <xdr:rowOff>0</xdr:rowOff>
    </xdr:from>
    <xdr:to>
      <xdr:col>6</xdr:col>
      <xdr:colOff>171450</xdr:colOff>
      <xdr:row>48</xdr:row>
      <xdr:rowOff>88900</xdr:rowOff>
    </xdr:to>
    <xdr:pic>
      <xdr:nvPicPr>
        <xdr:cNvPr id="7" name="Picture 6">
          <a:extLst>
            <a:ext uri="{FF2B5EF4-FFF2-40B4-BE49-F238E27FC236}">
              <a16:creationId xmlns:a16="http://schemas.microsoft.com/office/drawing/2014/main" id="{649CB0D2-72A1-4224-8C0B-67E95B521C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4800600"/>
          <a:ext cx="3829050" cy="2787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rgon\Downloads\Financial_Statements_March_2026.xlsx" TargetMode="External"/><Relationship Id="rId1" Type="http://schemas.openxmlformats.org/officeDocument/2006/relationships/externalLinkPath" Target="file:///C:\Users\crgon\Downloads\Financial_Statements_March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amp;A Expenses"/>
      <sheetName val="COGS Manufactured"/>
    </sheetNames>
    <sheetDataSet>
      <sheetData sheetId="0">
        <row r="1">
          <cell r="A1" t="str">
            <v>GENERAL AND ADMINISTRATIVE EXPENSES</v>
          </cell>
        </row>
        <row r="2">
          <cell r="A2" t="str">
            <v>MARCH 31, 2026</v>
          </cell>
        </row>
        <row r="4">
          <cell r="D4" t="str">
            <v>YEAR TO DATE</v>
          </cell>
        </row>
        <row r="5">
          <cell r="A5" t="str">
            <v>Category</v>
          </cell>
          <cell r="D5" t="str">
            <v>Amount</v>
          </cell>
        </row>
        <row r="6">
          <cell r="A6" t="str">
            <v>ADVERTISING</v>
          </cell>
          <cell r="D6">
            <v>515</v>
          </cell>
        </row>
        <row r="7">
          <cell r="A7" t="str">
            <v>BAD DEBTS</v>
          </cell>
          <cell r="D7">
            <v>0</v>
          </cell>
        </row>
        <row r="8">
          <cell r="A8" t="str">
            <v>BANK CHARGES</v>
          </cell>
          <cell r="D8">
            <v>9018</v>
          </cell>
        </row>
        <row r="9">
          <cell r="A9" t="str">
            <v>PAYROLL CHARGES</v>
          </cell>
          <cell r="D9">
            <v>4548</v>
          </cell>
        </row>
        <row r="10">
          <cell r="A10" t="str">
            <v>RENT-ADMINISTRATIVE</v>
          </cell>
          <cell r="D10">
            <v>0</v>
          </cell>
        </row>
        <row r="11">
          <cell r="A11" t="str">
            <v>CARETAKING SUPPLIES</v>
          </cell>
          <cell r="D11">
            <v>7958</v>
          </cell>
        </row>
        <row r="12">
          <cell r="A12" t="str">
            <v>COLLECTION</v>
          </cell>
          <cell r="D12">
            <v>0</v>
          </cell>
        </row>
        <row r="13">
          <cell r="A13" t="str">
            <v>DEPRECIATION COMPUTER</v>
          </cell>
          <cell r="D13">
            <v>1876</v>
          </cell>
        </row>
        <row r="14">
          <cell r="A14" t="str">
            <v>DEPRECIATION FURN &amp; FIX</v>
          </cell>
          <cell r="D14">
            <v>0</v>
          </cell>
        </row>
        <row r="15">
          <cell r="A15" t="str">
            <v>DEPRECIATION LEASEHOLD</v>
          </cell>
          <cell r="D15">
            <v>10896</v>
          </cell>
        </row>
        <row r="16">
          <cell r="A16" t="str">
            <v>DEPRECIATION BUILDING</v>
          </cell>
          <cell r="D16">
            <v>3124</v>
          </cell>
        </row>
        <row r="17">
          <cell r="A17" t="str">
            <v>DUES &amp; SUBSCRIPTIONS</v>
          </cell>
          <cell r="D17">
            <v>0</v>
          </cell>
        </row>
        <row r="18">
          <cell r="A18" t="str">
            <v>DONATIONS</v>
          </cell>
          <cell r="D18">
            <v>0</v>
          </cell>
        </row>
        <row r="19">
          <cell r="A19" t="str">
            <v>401K MATCH</v>
          </cell>
          <cell r="D19">
            <v>5891</v>
          </cell>
        </row>
        <row r="20">
          <cell r="A20" t="str">
            <v>INSURANCE-HEALTH</v>
          </cell>
          <cell r="D20">
            <v>24134</v>
          </cell>
        </row>
        <row r="21">
          <cell r="A21" t="str">
            <v>INSURANCE-KEYMAN</v>
          </cell>
          <cell r="D21">
            <v>3081</v>
          </cell>
        </row>
        <row r="22">
          <cell r="A22" t="str">
            <v>LEGAL &amp; PROFESSIONAL</v>
          </cell>
          <cell r="D22">
            <v>40405</v>
          </cell>
        </row>
        <row r="23">
          <cell r="A23" t="str">
            <v>OFFICE SUPPLIES</v>
          </cell>
          <cell r="D23">
            <v>4126</v>
          </cell>
        </row>
        <row r="24">
          <cell r="A24" t="str">
            <v>POSTAGE</v>
          </cell>
          <cell r="D24">
            <v>1074</v>
          </cell>
        </row>
        <row r="25">
          <cell r="A25" t="str">
            <v>REPAIRS &amp; MAINTENANCE</v>
          </cell>
          <cell r="D25">
            <v>6611</v>
          </cell>
        </row>
        <row r="26">
          <cell r="A26" t="str">
            <v>SELLING EXPENSE</v>
          </cell>
          <cell r="D26">
            <v>552</v>
          </cell>
        </row>
        <row r="27">
          <cell r="A27" t="str">
            <v>EMPLOYEE BONUS</v>
          </cell>
          <cell r="D27">
            <v>34120</v>
          </cell>
        </row>
        <row r="28">
          <cell r="A28" t="str">
            <v>EMPLOYEE RELATIONS</v>
          </cell>
          <cell r="D28">
            <v>6925</v>
          </cell>
        </row>
        <row r="29">
          <cell r="A29" t="str">
            <v>SALARIES - ADMIN.</v>
          </cell>
          <cell r="D29">
            <v>32519</v>
          </cell>
        </row>
        <row r="30">
          <cell r="A30" t="str">
            <v>SALARIES -SALES SERVICE</v>
          </cell>
          <cell r="D30">
            <v>74126</v>
          </cell>
        </row>
        <row r="31">
          <cell r="A31" t="str">
            <v>SALARIES -OUTSIDE SALES</v>
          </cell>
          <cell r="D31">
            <v>30702</v>
          </cell>
        </row>
        <row r="32">
          <cell r="A32" t="str">
            <v>TAXES - PAYROLL</v>
          </cell>
          <cell r="D32">
            <v>10530</v>
          </cell>
        </row>
        <row r="33">
          <cell r="A33" t="str">
            <v>TELEPHONE</v>
          </cell>
          <cell r="D33">
            <v>2173</v>
          </cell>
        </row>
        <row r="34">
          <cell r="A34" t="str">
            <v>INTERNET</v>
          </cell>
          <cell r="D34">
            <v>5315</v>
          </cell>
        </row>
        <row r="35">
          <cell r="A35" t="str">
            <v>TRAINING &amp; EDUCATION</v>
          </cell>
          <cell r="D35">
            <v>1000</v>
          </cell>
        </row>
        <row r="36">
          <cell r="A36" t="str">
            <v>TRAVEL</v>
          </cell>
          <cell r="D36">
            <v>4085</v>
          </cell>
        </row>
        <row r="37">
          <cell r="A37" t="str">
            <v>MEALS &amp; ENTERTAINMENT</v>
          </cell>
          <cell r="D37">
            <v>1123</v>
          </cell>
        </row>
        <row r="38">
          <cell r="A38" t="str">
            <v>TOTAL GENERAL &amp; ADMINISTRATIVE</v>
          </cell>
          <cell r="D38">
            <v>326440</v>
          </cell>
        </row>
      </sheetData>
      <sheetData sheetId="1">
        <row r="1">
          <cell r="A1" t="str">
            <v>COST OF GOODS MANUFACTURED</v>
          </cell>
        </row>
        <row r="2">
          <cell r="A2" t="str">
            <v>MARCH 31, 2026</v>
          </cell>
        </row>
        <row r="4">
          <cell r="D4" t="str">
            <v>YEAR TO DATE</v>
          </cell>
        </row>
        <row r="5">
          <cell r="A5" t="str">
            <v>Category</v>
          </cell>
          <cell r="D5" t="str">
            <v>Amount</v>
          </cell>
        </row>
        <row r="6">
          <cell r="A6" t="str">
            <v>DIRECT MATERIALS</v>
          </cell>
        </row>
        <row r="7">
          <cell r="A7" t="str">
            <v>PAPER</v>
          </cell>
          <cell r="D7">
            <v>775969</v>
          </cell>
        </row>
        <row r="8">
          <cell r="A8" t="str">
            <v>CARBON</v>
          </cell>
          <cell r="D8">
            <v>1146</v>
          </cell>
        </row>
        <row r="9">
          <cell r="A9" t="str">
            <v>CARTONS</v>
          </cell>
          <cell r="D9">
            <v>39519</v>
          </cell>
        </row>
        <row r="10">
          <cell r="A10" t="str">
            <v>INK</v>
          </cell>
          <cell r="D10">
            <v>21070</v>
          </cell>
        </row>
        <row r="11">
          <cell r="A11" t="str">
            <v>MATERIALS &amp; SUPPLIES</v>
          </cell>
          <cell r="D11">
            <v>44922</v>
          </cell>
        </row>
        <row r="12">
          <cell r="A12" t="str">
            <v>LABEL MATERIALS</v>
          </cell>
          <cell r="D12">
            <v>40888</v>
          </cell>
        </row>
        <row r="13">
          <cell r="A13" t="str">
            <v>INTEGRATED MATERIALS</v>
          </cell>
          <cell r="D13">
            <v>14871</v>
          </cell>
        </row>
        <row r="14">
          <cell r="A14" t="str">
            <v>PLATES &amp; NEGATIVES</v>
          </cell>
          <cell r="D14">
            <v>33591</v>
          </cell>
        </row>
        <row r="15">
          <cell r="A15" t="str">
            <v>TOTAL DIRECT MATERIALS</v>
          </cell>
          <cell r="D15">
            <v>971978</v>
          </cell>
        </row>
        <row r="16">
          <cell r="A16" t="str">
            <v>LABOR</v>
          </cell>
        </row>
        <row r="17">
          <cell r="A17" t="str">
            <v>DIRECT LABOR WAGES</v>
          </cell>
          <cell r="D17">
            <v>336673</v>
          </cell>
        </row>
        <row r="18">
          <cell r="A18" t="str">
            <v>INDIRECT LABOR WAGES</v>
          </cell>
          <cell r="D18">
            <v>141835</v>
          </cell>
        </row>
        <row r="19">
          <cell r="A19" t="str">
            <v>SUPERVISOR'S SALARIES</v>
          </cell>
          <cell r="D19">
            <v>-8721</v>
          </cell>
        </row>
        <row r="20">
          <cell r="A20" t="str">
            <v>TOTAL LABOR</v>
          </cell>
          <cell r="D20">
            <v>469786</v>
          </cell>
        </row>
        <row r="21">
          <cell r="A21" t="str">
            <v>FACTORY OVERHEAD</v>
          </cell>
        </row>
        <row r="22">
          <cell r="A22" t="str">
            <v>DEPRECIATION EQUIPMENT</v>
          </cell>
          <cell r="D22">
            <v>36301</v>
          </cell>
        </row>
        <row r="23">
          <cell r="A23" t="str">
            <v>DEPRECIATION TRUCKS</v>
          </cell>
          <cell r="D23">
            <v>1096</v>
          </cell>
        </row>
        <row r="24">
          <cell r="A24" t="str">
            <v>CARETAKING PRODUCTION</v>
          </cell>
          <cell r="D24">
            <v>3447</v>
          </cell>
        </row>
        <row r="25">
          <cell r="A25" t="str">
            <v>INSURANCE-HEALTH</v>
          </cell>
          <cell r="D25">
            <v>113791</v>
          </cell>
        </row>
        <row r="26">
          <cell r="A26" t="str">
            <v>TAXES-PAYROLL</v>
          </cell>
          <cell r="D26">
            <v>53186</v>
          </cell>
        </row>
        <row r="27">
          <cell r="A27" t="str">
            <v>401K MATCH</v>
          </cell>
          <cell r="D27">
            <v>12212</v>
          </cell>
        </row>
        <row r="28">
          <cell r="A28" t="str">
            <v>INSURANCE-GENERAL</v>
          </cell>
          <cell r="D28">
            <v>15203</v>
          </cell>
        </row>
        <row r="29">
          <cell r="A29" t="str">
            <v>TAXES-GENERAL</v>
          </cell>
          <cell r="D29">
            <v>12258</v>
          </cell>
        </row>
        <row r="30">
          <cell r="A30" t="str">
            <v>TRAINING &amp; EDUCATION</v>
          </cell>
          <cell r="D30">
            <v>55</v>
          </cell>
        </row>
        <row r="31">
          <cell r="A31" t="str">
            <v>RENT</v>
          </cell>
          <cell r="D31">
            <v>31500</v>
          </cell>
        </row>
        <row r="32">
          <cell r="A32" t="str">
            <v>REPAIRS &amp; MAINTENANCE</v>
          </cell>
          <cell r="D32">
            <v>59118</v>
          </cell>
        </row>
        <row r="33">
          <cell r="A33" t="str">
            <v>TRUCK EXPENSES</v>
          </cell>
          <cell r="D33">
            <v>2422</v>
          </cell>
        </row>
        <row r="34">
          <cell r="A34" t="str">
            <v>UTILITIES</v>
          </cell>
          <cell r="D34">
            <v>80786</v>
          </cell>
        </row>
        <row r="35">
          <cell r="A35" t="str">
            <v>FREIGHT IN PRICE EXPENSES</v>
          </cell>
          <cell r="D35">
            <v>12913</v>
          </cell>
        </row>
        <row r="36">
          <cell r="A36" t="str">
            <v>TOTAL FACTORY OVERHEAD</v>
          </cell>
          <cell r="D36">
            <v>434293</v>
          </cell>
        </row>
        <row r="38">
          <cell r="A38" t="str">
            <v>TOTAL MANUFACTURING COST INCURRED</v>
          </cell>
          <cell r="D38">
            <v>1876058</v>
          </cell>
        </row>
        <row r="39">
          <cell r="A39" t="str">
            <v>PRODUCTION</v>
          </cell>
          <cell r="D39">
            <v>2433361</v>
          </cell>
        </row>
        <row r="40">
          <cell r="A40" t="str">
            <v>GROSS MARGIN</v>
          </cell>
          <cell r="D40">
            <v>557302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DB579-8172-4F12-8757-8A0F9E4E869C}">
  <sheetPr codeName="Sheet2">
    <tabColor rgb="FF00B050"/>
  </sheetPr>
  <dimension ref="B1:V80"/>
  <sheetViews>
    <sheetView tabSelected="1" zoomScale="85" zoomScaleNormal="85" workbookViewId="0">
      <selection activeCell="A39" sqref="A39"/>
    </sheetView>
  </sheetViews>
  <sheetFormatPr defaultRowHeight="12.75"/>
  <cols>
    <col min="1" max="1" width="0.85546875" customWidth="1"/>
    <col min="2" max="2" width="41.28515625" customWidth="1"/>
    <col min="3" max="3" width="12.5703125" bestFit="1" customWidth="1"/>
    <col min="4" max="4" width="12.5703125" customWidth="1"/>
    <col min="5" max="5" width="12.140625" bestFit="1" customWidth="1"/>
    <col min="6" max="6" width="12.140625" customWidth="1"/>
    <col min="7" max="7" width="12.140625" bestFit="1" customWidth="1"/>
    <col min="8" max="8" width="12.140625" customWidth="1"/>
    <col min="9" max="9" width="12.140625" bestFit="1" customWidth="1"/>
    <col min="10" max="10" width="12.5703125" hidden="1" customWidth="1"/>
    <col min="11" max="11" width="12.7109375" hidden="1" customWidth="1"/>
    <col min="12" max="12" width="12.140625" style="210" bestFit="1" customWidth="1"/>
    <col min="13" max="13" width="13.42578125" style="210" bestFit="1" customWidth="1"/>
    <col min="14" max="16" width="13" hidden="1" customWidth="1"/>
    <col min="18" max="18" width="9.7109375" bestFit="1" customWidth="1"/>
    <col min="21" max="21" width="11.28515625" bestFit="1" customWidth="1"/>
  </cols>
  <sheetData>
    <row r="1" spans="2:16" ht="4.5" customHeight="1">
      <c r="B1" s="556"/>
      <c r="C1" s="556"/>
      <c r="D1" s="556"/>
      <c r="E1" s="556"/>
      <c r="F1" s="556"/>
      <c r="G1" s="556"/>
      <c r="H1" s="556"/>
      <c r="I1" s="556"/>
      <c r="J1" s="556"/>
      <c r="K1" s="556"/>
      <c r="N1" s="556"/>
      <c r="O1" s="556"/>
      <c r="P1" s="556"/>
    </row>
    <row r="2" spans="2:16" ht="15.75">
      <c r="B2" s="230" t="s">
        <v>0</v>
      </c>
      <c r="C2" s="559" t="s">
        <v>1</v>
      </c>
      <c r="D2" s="559"/>
      <c r="E2" s="559"/>
      <c r="F2" s="559"/>
      <c r="G2" s="559"/>
      <c r="H2" s="559"/>
      <c r="I2" s="559"/>
      <c r="J2" s="559"/>
      <c r="K2" s="559"/>
      <c r="L2" s="559"/>
      <c r="M2" s="559"/>
      <c r="N2" s="559"/>
      <c r="O2" s="559"/>
      <c r="P2" s="559"/>
    </row>
    <row r="3" spans="2:16" ht="15.75">
      <c r="B3" s="230" t="s">
        <v>2</v>
      </c>
      <c r="C3" s="559" t="s">
        <v>3</v>
      </c>
      <c r="D3" s="559"/>
      <c r="E3" s="559"/>
      <c r="F3" s="559"/>
      <c r="G3" s="559"/>
      <c r="H3" s="559"/>
      <c r="I3" s="559"/>
      <c r="J3" s="559"/>
      <c r="K3" s="559"/>
      <c r="L3" s="559"/>
      <c r="M3" s="559"/>
      <c r="N3" s="559"/>
      <c r="O3" s="559"/>
      <c r="P3" s="559"/>
    </row>
    <row r="4" spans="2:16" ht="15.75">
      <c r="B4" s="556"/>
      <c r="C4" s="559" t="s">
        <v>4</v>
      </c>
      <c r="D4" s="559"/>
      <c r="E4" s="559"/>
      <c r="F4" s="559"/>
      <c r="G4" s="559"/>
      <c r="H4" s="559"/>
      <c r="I4" s="559"/>
      <c r="J4" s="559"/>
      <c r="K4" s="559"/>
      <c r="L4" s="559"/>
      <c r="M4" s="559"/>
      <c r="N4" s="559"/>
      <c r="O4" s="559"/>
      <c r="P4" s="559"/>
    </row>
    <row r="5" spans="2:16" ht="4.5" customHeight="1" thickBot="1">
      <c r="B5" s="556"/>
      <c r="C5" s="556"/>
      <c r="D5" s="556"/>
      <c r="E5" s="556"/>
      <c r="F5" s="556"/>
      <c r="G5" s="556"/>
      <c r="H5" s="556"/>
      <c r="I5" s="556"/>
      <c r="J5" s="556"/>
      <c r="K5" s="556"/>
      <c r="L5" s="556"/>
      <c r="N5" s="556"/>
      <c r="O5" s="556"/>
      <c r="P5" s="556"/>
    </row>
    <row r="6" spans="2:16" ht="15.75" thickBot="1">
      <c r="B6" s="556"/>
      <c r="C6" s="213" t="s">
        <v>5</v>
      </c>
      <c r="D6" s="213" t="s">
        <v>6</v>
      </c>
      <c r="E6" s="213" t="s">
        <v>5</v>
      </c>
      <c r="F6" s="213" t="s">
        <v>6</v>
      </c>
      <c r="G6" s="213" t="s">
        <v>5</v>
      </c>
      <c r="H6" s="213" t="s">
        <v>6</v>
      </c>
      <c r="I6" s="213" t="s">
        <v>7</v>
      </c>
      <c r="J6" s="213" t="s">
        <v>5</v>
      </c>
      <c r="K6" s="213" t="s">
        <v>5</v>
      </c>
      <c r="L6" s="213" t="s">
        <v>7</v>
      </c>
      <c r="M6" s="528" t="s">
        <v>7</v>
      </c>
      <c r="N6" s="482" t="s">
        <v>7</v>
      </c>
      <c r="O6" s="482" t="s">
        <v>7</v>
      </c>
      <c r="P6" s="482" t="s">
        <v>7</v>
      </c>
    </row>
    <row r="7" spans="2:16" ht="21.75" thickBot="1">
      <c r="B7" s="214" t="s">
        <v>8</v>
      </c>
      <c r="C7" s="368" t="s">
        <v>9</v>
      </c>
      <c r="D7" s="368" t="s">
        <v>9</v>
      </c>
      <c r="E7" s="368" t="s">
        <v>10</v>
      </c>
      <c r="F7" s="368" t="s">
        <v>10</v>
      </c>
      <c r="G7" s="368" t="s">
        <v>11</v>
      </c>
      <c r="H7" s="368" t="s">
        <v>11</v>
      </c>
      <c r="I7" s="481" t="s">
        <v>12</v>
      </c>
      <c r="J7" s="368" t="s">
        <v>13</v>
      </c>
      <c r="K7" s="368" t="s">
        <v>14</v>
      </c>
      <c r="L7" s="481" t="s">
        <v>15</v>
      </c>
      <c r="M7" s="529" t="s">
        <v>16</v>
      </c>
      <c r="N7" s="516" t="s">
        <v>17</v>
      </c>
      <c r="O7" s="516" t="s">
        <v>18</v>
      </c>
      <c r="P7" s="516" t="s">
        <v>19</v>
      </c>
    </row>
    <row r="8" spans="2:16" ht="15.75">
      <c r="B8" s="215" t="s">
        <v>20</v>
      </c>
      <c r="C8" s="216"/>
      <c r="D8" s="216"/>
      <c r="E8" s="216"/>
      <c r="F8" s="216"/>
      <c r="G8" s="216"/>
      <c r="H8" s="216"/>
      <c r="I8" s="216"/>
      <c r="J8" s="216"/>
      <c r="K8" s="216"/>
      <c r="L8" s="216"/>
      <c r="M8" s="530"/>
      <c r="N8" s="517"/>
      <c r="O8" s="517"/>
      <c r="P8" s="517"/>
    </row>
    <row r="9" spans="2:16" ht="15.75">
      <c r="B9" s="441" t="s">
        <v>21</v>
      </c>
      <c r="C9" s="588">
        <f>'2024&amp;2023'!C3</f>
        <v>4695188</v>
      </c>
      <c r="D9" s="589">
        <f>+F9+H9</f>
        <v>4695187</v>
      </c>
      <c r="E9" s="588">
        <f>C9-G9</f>
        <v>2315210</v>
      </c>
      <c r="F9" s="589">
        <f>4695187-H9</f>
        <v>2315209</v>
      </c>
      <c r="G9" s="588">
        <f>'2024&amp;2023'!D3</f>
        <v>2379978</v>
      </c>
      <c r="H9" s="590">
        <v>2379978</v>
      </c>
      <c r="I9" s="591">
        <f>'2024&amp;2023'!E3</f>
        <v>8533432</v>
      </c>
      <c r="J9" s="588">
        <f>'2024&amp;2023'!F3</f>
        <v>4406436</v>
      </c>
      <c r="K9" s="588">
        <f>'2024&amp;2023'!G3</f>
        <v>4464702</v>
      </c>
      <c r="L9" s="591">
        <f>'2024&amp;2023'!H3</f>
        <v>8855077</v>
      </c>
      <c r="M9" s="592">
        <f>'2024&amp;2023'!I3</f>
        <v>10655460</v>
      </c>
      <c r="N9" s="517"/>
      <c r="O9" s="517"/>
      <c r="P9" s="517"/>
    </row>
    <row r="10" spans="2:16" ht="15.75">
      <c r="B10" s="441" t="s">
        <v>22</v>
      </c>
      <c r="C10" s="588"/>
      <c r="D10" s="589"/>
      <c r="E10" s="588"/>
      <c r="F10" s="589"/>
      <c r="G10" s="588"/>
      <c r="H10" s="590"/>
      <c r="I10" s="591">
        <f>'2024&amp;2023'!E4</f>
        <v>347072</v>
      </c>
      <c r="J10" s="588"/>
      <c r="K10" s="588"/>
      <c r="L10" s="591">
        <f>'2024&amp;2023'!H4</f>
        <v>370068</v>
      </c>
      <c r="M10" s="592">
        <f>'2024&amp;2023'!I4</f>
        <v>264960</v>
      </c>
      <c r="N10" s="517"/>
      <c r="O10" s="517"/>
      <c r="P10" s="517"/>
    </row>
    <row r="11" spans="2:16" ht="18">
      <c r="B11" s="441" t="s">
        <v>23</v>
      </c>
      <c r="C11" s="221">
        <f>'2024&amp;2023'!C5</f>
        <v>80502</v>
      </c>
      <c r="D11" s="221">
        <f>+F11+H11</f>
        <v>80502</v>
      </c>
      <c r="E11" s="221">
        <f>C11-G11</f>
        <v>50798</v>
      </c>
      <c r="F11" s="221">
        <f>63892+16610-29704</f>
        <v>50798</v>
      </c>
      <c r="G11" s="221">
        <f>'2024&amp;2023'!D5</f>
        <v>29704</v>
      </c>
      <c r="H11" s="221">
        <f>27819+1885</f>
        <v>29704</v>
      </c>
      <c r="I11" s="221">
        <f>'2024&amp;2023'!E5</f>
        <v>125545</v>
      </c>
      <c r="J11" s="221">
        <f>'2024&amp;2023'!F5</f>
        <v>72205</v>
      </c>
      <c r="K11" s="221">
        <f>'2024&amp;2023'!G5</f>
        <v>72457</v>
      </c>
      <c r="L11" s="221">
        <f>'2024&amp;2023'!H5</f>
        <v>126021</v>
      </c>
      <c r="M11" s="531">
        <f>'2024&amp;2023'!I5</f>
        <v>206685</v>
      </c>
      <c r="N11" s="517"/>
      <c r="O11" s="517"/>
      <c r="P11" s="517"/>
    </row>
    <row r="12" spans="2:16" ht="15.75">
      <c r="B12" s="217" t="s">
        <v>24</v>
      </c>
      <c r="C12" s="218">
        <f t="shared" ref="C12:M12" si="0">SUM(C9:C11)</f>
        <v>4775690</v>
      </c>
      <c r="D12" s="218">
        <f t="shared" si="0"/>
        <v>4775689</v>
      </c>
      <c r="E12" s="218">
        <f t="shared" si="0"/>
        <v>2366008</v>
      </c>
      <c r="F12" s="218">
        <f t="shared" si="0"/>
        <v>2366007</v>
      </c>
      <c r="G12" s="218">
        <f t="shared" si="0"/>
        <v>2409682</v>
      </c>
      <c r="H12" s="218">
        <f t="shared" si="0"/>
        <v>2409682</v>
      </c>
      <c r="I12" s="218">
        <f t="shared" si="0"/>
        <v>9006049</v>
      </c>
      <c r="J12" s="218">
        <f t="shared" si="0"/>
        <v>4478641</v>
      </c>
      <c r="K12" s="218">
        <f t="shared" si="0"/>
        <v>4537159</v>
      </c>
      <c r="L12" s="218">
        <f t="shared" si="0"/>
        <v>9351166</v>
      </c>
      <c r="M12" s="532">
        <f t="shared" si="0"/>
        <v>11127105</v>
      </c>
      <c r="N12" s="487">
        <f>'2024&amp;2023'!J3</f>
        <v>11681336</v>
      </c>
      <c r="O12" s="487">
        <f>'2024&amp;2023'!K3</f>
        <v>10246051</v>
      </c>
      <c r="P12" s="487">
        <f>'2024&amp;2023'!L3</f>
        <v>9810201</v>
      </c>
    </row>
    <row r="13" spans="2:16" ht="4.5" customHeight="1">
      <c r="B13" s="219"/>
      <c r="C13" s="220"/>
      <c r="D13" s="220"/>
      <c r="E13" s="220"/>
      <c r="F13" s="220"/>
      <c r="G13" s="220"/>
      <c r="H13" s="220"/>
      <c r="I13" s="220"/>
      <c r="J13" s="220"/>
      <c r="K13" s="220"/>
      <c r="L13" s="220"/>
      <c r="M13" s="533"/>
      <c r="N13" s="517"/>
      <c r="O13" s="517"/>
      <c r="P13" s="517"/>
    </row>
    <row r="14" spans="2:16" ht="15.75">
      <c r="B14" s="219" t="s">
        <v>25</v>
      </c>
      <c r="C14" s="220"/>
      <c r="D14" s="220"/>
      <c r="E14" s="220"/>
      <c r="F14" s="220"/>
      <c r="G14" s="220"/>
      <c r="H14" s="220"/>
      <c r="I14" s="220"/>
      <c r="J14" s="220"/>
      <c r="K14" s="220"/>
      <c r="L14" s="220"/>
      <c r="M14" s="533"/>
      <c r="N14" s="517"/>
      <c r="O14" s="517"/>
      <c r="P14" s="517"/>
    </row>
    <row r="15" spans="2:16" ht="15.75">
      <c r="B15" s="219" t="s">
        <v>26</v>
      </c>
      <c r="C15" s="220"/>
      <c r="D15" s="220"/>
      <c r="E15" s="220"/>
      <c r="F15" s="220"/>
      <c r="G15" s="220"/>
      <c r="H15" s="220"/>
      <c r="I15" s="220"/>
      <c r="J15" s="220"/>
      <c r="K15" s="220"/>
      <c r="L15" s="220"/>
      <c r="M15" s="533"/>
      <c r="N15" s="517"/>
      <c r="O15" s="517"/>
      <c r="P15" s="517"/>
    </row>
    <row r="16" spans="2:16" ht="15">
      <c r="B16" s="367" t="s">
        <v>27</v>
      </c>
      <c r="C16" s="588">
        <f>'2024&amp;2023'!C7</f>
        <v>203836</v>
      </c>
      <c r="D16" s="589">
        <v>1239901</v>
      </c>
      <c r="E16" s="588">
        <v>255947</v>
      </c>
      <c r="F16" s="589">
        <v>1202624</v>
      </c>
      <c r="G16" s="588">
        <f>'2024&amp;2023'!D7</f>
        <v>203836</v>
      </c>
      <c r="H16" s="590">
        <v>1239901</v>
      </c>
      <c r="I16" s="591">
        <f>'2024&amp;2023'!E7</f>
        <v>1021535</v>
      </c>
      <c r="J16" s="588">
        <f>'2024&amp;2023'!F7</f>
        <v>226313</v>
      </c>
      <c r="K16" s="588">
        <f>'2024&amp;2023'!G7</f>
        <v>313473</v>
      </c>
      <c r="L16" s="591">
        <f>'2024&amp;2023'!H7</f>
        <v>1051427</v>
      </c>
      <c r="M16" s="592">
        <f>'2024&amp;2023'!I7</f>
        <v>1733922</v>
      </c>
      <c r="N16" s="493">
        <f>'2024&amp;2023'!J7</f>
        <v>1107863</v>
      </c>
      <c r="O16" s="493">
        <f>'2024&amp;2023'!K7</f>
        <v>683140</v>
      </c>
      <c r="P16" s="493">
        <f>'2024&amp;2023'!L7</f>
        <v>683140</v>
      </c>
    </row>
    <row r="17" spans="2:18" ht="15">
      <c r="B17" s="367" t="s">
        <v>28</v>
      </c>
      <c r="C17" s="588"/>
      <c r="D17" s="589"/>
      <c r="E17" s="588"/>
      <c r="F17" s="589"/>
      <c r="G17" s="588"/>
      <c r="H17" s="590"/>
      <c r="I17" s="591">
        <f>'2024&amp;2023'!E8</f>
        <v>0</v>
      </c>
      <c r="J17" s="588"/>
      <c r="K17" s="588"/>
      <c r="L17" s="591">
        <f>'2024&amp;2023'!H8</f>
        <v>45134</v>
      </c>
      <c r="M17" s="592">
        <f>'2024&amp;2023'!I8</f>
        <v>0</v>
      </c>
      <c r="N17" s="493"/>
      <c r="O17" s="493"/>
      <c r="P17" s="493"/>
      <c r="Q17" s="556"/>
      <c r="R17" s="556"/>
    </row>
    <row r="18" spans="2:18" ht="15">
      <c r="B18" s="367" t="s">
        <v>29</v>
      </c>
      <c r="C18" s="591">
        <f>'2024&amp;2023'!C10</f>
        <v>1555246</v>
      </c>
      <c r="D18" s="591">
        <f>+F18+H18</f>
        <v>1457822.2</v>
      </c>
      <c r="E18" s="591">
        <f>C18-G18</f>
        <v>779277</v>
      </c>
      <c r="F18" s="591">
        <f>779277+96081.2-104117</f>
        <v>771241.2</v>
      </c>
      <c r="G18" s="591">
        <f>'2024&amp;2023'!D10</f>
        <v>775969</v>
      </c>
      <c r="H18" s="591">
        <f>775969-14910-37201-37277</f>
        <v>686581</v>
      </c>
      <c r="I18" s="591">
        <f>'2024&amp;2023'!E10</f>
        <v>3408695</v>
      </c>
      <c r="J18" s="591">
        <f>'2024&amp;2023'!F10</f>
        <v>1725419</v>
      </c>
      <c r="K18" s="591">
        <f>'2024&amp;2023'!G10</f>
        <v>1808752</v>
      </c>
      <c r="L18" s="591">
        <f>'2024&amp;2023'!H10</f>
        <v>3692358</v>
      </c>
      <c r="M18" s="592">
        <f>'2024&amp;2023'!I10</f>
        <v>3982914</v>
      </c>
      <c r="N18" s="493">
        <f>'2024&amp;2023'!J10</f>
        <v>5780557</v>
      </c>
      <c r="O18" s="493">
        <f>'2024&amp;2023'!K10</f>
        <v>4920814</v>
      </c>
      <c r="P18" s="493">
        <f>'2024&amp;2023'!L10</f>
        <v>4390895</v>
      </c>
      <c r="Q18" s="556"/>
      <c r="R18" s="353"/>
    </row>
    <row r="19" spans="2:18" ht="15">
      <c r="B19" s="367" t="s">
        <v>30</v>
      </c>
      <c r="C19" s="588">
        <f>'2024&amp;2023'!C37</f>
        <v>204362</v>
      </c>
      <c r="D19" s="589">
        <f>+F19+H19</f>
        <v>167191</v>
      </c>
      <c r="E19" s="588">
        <f t="shared" ref="E19:E30" si="1">C19-G19</f>
        <v>103681</v>
      </c>
      <c r="F19" s="589">
        <f>100404+66787-H19</f>
        <v>81381</v>
      </c>
      <c r="G19" s="588">
        <f>'2024&amp;2023'!D37</f>
        <v>100681</v>
      </c>
      <c r="H19" s="590">
        <f>44922+40888</f>
        <v>85810</v>
      </c>
      <c r="I19" s="591">
        <f>'2024&amp;2023'!E15</f>
        <v>308812</v>
      </c>
      <c r="J19" s="588">
        <f>'2024&amp;2023'!F37</f>
        <v>182646</v>
      </c>
      <c r="K19" s="588">
        <f>'2024&amp;2023'!G37</f>
        <v>196587</v>
      </c>
      <c r="L19" s="591">
        <f>'2024&amp;2023'!H15</f>
        <v>327826</v>
      </c>
      <c r="M19" s="592">
        <f>'2024&amp;2023'!I15</f>
        <v>329822</v>
      </c>
      <c r="N19" s="493">
        <f>'2024&amp;2023'!J15</f>
        <v>381473</v>
      </c>
      <c r="O19" s="493">
        <f>'2024&amp;2023'!K15</f>
        <v>359935</v>
      </c>
      <c r="P19" s="493">
        <f>'2024&amp;2023'!L15</f>
        <v>309092</v>
      </c>
      <c r="Q19" s="556"/>
      <c r="R19" s="556"/>
    </row>
    <row r="20" spans="2:18" ht="15">
      <c r="B20" s="367" t="s">
        <v>31</v>
      </c>
      <c r="C20" s="588"/>
      <c r="D20" s="591">
        <f t="shared" ref="D20:D28" si="2">+F20+H20</f>
        <v>0</v>
      </c>
      <c r="E20" s="588">
        <f t="shared" si="1"/>
        <v>0</v>
      </c>
      <c r="F20" s="589"/>
      <c r="G20" s="588"/>
      <c r="H20" s="590"/>
      <c r="I20" s="591">
        <f>'2024&amp;2023'!E16+'2024&amp;2023'!E38</f>
        <v>12632</v>
      </c>
      <c r="J20" s="588"/>
      <c r="K20" s="588"/>
      <c r="L20" s="591">
        <f>'2024&amp;2023'!H16+'2024&amp;2023'!H38</f>
        <v>2364</v>
      </c>
      <c r="M20" s="592">
        <f>'2024&amp;2023'!I16+'2024&amp;2023'!I38</f>
        <v>50791</v>
      </c>
      <c r="N20" s="493"/>
      <c r="O20" s="493"/>
      <c r="P20" s="493"/>
      <c r="Q20" s="556"/>
      <c r="R20" s="556"/>
    </row>
    <row r="21" spans="2:18" ht="15">
      <c r="B21" s="367" t="s">
        <v>32</v>
      </c>
      <c r="C21" s="591">
        <f>'2024&amp;2023'!C17</f>
        <v>0</v>
      </c>
      <c r="D21" s="591">
        <f t="shared" si="2"/>
        <v>37171</v>
      </c>
      <c r="E21" s="591">
        <f t="shared" si="1"/>
        <v>0</v>
      </c>
      <c r="F21" s="591">
        <f>37171-H21</f>
        <v>22300</v>
      </c>
      <c r="G21" s="591">
        <f>'2024&amp;2023'!D17</f>
        <v>0</v>
      </c>
      <c r="H21" s="591">
        <f>14871+0</f>
        <v>14871</v>
      </c>
      <c r="I21" s="591">
        <f>'2024&amp;2023'!E17</f>
        <v>48537</v>
      </c>
      <c r="J21" s="591">
        <f>'2024&amp;2023'!F17</f>
        <v>516</v>
      </c>
      <c r="K21" s="591">
        <f>'2024&amp;2023'!G17</f>
        <v>0</v>
      </c>
      <c r="L21" s="591">
        <f>'2024&amp;2023'!H17</f>
        <v>69427</v>
      </c>
      <c r="M21" s="592">
        <f>'2024&amp;2023'!I17</f>
        <v>91234</v>
      </c>
      <c r="N21" s="493">
        <f>'2024&amp;2023'!J17</f>
        <v>104261</v>
      </c>
      <c r="O21" s="493">
        <f>'2024&amp;2023'!K17</f>
        <v>112637</v>
      </c>
      <c r="P21" s="493">
        <f>'2024&amp;2023'!L17</f>
        <v>163690</v>
      </c>
      <c r="Q21" s="556"/>
      <c r="R21" s="25"/>
    </row>
    <row r="22" spans="2:18" ht="15">
      <c r="B22" s="367" t="s">
        <v>33</v>
      </c>
      <c r="C22" s="591">
        <f>'2024&amp;2023'!C18</f>
        <v>0</v>
      </c>
      <c r="D22" s="591">
        <f t="shared" si="2"/>
        <v>0</v>
      </c>
      <c r="E22" s="591">
        <f t="shared" si="1"/>
        <v>0</v>
      </c>
      <c r="F22" s="591"/>
      <c r="G22" s="591">
        <f>'2024&amp;2023'!D18</f>
        <v>0</v>
      </c>
      <c r="H22" s="591"/>
      <c r="I22" s="591">
        <f>'2024&amp;2023'!E18</f>
        <v>186902</v>
      </c>
      <c r="J22" s="591">
        <f>'2024&amp;2023'!F18</f>
        <v>0</v>
      </c>
      <c r="K22" s="591">
        <f>'2024&amp;2023'!G18</f>
        <v>0</v>
      </c>
      <c r="L22" s="591">
        <f>'2024&amp;2023'!H18</f>
        <v>207091</v>
      </c>
      <c r="M22" s="592">
        <f>'2024&amp;2023'!I18</f>
        <v>166233</v>
      </c>
      <c r="N22" s="493"/>
      <c r="O22" s="493"/>
      <c r="P22" s="493"/>
      <c r="Q22" s="556"/>
      <c r="R22" s="556"/>
    </row>
    <row r="23" spans="2:18" ht="15">
      <c r="B23" s="367" t="s">
        <v>34</v>
      </c>
      <c r="C23" s="591">
        <f>'2024&amp;2023'!C23</f>
        <v>76707</v>
      </c>
      <c r="D23" s="591">
        <f t="shared" si="2"/>
        <v>76707</v>
      </c>
      <c r="E23" s="591">
        <f t="shared" si="1"/>
        <v>37188</v>
      </c>
      <c r="F23" s="591">
        <f>76707-39519</f>
        <v>37188</v>
      </c>
      <c r="G23" s="591">
        <f>'2024&amp;2023'!D23</f>
        <v>39519</v>
      </c>
      <c r="H23" s="591">
        <v>39519</v>
      </c>
      <c r="I23" s="591">
        <f>'2024&amp;2023'!E23</f>
        <v>160443</v>
      </c>
      <c r="J23" s="591">
        <f>'2024&amp;2023'!F23</f>
        <v>86112</v>
      </c>
      <c r="K23" s="591">
        <f>'2024&amp;2023'!G23</f>
        <v>91936</v>
      </c>
      <c r="L23" s="591">
        <f>'2024&amp;2023'!H23</f>
        <v>180668</v>
      </c>
      <c r="M23" s="592">
        <f>'2024&amp;2023'!I23</f>
        <v>225574</v>
      </c>
      <c r="N23" s="493">
        <f>'2024&amp;2023'!J23</f>
        <v>267861</v>
      </c>
      <c r="O23" s="493">
        <f>'2024&amp;2023'!K23</f>
        <v>205064</v>
      </c>
      <c r="P23" s="493">
        <f>'2024&amp;2023'!L23</f>
        <v>195649</v>
      </c>
      <c r="Q23" s="556"/>
      <c r="R23" s="556"/>
    </row>
    <row r="24" spans="2:18" ht="15">
      <c r="B24" s="367" t="s">
        <v>35</v>
      </c>
      <c r="C24" s="591">
        <f>'2024&amp;2023'!C31</f>
        <v>39332</v>
      </c>
      <c r="D24" s="591">
        <f t="shared" si="2"/>
        <v>39332</v>
      </c>
      <c r="E24" s="591">
        <f t="shared" si="1"/>
        <v>18262</v>
      </c>
      <c r="F24" s="591">
        <f>39332-21070</f>
        <v>18262</v>
      </c>
      <c r="G24" s="591">
        <f>'2024&amp;2023'!D31</f>
        <v>21070</v>
      </c>
      <c r="H24" s="591">
        <v>21070</v>
      </c>
      <c r="I24" s="591">
        <f>'2024&amp;2023'!E31</f>
        <v>64635</v>
      </c>
      <c r="J24" s="591">
        <f>'2024&amp;2023'!F31</f>
        <v>33175</v>
      </c>
      <c r="K24" s="591">
        <f>'2024&amp;2023'!G31</f>
        <v>34202</v>
      </c>
      <c r="L24" s="591">
        <f>'2024&amp;2023'!H31</f>
        <v>94918</v>
      </c>
      <c r="M24" s="592">
        <f>'2024&amp;2023'!I31</f>
        <v>94148</v>
      </c>
      <c r="N24" s="493">
        <f>'2024&amp;2023'!J31</f>
        <v>116856</v>
      </c>
      <c r="O24" s="493">
        <f>'2024&amp;2023'!K31</f>
        <v>125195</v>
      </c>
      <c r="P24" s="493">
        <f>'2024&amp;2023'!L31</f>
        <v>131612</v>
      </c>
      <c r="Q24" s="556"/>
      <c r="R24" s="556"/>
    </row>
    <row r="25" spans="2:18" ht="15">
      <c r="B25" s="367" t="s">
        <v>36</v>
      </c>
      <c r="C25" s="591">
        <f>'2024&amp;2023'!C33</f>
        <v>11708</v>
      </c>
      <c r="D25" s="591">
        <f t="shared" si="2"/>
        <v>11708</v>
      </c>
      <c r="E25" s="591">
        <f t="shared" si="1"/>
        <v>6157</v>
      </c>
      <c r="F25" s="591">
        <f>11708-5551</f>
        <v>6157</v>
      </c>
      <c r="G25" s="591">
        <f>'2024&amp;2023'!D33</f>
        <v>5551</v>
      </c>
      <c r="H25" s="591">
        <v>5551</v>
      </c>
      <c r="I25" s="591">
        <f>'2024&amp;2023'!E33</f>
        <v>29437</v>
      </c>
      <c r="J25" s="591">
        <f>'2024&amp;2023'!F33</f>
        <v>17665</v>
      </c>
      <c r="K25" s="591">
        <f>'2024&amp;2023'!G33</f>
        <v>18433</v>
      </c>
      <c r="L25" s="591">
        <f>'2024&amp;2023'!H33</f>
        <v>31056</v>
      </c>
      <c r="M25" s="592">
        <f>'2024&amp;2023'!I33</f>
        <v>33531</v>
      </c>
      <c r="N25" s="493">
        <f>'2024&amp;2023'!J33</f>
        <v>40827</v>
      </c>
      <c r="O25" s="493">
        <f>'2024&amp;2023'!K33</f>
        <v>44298</v>
      </c>
      <c r="P25" s="493">
        <f>'2024&amp;2023'!L33</f>
        <v>39991</v>
      </c>
      <c r="Q25" s="556"/>
      <c r="R25" s="556"/>
    </row>
    <row r="26" spans="2:18" ht="15">
      <c r="B26" s="367" t="s">
        <v>37</v>
      </c>
      <c r="C26" s="591">
        <f>'2024&amp;2023'!C34</f>
        <v>1184</v>
      </c>
      <c r="D26" s="591">
        <f t="shared" si="2"/>
        <v>1184</v>
      </c>
      <c r="E26" s="591">
        <f t="shared" si="1"/>
        <v>38</v>
      </c>
      <c r="F26" s="591">
        <f>1184-1146</f>
        <v>38</v>
      </c>
      <c r="G26" s="591">
        <f>'2024&amp;2023'!D34</f>
        <v>1146</v>
      </c>
      <c r="H26" s="591">
        <v>1146</v>
      </c>
      <c r="I26" s="591">
        <f>'2024&amp;2023'!E34</f>
        <v>1375</v>
      </c>
      <c r="J26" s="591">
        <f>'2024&amp;2023'!F34</f>
        <v>884</v>
      </c>
      <c r="K26" s="591">
        <f>'2024&amp;2023'!G34</f>
        <v>4565</v>
      </c>
      <c r="L26" s="591">
        <f>'2024&amp;2023'!H34</f>
        <v>6961</v>
      </c>
      <c r="M26" s="592">
        <f>'2024&amp;2023'!I34</f>
        <v>6603</v>
      </c>
      <c r="N26" s="493">
        <f>'2024&amp;2023'!J34</f>
        <v>10241</v>
      </c>
      <c r="O26" s="493">
        <f>'2024&amp;2023'!K34</f>
        <v>2163</v>
      </c>
      <c r="P26" s="493">
        <f>'2024&amp;2023'!L34</f>
        <v>2741</v>
      </c>
      <c r="Q26" s="556"/>
      <c r="R26" s="556"/>
    </row>
    <row r="27" spans="2:18" ht="15">
      <c r="B27" s="367" t="s">
        <v>38</v>
      </c>
      <c r="C27" s="591">
        <f>'2024&amp;2023'!C36</f>
        <v>0</v>
      </c>
      <c r="D27" s="591">
        <f t="shared" si="2"/>
        <v>0</v>
      </c>
      <c r="E27" s="591">
        <f t="shared" si="1"/>
        <v>0</v>
      </c>
      <c r="F27" s="591"/>
      <c r="G27" s="591">
        <f>'2024&amp;2023'!D36</f>
        <v>0</v>
      </c>
      <c r="H27" s="591"/>
      <c r="I27" s="591">
        <f>'2024&amp;2023'!E36</f>
        <v>0</v>
      </c>
      <c r="J27" s="591">
        <f>'2024&amp;2023'!F36</f>
        <v>0</v>
      </c>
      <c r="K27" s="591">
        <f>'2024&amp;2023'!G36</f>
        <v>2773</v>
      </c>
      <c r="L27" s="591">
        <f>'2024&amp;2023'!H36</f>
        <v>2773</v>
      </c>
      <c r="M27" s="592">
        <f>'2024&amp;2023'!I36</f>
        <v>0</v>
      </c>
      <c r="N27" s="493">
        <f>'2024&amp;2023'!J36</f>
        <v>92</v>
      </c>
      <c r="O27" s="493">
        <f>'2024&amp;2023'!K36</f>
        <v>135</v>
      </c>
      <c r="P27" s="493">
        <f>'2024&amp;2023'!L36</f>
        <v>967</v>
      </c>
      <c r="Q27" s="556"/>
      <c r="R27" s="556"/>
    </row>
    <row r="28" spans="2:18" ht="15">
      <c r="B28" s="367" t="s">
        <v>39</v>
      </c>
      <c r="C28" s="591">
        <v>0</v>
      </c>
      <c r="D28" s="591">
        <f t="shared" si="2"/>
        <v>0</v>
      </c>
      <c r="E28" s="591">
        <f t="shared" si="1"/>
        <v>0</v>
      </c>
      <c r="F28" s="591"/>
      <c r="G28" s="591">
        <v>0</v>
      </c>
      <c r="H28" s="591"/>
      <c r="I28" s="591">
        <f>'2024&amp;2023'!E40</f>
        <v>46829</v>
      </c>
      <c r="J28" s="591">
        <v>0</v>
      </c>
      <c r="K28" s="591">
        <v>0</v>
      </c>
      <c r="L28" s="591">
        <v>0</v>
      </c>
      <c r="M28" s="592">
        <v>0</v>
      </c>
      <c r="N28" s="493">
        <v>0</v>
      </c>
      <c r="O28" s="493">
        <v>0</v>
      </c>
      <c r="P28" s="493">
        <v>0</v>
      </c>
      <c r="Q28" s="556"/>
      <c r="R28" s="556"/>
    </row>
    <row r="29" spans="2:18" ht="15">
      <c r="B29" s="283" t="s">
        <v>40</v>
      </c>
      <c r="C29" s="588">
        <f>'2024&amp;2023'!C43</f>
        <v>-19607</v>
      </c>
      <c r="D29" s="589">
        <f>+F29+H29</f>
        <v>-60692.72</v>
      </c>
      <c r="E29" s="588">
        <f t="shared" si="1"/>
        <v>-10300</v>
      </c>
      <c r="F29" s="589">
        <f>-19607+9307-8369.59</f>
        <v>-18669.59</v>
      </c>
      <c r="G29" s="588">
        <f>'2024&amp;2023'!D43</f>
        <v>-9307</v>
      </c>
      <c r="H29" s="590">
        <f>-9307-32716.13</f>
        <v>-42023.130000000005</v>
      </c>
      <c r="I29" s="591">
        <f>'2024&amp;2023'!E43</f>
        <v>-170697</v>
      </c>
      <c r="J29" s="588">
        <f>'2024&amp;2023'!F43</f>
        <v>-31307</v>
      </c>
      <c r="K29" s="588">
        <f>'2024&amp;2023'!G43</f>
        <v>-30420</v>
      </c>
      <c r="L29" s="591">
        <f>'2024&amp;2023'!H43</f>
        <v>-62386</v>
      </c>
      <c r="M29" s="592">
        <f>'2024&amp;2023'!I43</f>
        <v>-84956</v>
      </c>
      <c r="N29" s="493"/>
      <c r="O29" s="493"/>
      <c r="P29" s="493"/>
      <c r="Q29" s="556"/>
      <c r="R29" s="556"/>
    </row>
    <row r="30" spans="2:18" ht="15">
      <c r="B30" s="283" t="s">
        <v>41</v>
      </c>
      <c r="C30" s="588"/>
      <c r="D30" s="589"/>
      <c r="E30" s="588">
        <f t="shared" si="1"/>
        <v>0</v>
      </c>
      <c r="F30" s="589"/>
      <c r="G30" s="588"/>
      <c r="H30" s="590"/>
      <c r="I30" s="591">
        <f>'2024&amp;2023'!E44</f>
        <v>-183</v>
      </c>
      <c r="J30" s="588"/>
      <c r="K30" s="588"/>
      <c r="L30" s="591">
        <f>'2024&amp;2023'!H44</f>
        <v>-246</v>
      </c>
      <c r="M30" s="592">
        <f>'2024&amp;2023'!I44</f>
        <v>-210</v>
      </c>
      <c r="N30" s="493"/>
      <c r="O30" s="493"/>
      <c r="P30" s="493"/>
      <c r="Q30" s="556"/>
      <c r="R30" s="556"/>
    </row>
    <row r="31" spans="2:18" ht="17.25">
      <c r="B31" s="283" t="s">
        <v>42</v>
      </c>
      <c r="C31" s="221">
        <f>'2024&amp;2023'!C48</f>
        <v>-159866</v>
      </c>
      <c r="D31" s="221">
        <v>-1098507</v>
      </c>
      <c r="E31" s="221">
        <v>-159866</v>
      </c>
      <c r="F31" s="221">
        <v>-1098507</v>
      </c>
      <c r="G31" s="221">
        <f>'2024&amp;2023'!D48</f>
        <v>-255947</v>
      </c>
      <c r="H31" s="221">
        <v>-1202624</v>
      </c>
      <c r="I31" s="221">
        <f>'2024&amp;2023'!E48</f>
        <v>-1239901</v>
      </c>
      <c r="J31" s="221">
        <f>'2024&amp;2023'!F48</f>
        <v>-225544</v>
      </c>
      <c r="K31" s="221">
        <f>'2024&amp;2023'!G48</f>
        <v>-199589</v>
      </c>
      <c r="L31" s="221">
        <f>'2024&amp;2023'!H48</f>
        <v>-1021535</v>
      </c>
      <c r="M31" s="531">
        <f>'2024&amp;2023'!I48</f>
        <v>-1096561</v>
      </c>
      <c r="N31" s="494">
        <f>'2024&amp;2023'!J48</f>
        <v>-1733922</v>
      </c>
      <c r="O31" s="494">
        <f>'2024&amp;2023'!K48</f>
        <v>-1107863</v>
      </c>
      <c r="P31" s="494">
        <f>'2024&amp;2023'!L48</f>
        <v>-632835</v>
      </c>
      <c r="Q31" s="556"/>
      <c r="R31" s="556"/>
    </row>
    <row r="32" spans="2:18" ht="15.75">
      <c r="B32" s="217" t="s">
        <v>43</v>
      </c>
      <c r="C32" s="218">
        <f t="shared" ref="C32:E32" si="3">SUM(C16:C31)</f>
        <v>1912902</v>
      </c>
      <c r="D32" s="218">
        <f t="shared" ref="D32" si="4">SUM(D16:D31)</f>
        <v>1871816.48</v>
      </c>
      <c r="E32" s="218">
        <f t="shared" si="3"/>
        <v>1030384</v>
      </c>
      <c r="F32" s="218">
        <f t="shared" ref="F32" si="5">SUM(F16:F31)</f>
        <v>1022014.6100000003</v>
      </c>
      <c r="G32" s="218">
        <f t="shared" ref="G32:I32" si="6">SUM(G16:G31)</f>
        <v>882518</v>
      </c>
      <c r="H32" s="218">
        <f t="shared" si="6"/>
        <v>849801.87000000011</v>
      </c>
      <c r="I32" s="218">
        <f t="shared" si="6"/>
        <v>3879051</v>
      </c>
      <c r="J32" s="218">
        <f t="shared" ref="J32:P32" si="7">SUM(J16:J31)</f>
        <v>2015879</v>
      </c>
      <c r="K32" s="218">
        <f t="shared" si="7"/>
        <v>2240712</v>
      </c>
      <c r="L32" s="218">
        <f t="shared" si="7"/>
        <v>4627836</v>
      </c>
      <c r="M32" s="532">
        <f t="shared" si="7"/>
        <v>5533045</v>
      </c>
      <c r="N32" s="487">
        <f t="shared" si="7"/>
        <v>6076109</v>
      </c>
      <c r="O32" s="487">
        <f t="shared" si="7"/>
        <v>5345518</v>
      </c>
      <c r="P32" s="487">
        <f t="shared" si="7"/>
        <v>5284942</v>
      </c>
      <c r="Q32" s="556"/>
      <c r="R32" s="556"/>
    </row>
    <row r="33" spans="2:22" ht="15">
      <c r="B33" s="593" t="s">
        <v>44</v>
      </c>
      <c r="C33" s="594">
        <f t="shared" ref="C33:E33" si="8">IFERROR(C32/C66,"")</f>
        <v>0.51149779199717638</v>
      </c>
      <c r="D33" s="594">
        <f t="shared" ref="D33" si="9">IFERROR(D32/D66,"")</f>
        <v>0.49583457459756086</v>
      </c>
      <c r="E33" s="594">
        <f t="shared" si="8"/>
        <v>0.51818211809425108</v>
      </c>
      <c r="F33" s="594">
        <f t="shared" ref="F33" si="10">IFERROR(F32/F66,"")</f>
        <v>0.50980246334824597</v>
      </c>
      <c r="G33" s="594">
        <f t="shared" ref="G33:I33" si="11">IFERROR(G32/G66,"")</f>
        <v>0.50390847998150912</v>
      </c>
      <c r="H33" s="594">
        <f t="shared" si="11"/>
        <v>0.48001752935656877</v>
      </c>
      <c r="I33" s="594">
        <f t="shared" si="11"/>
        <v>0.53045480260407629</v>
      </c>
      <c r="J33" s="594">
        <f t="shared" ref="J33:P33" si="12">IFERROR(J32/J66,"")</f>
        <v>0.55732174240956045</v>
      </c>
      <c r="K33" s="594">
        <f t="shared" si="12"/>
        <v>0.58388148637340953</v>
      </c>
      <c r="L33" s="594">
        <f t="shared" si="12"/>
        <v>0.57977227622151872</v>
      </c>
      <c r="M33" s="595">
        <f t="shared" si="12"/>
        <v>0.58792845322754261</v>
      </c>
      <c r="N33" s="518">
        <f t="shared" si="12"/>
        <v>0.62342136454187358</v>
      </c>
      <c r="O33" s="518">
        <f t="shared" si="12"/>
        <v>0.6062716919606228</v>
      </c>
      <c r="P33" s="518">
        <f t="shared" si="12"/>
        <v>0.60078079397423778</v>
      </c>
      <c r="Q33" s="556"/>
      <c r="R33" s="556"/>
      <c r="S33" s="556"/>
      <c r="T33" s="556"/>
      <c r="U33" s="556"/>
      <c r="V33" s="556"/>
    </row>
    <row r="34" spans="2:22" ht="4.5" customHeight="1">
      <c r="B34" s="593"/>
      <c r="C34" s="596"/>
      <c r="D34" s="596"/>
      <c r="E34" s="596"/>
      <c r="F34" s="596"/>
      <c r="G34" s="596"/>
      <c r="H34" s="596"/>
      <c r="I34" s="596"/>
      <c r="J34" s="596"/>
      <c r="K34" s="596"/>
      <c r="L34" s="596"/>
      <c r="M34" s="597"/>
      <c r="N34" s="519"/>
      <c r="O34" s="519"/>
      <c r="P34" s="519"/>
      <c r="Q34" s="556"/>
      <c r="R34" s="556"/>
      <c r="S34" s="556"/>
      <c r="T34" s="556"/>
      <c r="U34" s="556"/>
      <c r="V34" s="556"/>
    </row>
    <row r="35" spans="2:22" ht="15.75">
      <c r="B35" s="222" t="s">
        <v>45</v>
      </c>
      <c r="C35" s="223"/>
      <c r="D35" s="223"/>
      <c r="E35" s="223"/>
      <c r="F35" s="223"/>
      <c r="G35" s="223"/>
      <c r="H35" s="223"/>
      <c r="I35" s="223"/>
      <c r="J35" s="223"/>
      <c r="K35" s="223"/>
      <c r="L35" s="223"/>
      <c r="M35" s="534"/>
      <c r="N35" s="520"/>
      <c r="O35" s="520"/>
      <c r="P35" s="520"/>
      <c r="Q35" s="556"/>
      <c r="R35" s="556"/>
      <c r="S35" s="556"/>
      <c r="T35" s="556"/>
      <c r="U35" s="556"/>
      <c r="V35" s="556"/>
    </row>
    <row r="36" spans="2:22" ht="15">
      <c r="B36" s="367" t="s">
        <v>46</v>
      </c>
      <c r="C36" s="588">
        <f>'2024&amp;2023'!C19</f>
        <v>7443</v>
      </c>
      <c r="D36" s="589">
        <f>+F36+H36</f>
        <v>148405.61000000002</v>
      </c>
      <c r="E36" s="588">
        <f>C36-G36</f>
        <v>16164</v>
      </c>
      <c r="F36" s="589">
        <f>31420.42+39840.4+28614.88+48529.51-72182</f>
        <v>76223.210000000021</v>
      </c>
      <c r="G36" s="588">
        <f>'2024&amp;2023'!D19</f>
        <v>-8721</v>
      </c>
      <c r="H36" s="590">
        <f>23994.88+15525.96+18501.12+14160.44</f>
        <v>72182.399999999994</v>
      </c>
      <c r="I36" s="558">
        <f>'2024&amp;2023'!E19</f>
        <v>297193</v>
      </c>
      <c r="J36" s="588">
        <f>'2024&amp;2023'!F19</f>
        <v>4379</v>
      </c>
      <c r="K36" s="588">
        <f>'2024&amp;2023'!G19</f>
        <v>42516</v>
      </c>
      <c r="L36" s="558">
        <f>'2024&amp;2023'!H19</f>
        <v>268102</v>
      </c>
      <c r="M36" s="598">
        <f>'2024&amp;2023'!I19</f>
        <v>280397</v>
      </c>
      <c r="N36" s="496">
        <f>'2024&amp;2023'!J19</f>
        <v>229257</v>
      </c>
      <c r="O36" s="496">
        <f>'2024&amp;2023'!K19</f>
        <v>198693</v>
      </c>
      <c r="P36" s="496">
        <f>'2024&amp;2023'!L19</f>
        <v>209196</v>
      </c>
      <c r="Q36" s="556"/>
      <c r="R36" s="556"/>
      <c r="S36" s="556"/>
      <c r="T36" s="556"/>
      <c r="U36" s="353"/>
      <c r="V36" s="353"/>
    </row>
    <row r="37" spans="2:22" ht="15">
      <c r="B37" s="367" t="s">
        <v>47</v>
      </c>
      <c r="C37" s="588"/>
      <c r="D37" s="589">
        <f t="shared" ref="D37:D44" si="13">+F37+H37</f>
        <v>0</v>
      </c>
      <c r="E37" s="588">
        <f t="shared" ref="E37:E44" si="14">C37-G37</f>
        <v>0</v>
      </c>
      <c r="F37" s="589"/>
      <c r="G37" s="588"/>
      <c r="H37" s="590"/>
      <c r="I37" s="558">
        <f>'2024&amp;2023'!E20</f>
        <v>0</v>
      </c>
      <c r="J37" s="588"/>
      <c r="K37" s="588"/>
      <c r="L37" s="558">
        <f>'2024&amp;2023'!H20</f>
        <v>980</v>
      </c>
      <c r="M37" s="598">
        <f>'2024&amp;2023'!I20</f>
        <v>0</v>
      </c>
      <c r="N37" s="496"/>
      <c r="O37" s="496"/>
      <c r="P37" s="496"/>
      <c r="Q37" s="556"/>
      <c r="R37" s="556"/>
      <c r="S37" s="556"/>
      <c r="T37" s="556"/>
      <c r="U37" s="353"/>
      <c r="V37" s="556"/>
    </row>
    <row r="38" spans="2:22" ht="15">
      <c r="B38" s="367" t="str">
        <f>'2024&amp;2023'!B11</f>
        <v>Production and Collator Wages (HCF)</v>
      </c>
      <c r="C38" s="599">
        <f>'2024&amp;2023'!C11</f>
        <v>686327</v>
      </c>
      <c r="D38" s="589">
        <f t="shared" si="13"/>
        <v>588773.55000000016</v>
      </c>
      <c r="E38" s="599">
        <f t="shared" si="14"/>
        <v>349654</v>
      </c>
      <c r="F38" s="600">
        <f>195400.87+132082.52+192924.91+11856.83+1885.59+16086.61+13301.93+9474.5+3777.6+4738.4+3327.68+3916.4-290730</f>
        <v>298043.84000000008</v>
      </c>
      <c r="G38" s="599">
        <f>'2024&amp;2023'!D11</f>
        <v>336673</v>
      </c>
      <c r="H38" s="601">
        <f>96603.31+68017.23+95593.65+4546.34+1357.58+9167.59+5231.56+4529.49+1619.2+1624.4+1104.96+1334.4</f>
        <v>290729.71000000008</v>
      </c>
      <c r="I38" s="602">
        <f>'2024&amp;2023'!E11</f>
        <v>964599</v>
      </c>
      <c r="J38" s="599">
        <f>'2024&amp;2023'!F11</f>
        <v>550391</v>
      </c>
      <c r="K38" s="599">
        <f>'2024&amp;2023'!G11</f>
        <v>583091</v>
      </c>
      <c r="L38" s="602">
        <f>'2024&amp;2023'!H11</f>
        <v>965420</v>
      </c>
      <c r="M38" s="603">
        <f>'2024&amp;2023'!I11</f>
        <v>1082631</v>
      </c>
      <c r="N38" s="521">
        <f>'2024&amp;2023'!J11</f>
        <v>1144403</v>
      </c>
      <c r="O38" s="521">
        <f>'2024&amp;2023'!K11</f>
        <v>1120001</v>
      </c>
      <c r="P38" s="521">
        <f>'2024&amp;2023'!L11</f>
        <v>1091526</v>
      </c>
      <c r="Q38" s="556"/>
      <c r="R38" s="556"/>
      <c r="S38" s="556"/>
      <c r="T38" s="556"/>
      <c r="U38" s="353"/>
      <c r="V38" s="556"/>
    </row>
    <row r="39" spans="2:22" ht="15">
      <c r="B39" s="367" t="s">
        <v>48</v>
      </c>
      <c r="C39" s="599"/>
      <c r="D39" s="589">
        <f t="shared" si="13"/>
        <v>0</v>
      </c>
      <c r="E39" s="599">
        <f t="shared" si="14"/>
        <v>0</v>
      </c>
      <c r="F39" s="600"/>
      <c r="G39" s="599"/>
      <c r="H39" s="601"/>
      <c r="I39" s="602">
        <f>'2024&amp;2023'!E12</f>
        <v>73530</v>
      </c>
      <c r="J39" s="599"/>
      <c r="K39" s="599"/>
      <c r="L39" s="602">
        <f>'2024&amp;2023'!H12</f>
        <v>84107</v>
      </c>
      <c r="M39" s="603">
        <f>'2024&amp;2023'!I12</f>
        <v>136379</v>
      </c>
      <c r="N39" s="521"/>
      <c r="O39" s="521"/>
      <c r="P39" s="521"/>
      <c r="Q39" s="556"/>
      <c r="R39" s="556"/>
      <c r="S39" s="556"/>
      <c r="T39" s="556"/>
      <c r="U39" s="353"/>
      <c r="V39" s="353"/>
    </row>
    <row r="40" spans="2:22" ht="15">
      <c r="B40" s="367" t="s">
        <v>49</v>
      </c>
      <c r="C40" s="602">
        <v>0</v>
      </c>
      <c r="D40" s="589">
        <f t="shared" si="13"/>
        <v>64372.38</v>
      </c>
      <c r="E40" s="602">
        <f t="shared" si="14"/>
        <v>0</v>
      </c>
      <c r="F40" s="602">
        <f>15699.76+18393.18+22463.2+57.9+1512.92+1626.65+1324.85+2422+409.2+463.2-32906</f>
        <v>31466.859999999993</v>
      </c>
      <c r="G40" s="602">
        <v>0</v>
      </c>
      <c r="H40" s="602">
        <f>7971.35+8886.85+11072+683.04+600.54+978.94+2422+136.4+154.4</f>
        <v>32905.520000000004</v>
      </c>
      <c r="I40" s="602">
        <f>'2024&amp;2023'!E30</f>
        <v>120598</v>
      </c>
      <c r="J40" s="602">
        <v>0</v>
      </c>
      <c r="K40" s="602">
        <v>0</v>
      </c>
      <c r="L40" s="602">
        <f>'2024&amp;2023'!H30</f>
        <v>119383</v>
      </c>
      <c r="M40" s="603">
        <f>'2024&amp;2023'!I30</f>
        <v>93521</v>
      </c>
      <c r="N40" s="521">
        <f>'2024&amp;2023'!J30</f>
        <v>97494</v>
      </c>
      <c r="O40" s="521">
        <f>'2024&amp;2023'!K30</f>
        <v>100963</v>
      </c>
      <c r="P40" s="521">
        <f>'2024&amp;2023'!L30</f>
        <v>91173</v>
      </c>
      <c r="Q40" s="556"/>
      <c r="R40" s="556"/>
      <c r="S40" s="556"/>
      <c r="T40" s="556"/>
      <c r="U40" s="353"/>
      <c r="V40" s="556"/>
    </row>
    <row r="41" spans="2:22" ht="15">
      <c r="B41" s="367" t="str">
        <f>'2024&amp;2023'!B13</f>
        <v>Indirect Labor</v>
      </c>
      <c r="C41" s="229">
        <f>'2024&amp;2023'!C13</f>
        <v>297222</v>
      </c>
      <c r="D41" s="589">
        <f t="shared" si="13"/>
        <v>221782.59000000005</v>
      </c>
      <c r="E41" s="229">
        <f t="shared" si="14"/>
        <v>151940</v>
      </c>
      <c r="F41" s="229">
        <f>18093.38+26890.05-8500.32+1118.25+210.75+30+1260+448+800+480+672+480+35623.52+54.76+2504.83+939.6+88431.96+3399.18+3773.1+1949.6+15107.15+24574.86+19.54+1999.17+610.4+409.2+403.2-106685</f>
        <v>115097.18000000008</v>
      </c>
      <c r="G41" s="229">
        <f>'2024&amp;2023'!D13</f>
        <v>145282</v>
      </c>
      <c r="H41" s="229">
        <f>8751.67+13287.56-3762.29+267.19+94.5+15+744.44+160+160+224+160+17957.96+54.76+847.43+305.2+41395.52+2270.17+1718.48+559.2+8013.21+12385.73+12.79+456.09+336+136.4+134.4</f>
        <v>106685.40999999997</v>
      </c>
      <c r="I41" s="229">
        <f>'2024&amp;2023'!E13</f>
        <v>486589</v>
      </c>
      <c r="J41" s="229">
        <f>'2024&amp;2023'!F13</f>
        <v>324530</v>
      </c>
      <c r="K41" s="229">
        <f>'2024&amp;2023'!G13</f>
        <v>334157</v>
      </c>
      <c r="L41" s="229">
        <f>'2024&amp;2023'!H13</f>
        <v>523378</v>
      </c>
      <c r="M41" s="535">
        <f>'2024&amp;2023'!I13</f>
        <v>608621</v>
      </c>
      <c r="N41" s="522">
        <f>'2024&amp;2023'!J13</f>
        <v>594797</v>
      </c>
      <c r="O41" s="522">
        <f>'2024&amp;2023'!K13</f>
        <v>563755</v>
      </c>
      <c r="P41" s="522">
        <f>'2024&amp;2023'!L13</f>
        <v>573376</v>
      </c>
      <c r="Q41" s="556"/>
      <c r="R41" s="556"/>
      <c r="S41" s="556"/>
      <c r="T41" s="556"/>
      <c r="U41" s="556"/>
      <c r="V41" s="556"/>
    </row>
    <row r="42" spans="2:22" ht="15">
      <c r="B42" s="367" t="str">
        <f>'2024&amp;2023'!B22</f>
        <v>Payroll Taxes</v>
      </c>
      <c r="C42" s="229">
        <f>'2024&amp;2023'!C22</f>
        <v>95499</v>
      </c>
      <c r="D42" s="589">
        <f t="shared" si="13"/>
        <v>95499</v>
      </c>
      <c r="E42" s="229">
        <f t="shared" si="14"/>
        <v>42313</v>
      </c>
      <c r="F42" s="229">
        <f>95499-53186</f>
        <v>42313</v>
      </c>
      <c r="G42" s="229">
        <f>'2024&amp;2023'!D22</f>
        <v>53186</v>
      </c>
      <c r="H42" s="229">
        <v>53186</v>
      </c>
      <c r="I42" s="229">
        <f>'2024&amp;2023'!E22</f>
        <v>200715</v>
      </c>
      <c r="J42" s="229">
        <f>'2024&amp;2023'!F22</f>
        <v>96885</v>
      </c>
      <c r="K42" s="229">
        <f>'2024&amp;2023'!G22</f>
        <v>101738</v>
      </c>
      <c r="L42" s="229">
        <f>'2024&amp;2023'!H22</f>
        <v>200385</v>
      </c>
      <c r="M42" s="535">
        <f>'2024&amp;2023'!I22</f>
        <v>232730</v>
      </c>
      <c r="N42" s="522">
        <f>'2024&amp;2023'!J22</f>
        <v>238780</v>
      </c>
      <c r="O42" s="522">
        <f>'2024&amp;2023'!K22</f>
        <v>198502</v>
      </c>
      <c r="P42" s="522">
        <f>'2024&amp;2023'!L22</f>
        <v>179936</v>
      </c>
      <c r="Q42" s="556"/>
      <c r="R42" s="556"/>
      <c r="S42" s="556"/>
      <c r="T42" s="556"/>
      <c r="U42" s="556"/>
      <c r="V42" s="556"/>
    </row>
    <row r="43" spans="2:22" ht="15">
      <c r="B43" s="367" t="s">
        <v>50</v>
      </c>
      <c r="C43" s="229">
        <f>'2024&amp;2023'!C14</f>
        <v>299280</v>
      </c>
      <c r="D43" s="589">
        <f t="shared" si="13"/>
        <v>299280</v>
      </c>
      <c r="E43" s="229">
        <f t="shared" si="14"/>
        <v>185489</v>
      </c>
      <c r="F43" s="229">
        <f>299280-113791</f>
        <v>185489</v>
      </c>
      <c r="G43" s="229">
        <f>'2024&amp;2023'!D14</f>
        <v>113791</v>
      </c>
      <c r="H43" s="229">
        <v>113791</v>
      </c>
      <c r="I43" s="229">
        <f>'2024&amp;2023'!E14</f>
        <v>436125</v>
      </c>
      <c r="J43" s="229">
        <f>'2024&amp;2023'!F14</f>
        <v>221909</v>
      </c>
      <c r="K43" s="229">
        <f>'2024&amp;2023'!G14</f>
        <v>152082</v>
      </c>
      <c r="L43" s="229">
        <f>'2024&amp;2023'!H14</f>
        <v>383282</v>
      </c>
      <c r="M43" s="535">
        <f>'2024&amp;2023'!I14</f>
        <v>476537</v>
      </c>
      <c r="N43" s="522">
        <f>'2024&amp;2023'!J14</f>
        <v>491729</v>
      </c>
      <c r="O43" s="522">
        <f>'2024&amp;2023'!K14</f>
        <v>393068</v>
      </c>
      <c r="P43" s="522">
        <f>'2024&amp;2023'!L14</f>
        <v>452009</v>
      </c>
      <c r="Q43" s="556"/>
      <c r="R43" s="556"/>
      <c r="S43" s="556"/>
      <c r="T43" s="556"/>
      <c r="U43" s="556"/>
      <c r="V43" s="556"/>
    </row>
    <row r="44" spans="2:22" ht="17.25">
      <c r="B44" s="367" t="str">
        <f>'2024&amp;2023'!B32</f>
        <v>Retirement Plan Expenses</v>
      </c>
      <c r="C44" s="445">
        <f>'2024&amp;2023'!C32</f>
        <v>23310</v>
      </c>
      <c r="D44" s="589">
        <f t="shared" si="13"/>
        <v>23310</v>
      </c>
      <c r="E44" s="445">
        <f t="shared" si="14"/>
        <v>11098</v>
      </c>
      <c r="F44" s="445">
        <f>23310-12212</f>
        <v>11098</v>
      </c>
      <c r="G44" s="445">
        <f>'2024&amp;2023'!D32</f>
        <v>12212</v>
      </c>
      <c r="H44" s="445">
        <v>12212</v>
      </c>
      <c r="I44" s="445">
        <f>'2024&amp;2023'!E32</f>
        <v>53604</v>
      </c>
      <c r="J44" s="445">
        <f>'2024&amp;2023'!F32</f>
        <v>25105</v>
      </c>
      <c r="K44" s="445">
        <f>'2024&amp;2023'!G32</f>
        <v>25240</v>
      </c>
      <c r="L44" s="445">
        <f>'2024&amp;2023'!H32</f>
        <v>53479</v>
      </c>
      <c r="M44" s="536">
        <f>'2024&amp;2023'!I32</f>
        <v>52088</v>
      </c>
      <c r="N44" s="522">
        <f>'2024&amp;2023'!J32</f>
        <v>49590</v>
      </c>
      <c r="O44" s="522">
        <f>'2024&amp;2023'!K32</f>
        <v>39566</v>
      </c>
      <c r="P44" s="522">
        <f>'2024&amp;2023'!L32</f>
        <v>36058</v>
      </c>
      <c r="Q44" s="556"/>
      <c r="R44" s="556"/>
      <c r="S44" s="556"/>
      <c r="T44" s="556"/>
      <c r="U44" s="556"/>
      <c r="V44" s="556"/>
    </row>
    <row r="45" spans="2:22" ht="15.75">
      <c r="B45" s="217" t="s">
        <v>51</v>
      </c>
      <c r="C45" s="218">
        <f t="shared" ref="C45:E45" si="15">SUM(C36:C44)</f>
        <v>1409081</v>
      </c>
      <c r="D45" s="218">
        <f t="shared" ref="D45" si="16">SUM(D36:D44)</f>
        <v>1441423.1300000004</v>
      </c>
      <c r="E45" s="218">
        <f t="shared" si="15"/>
        <v>756658</v>
      </c>
      <c r="F45" s="218">
        <f t="shared" ref="F45" si="17">SUM(F36:F44)</f>
        <v>759731.0900000002</v>
      </c>
      <c r="G45" s="218">
        <f t="shared" ref="G45:I45" si="18">SUM(G36:G44)</f>
        <v>652423</v>
      </c>
      <c r="H45" s="218">
        <f t="shared" si="18"/>
        <v>681692.04</v>
      </c>
      <c r="I45" s="218">
        <f t="shared" si="18"/>
        <v>2632953</v>
      </c>
      <c r="J45" s="218">
        <f t="shared" ref="J45:P45" si="19">SUM(J36:J44)</f>
        <v>1223199</v>
      </c>
      <c r="K45" s="218">
        <f t="shared" si="19"/>
        <v>1238824</v>
      </c>
      <c r="L45" s="218">
        <f t="shared" si="19"/>
        <v>2598516</v>
      </c>
      <c r="M45" s="532">
        <f t="shared" si="19"/>
        <v>2962904</v>
      </c>
      <c r="N45" s="487">
        <f t="shared" si="19"/>
        <v>2846050</v>
      </c>
      <c r="O45" s="487">
        <f t="shared" si="19"/>
        <v>2614548</v>
      </c>
      <c r="P45" s="487">
        <f t="shared" si="19"/>
        <v>2633274</v>
      </c>
      <c r="Q45" s="556"/>
      <c r="R45" s="556"/>
      <c r="S45" s="556"/>
      <c r="T45" s="556"/>
      <c r="U45" s="556"/>
      <c r="V45" s="556"/>
    </row>
    <row r="46" spans="2:22" ht="15">
      <c r="B46" s="593" t="s">
        <v>52</v>
      </c>
      <c r="C46" s="594">
        <f t="shared" ref="C46:E46" si="20">IFERROR(C45/C66,"")</f>
        <v>0.37677927057694183</v>
      </c>
      <c r="D46" s="594">
        <f t="shared" ref="D46" si="21">IFERROR(D45/D66,"")</f>
        <v>0.38182558606313527</v>
      </c>
      <c r="E46" s="594">
        <f t="shared" si="20"/>
        <v>0.38052478019161773</v>
      </c>
      <c r="F46" s="594">
        <f t="shared" ref="F46" si="22">IFERROR(F45/F66,"")</f>
        <v>0.37896990647154044</v>
      </c>
      <c r="G46" s="594">
        <f t="shared" ref="G46:I46" si="23">IFERROR(G45/G66,"")</f>
        <v>0.37252665921258954</v>
      </c>
      <c r="H46" s="594"/>
      <c r="I46" s="594">
        <f t="shared" si="23"/>
        <v>0.3600526427419517</v>
      </c>
      <c r="J46" s="594">
        <f t="shared" ref="J46:P46" si="24">IFERROR(J45/J66,"")</f>
        <v>0.33817277623985958</v>
      </c>
      <c r="K46" s="594">
        <f t="shared" si="24"/>
        <v>0.3228109629774164</v>
      </c>
      <c r="L46" s="594">
        <f t="shared" si="24"/>
        <v>0.32554038996153623</v>
      </c>
      <c r="M46" s="595">
        <f t="shared" si="24"/>
        <v>0.31483126665004513</v>
      </c>
      <c r="N46" s="518">
        <f t="shared" si="24"/>
        <v>0.29201062300798081</v>
      </c>
      <c r="O46" s="518">
        <f t="shared" si="24"/>
        <v>0.29653373904498354</v>
      </c>
      <c r="P46" s="518">
        <f t="shared" si="24"/>
        <v>0.29934490188761148</v>
      </c>
      <c r="Q46" s="556"/>
      <c r="R46" s="556"/>
      <c r="S46" s="556"/>
      <c r="T46" s="556"/>
      <c r="U46" s="556"/>
      <c r="V46" s="556"/>
    </row>
    <row r="47" spans="2:22" ht="4.5" customHeight="1">
      <c r="B47" s="604"/>
      <c r="C47" s="605"/>
      <c r="D47" s="605"/>
      <c r="E47" s="605"/>
      <c r="F47" s="605"/>
      <c r="G47" s="605"/>
      <c r="H47" s="605"/>
      <c r="I47" s="605"/>
      <c r="J47" s="605"/>
      <c r="K47" s="605"/>
      <c r="L47" s="605"/>
      <c r="M47" s="606"/>
      <c r="N47" s="523"/>
      <c r="O47" s="523"/>
      <c r="P47" s="523"/>
      <c r="Q47" s="556"/>
      <c r="R47" s="556"/>
      <c r="S47" s="556"/>
      <c r="T47" s="556"/>
      <c r="U47" s="556"/>
      <c r="V47" s="556"/>
    </row>
    <row r="48" spans="2:22" ht="15.75">
      <c r="B48" s="222" t="s">
        <v>53</v>
      </c>
      <c r="C48" s="223"/>
      <c r="D48" s="223"/>
      <c r="E48" s="223"/>
      <c r="F48" s="223"/>
      <c r="G48" s="223"/>
      <c r="H48" s="223"/>
      <c r="I48" s="223"/>
      <c r="J48" s="223"/>
      <c r="K48" s="223"/>
      <c r="L48" s="223"/>
      <c r="M48" s="534"/>
      <c r="N48" s="520"/>
      <c r="O48" s="520"/>
      <c r="P48" s="520"/>
      <c r="Q48" s="556"/>
      <c r="R48" s="556"/>
      <c r="S48" s="556"/>
      <c r="T48" s="556"/>
      <c r="U48" s="556"/>
      <c r="V48" s="556"/>
    </row>
    <row r="49" spans="2:16" ht="15">
      <c r="B49" s="367" t="s">
        <v>54</v>
      </c>
      <c r="C49" s="588">
        <f>'2024&amp;2023'!C24*0.8</f>
        <v>50400</v>
      </c>
      <c r="D49" s="589">
        <f>+F49+H49</f>
        <v>63000</v>
      </c>
      <c r="E49" s="588">
        <f>C49-G49</f>
        <v>25200</v>
      </c>
      <c r="F49" s="589">
        <f>63000-31500</f>
        <v>31500</v>
      </c>
      <c r="G49" s="588">
        <f>'2024&amp;2023'!D24*0.8</f>
        <v>25200</v>
      </c>
      <c r="H49" s="590">
        <v>31500</v>
      </c>
      <c r="I49" s="558">
        <f>'2024&amp;2023'!E24*0.8</f>
        <v>99741.6</v>
      </c>
      <c r="J49" s="588">
        <f>'2024&amp;2023'!F24*0.8</f>
        <v>50400</v>
      </c>
      <c r="K49" s="588">
        <f>'2024&amp;2023'!G24*0.8</f>
        <v>50400</v>
      </c>
      <c r="L49" s="558">
        <f>'2024&amp;2023'!H24*0.8</f>
        <v>125580</v>
      </c>
      <c r="M49" s="598">
        <f>'2024&amp;2023'!I24*0.8</f>
        <v>120676.8</v>
      </c>
      <c r="N49" s="496">
        <f>'2024&amp;2023'!J24*0.8</f>
        <v>121005.6</v>
      </c>
      <c r="O49" s="496">
        <f>'2024&amp;2023'!K24*0.8</f>
        <v>117783.20000000001</v>
      </c>
      <c r="P49" s="496">
        <f>'2024&amp;2023'!L24*0.8</f>
        <v>113744</v>
      </c>
    </row>
    <row r="50" spans="2:16" ht="15">
      <c r="B50" s="367" t="s">
        <v>55</v>
      </c>
      <c r="C50" s="588"/>
      <c r="D50" s="589">
        <f t="shared" ref="D50:D56" si="25">+F50+H50</f>
        <v>0</v>
      </c>
      <c r="E50" s="588">
        <f t="shared" ref="E50:E56" si="26">C50-G50</f>
        <v>0</v>
      </c>
      <c r="F50" s="589"/>
      <c r="G50" s="588"/>
      <c r="H50" s="590"/>
      <c r="I50" s="558">
        <f>'2024&amp;2023'!E25*0.8</f>
        <v>7680</v>
      </c>
      <c r="J50" s="588"/>
      <c r="K50" s="588"/>
      <c r="L50" s="558">
        <f>'2024&amp;2023'!H25*0.8</f>
        <v>7680</v>
      </c>
      <c r="M50" s="598">
        <f>'2024&amp;2023'!I25*0.8</f>
        <v>7680</v>
      </c>
      <c r="N50" s="496"/>
      <c r="O50" s="496"/>
      <c r="P50" s="496"/>
    </row>
    <row r="51" spans="2:16" ht="15">
      <c r="B51" s="367" t="s">
        <v>56</v>
      </c>
      <c r="C51" s="588">
        <f>'2024&amp;2023'!C27*1</f>
        <v>108622</v>
      </c>
      <c r="D51" s="589">
        <f t="shared" si="25"/>
        <v>112714</v>
      </c>
      <c r="E51" s="588">
        <f t="shared" si="26"/>
        <v>49504</v>
      </c>
      <c r="F51" s="589">
        <f>108622+4092-61540</f>
        <v>51174</v>
      </c>
      <c r="G51" s="588">
        <f>'2024&amp;2023'!D27*1</f>
        <v>59118</v>
      </c>
      <c r="H51" s="590">
        <f>59118+2422</f>
        <v>61540</v>
      </c>
      <c r="I51" s="558">
        <f>'2024&amp;2023'!E27*1</f>
        <v>166308</v>
      </c>
      <c r="J51" s="588">
        <f>'2024&amp;2023'!F27*1</f>
        <v>69884</v>
      </c>
      <c r="K51" s="588">
        <f>'2024&amp;2023'!G27*1</f>
        <v>77804</v>
      </c>
      <c r="L51" s="558">
        <f>'2024&amp;2023'!H27*1</f>
        <v>152408</v>
      </c>
      <c r="M51" s="598">
        <f>'2024&amp;2023'!I27*1</f>
        <v>236479</v>
      </c>
      <c r="N51" s="496">
        <f>'2024&amp;2023'!J27*1</f>
        <v>155138</v>
      </c>
      <c r="O51" s="496">
        <f>'2024&amp;2023'!K27*1</f>
        <v>188467</v>
      </c>
      <c r="P51" s="496">
        <f>'2024&amp;2023'!L27*1</f>
        <v>200266</v>
      </c>
    </row>
    <row r="52" spans="2:16" ht="15">
      <c r="B52" s="367" t="s">
        <v>57</v>
      </c>
      <c r="C52" s="588"/>
      <c r="D52" s="589">
        <f t="shared" si="25"/>
        <v>0</v>
      </c>
      <c r="E52" s="588">
        <f t="shared" si="26"/>
        <v>0</v>
      </c>
      <c r="F52" s="589"/>
      <c r="G52" s="588"/>
      <c r="H52" s="590"/>
      <c r="I52" s="558">
        <f>'2024&amp;2023'!E28</f>
        <v>3278</v>
      </c>
      <c r="J52" s="588"/>
      <c r="K52" s="588"/>
      <c r="L52" s="558">
        <f>'2024&amp;2023'!H28</f>
        <v>0</v>
      </c>
      <c r="M52" s="598">
        <f>'2024&amp;2023'!I28</f>
        <v>1027</v>
      </c>
      <c r="N52" s="496"/>
      <c r="O52" s="496"/>
      <c r="P52" s="496"/>
    </row>
    <row r="53" spans="2:16" ht="15">
      <c r="B53" s="367" t="s">
        <v>58</v>
      </c>
      <c r="C53" s="558">
        <f>'2024&amp;2023'!C21*0.8</f>
        <v>125684</v>
      </c>
      <c r="D53" s="589">
        <f t="shared" si="25"/>
        <v>157105</v>
      </c>
      <c r="E53" s="558">
        <f t="shared" si="26"/>
        <v>61055.199999999997</v>
      </c>
      <c r="F53" s="558">
        <f>157105-80786</f>
        <v>76319</v>
      </c>
      <c r="G53" s="558">
        <f>'2024&amp;2023'!D21*0.8</f>
        <v>64628.800000000003</v>
      </c>
      <c r="H53" s="558">
        <v>80786</v>
      </c>
      <c r="I53" s="558">
        <f>'2024&amp;2023'!E21*0.8</f>
        <v>231894.40000000002</v>
      </c>
      <c r="J53" s="558">
        <f>'2024&amp;2023'!F21*0.8</f>
        <v>106608</v>
      </c>
      <c r="K53" s="558">
        <f>'2024&amp;2023'!G21*0.8</f>
        <v>87038.400000000009</v>
      </c>
      <c r="L53" s="558">
        <f>'2024&amp;2023'!H21*0.8</f>
        <v>191105.6</v>
      </c>
      <c r="M53" s="598">
        <f>'2024&amp;2023'!I21*0.8</f>
        <v>206472.80000000002</v>
      </c>
      <c r="N53" s="496">
        <f>'2024&amp;2023'!J21*0.8</f>
        <v>210710.40000000002</v>
      </c>
      <c r="O53" s="496">
        <f>'2024&amp;2023'!K21*0.8</f>
        <v>202661.6</v>
      </c>
      <c r="P53" s="496">
        <f>'2024&amp;2023'!L21*0.8</f>
        <v>195039.2</v>
      </c>
    </row>
    <row r="54" spans="2:16" ht="15">
      <c r="B54" s="367" t="s">
        <v>59</v>
      </c>
      <c r="C54" s="558">
        <f>'2024&amp;2023'!C26+'2024&amp;2023'!C35</f>
        <v>74795</v>
      </c>
      <c r="D54" s="589">
        <f t="shared" si="25"/>
        <v>74795</v>
      </c>
      <c r="E54" s="558">
        <f t="shared" si="26"/>
        <v>37398</v>
      </c>
      <c r="F54" s="558">
        <f>72602+2193-37397</f>
        <v>37398</v>
      </c>
      <c r="G54" s="558">
        <f>'2024&amp;2023'!D26+'2024&amp;2023'!D35</f>
        <v>37397</v>
      </c>
      <c r="H54" s="558">
        <f>36301+1096</f>
        <v>37397</v>
      </c>
      <c r="I54" s="558">
        <f>'2024&amp;2023'!E26+'2024&amp;2023'!E35</f>
        <v>165106</v>
      </c>
      <c r="J54" s="558">
        <f>'2024&amp;2023'!F26+'2024&amp;2023'!F35</f>
        <v>80882</v>
      </c>
      <c r="K54" s="558">
        <f>'2024&amp;2023'!G26+'2024&amp;2023'!G35</f>
        <v>84916</v>
      </c>
      <c r="L54" s="558">
        <f>'2024&amp;2023'!H26+'2024&amp;2023'!H35</f>
        <v>170856</v>
      </c>
      <c r="M54" s="598">
        <f>'2024&amp;2023'!I26+'2024&amp;2023'!I35</f>
        <v>189544</v>
      </c>
      <c r="N54" s="496">
        <f>'2024&amp;2023'!J26+'2024&amp;2023'!J35</f>
        <v>198660</v>
      </c>
      <c r="O54" s="496">
        <f>'2024&amp;2023'!K26+'2024&amp;2023'!K35</f>
        <v>209546</v>
      </c>
      <c r="P54" s="496">
        <f>'2024&amp;2023'!L26+'2024&amp;2023'!L35</f>
        <v>224797</v>
      </c>
    </row>
    <row r="55" spans="2:16" ht="15">
      <c r="B55" s="367" t="s">
        <v>60</v>
      </c>
      <c r="C55" s="558">
        <f>'2024&amp;2023'!C29</f>
        <v>65273</v>
      </c>
      <c r="D55" s="589">
        <f t="shared" si="25"/>
        <v>65273</v>
      </c>
      <c r="E55" s="558">
        <f t="shared" si="26"/>
        <v>31682</v>
      </c>
      <c r="F55" s="558">
        <f>65273-33591</f>
        <v>31682</v>
      </c>
      <c r="G55" s="558">
        <f>'2024&amp;2023'!D29</f>
        <v>33591</v>
      </c>
      <c r="H55" s="558">
        <v>33591</v>
      </c>
      <c r="I55" s="558">
        <f>'2024&amp;2023'!E29</f>
        <v>126210</v>
      </c>
      <c r="J55" s="558">
        <f>'2024&amp;2023'!F29</f>
        <v>64502</v>
      </c>
      <c r="K55" s="558">
        <f>'2024&amp;2023'!G29</f>
        <v>68559</v>
      </c>
      <c r="L55" s="558">
        <f>'2024&amp;2023'!H29</f>
        <v>134081</v>
      </c>
      <c r="M55" s="598">
        <f>'2024&amp;2023'!I29</f>
        <v>137702</v>
      </c>
      <c r="N55" s="496">
        <f>'2024&amp;2023'!J29</f>
        <v>130388</v>
      </c>
      <c r="O55" s="496">
        <f>'2024&amp;2023'!K29</f>
        <v>121256</v>
      </c>
      <c r="P55" s="496">
        <f>'2024&amp;2023'!L29</f>
        <v>125386</v>
      </c>
    </row>
    <row r="56" spans="2:16" ht="15">
      <c r="B56" s="367" t="s">
        <v>61</v>
      </c>
      <c r="C56" s="224">
        <f>'2024&amp;2023'!C39</f>
        <v>4092</v>
      </c>
      <c r="D56" s="589">
        <f t="shared" si="25"/>
        <v>0</v>
      </c>
      <c r="E56" s="224">
        <f t="shared" si="26"/>
        <v>1670</v>
      </c>
      <c r="F56" s="224"/>
      <c r="G56" s="224">
        <f>'2024&amp;2023'!D39</f>
        <v>2422</v>
      </c>
      <c r="H56" s="224">
        <v>0</v>
      </c>
      <c r="I56" s="224">
        <f>'2024&amp;2023'!E39</f>
        <v>135</v>
      </c>
      <c r="J56" s="224">
        <f>'2024&amp;2023'!F39</f>
        <v>4032</v>
      </c>
      <c r="K56" s="224">
        <f>'2024&amp;2023'!G39</f>
        <v>2051</v>
      </c>
      <c r="L56" s="224">
        <f>'2024&amp;2023'!H39</f>
        <v>82</v>
      </c>
      <c r="M56" s="537">
        <f>'2024&amp;2023'!I39</f>
        <v>2219</v>
      </c>
      <c r="N56" s="497">
        <f>'2024&amp;2023'!J39</f>
        <v>2184</v>
      </c>
      <c r="O56" s="497">
        <f>'2024&amp;2023'!K39</f>
        <v>111</v>
      </c>
      <c r="P56" s="497">
        <f>'2024&amp;2023'!L39</f>
        <v>151</v>
      </c>
    </row>
    <row r="57" spans="2:16" ht="15.75">
      <c r="B57" s="217" t="s">
        <v>62</v>
      </c>
      <c r="C57" s="218">
        <f t="shared" ref="C57:E57" si="27">SUM(C49:C56)</f>
        <v>428866</v>
      </c>
      <c r="D57" s="218">
        <f t="shared" ref="D57" si="28">SUM(D49:D56)</f>
        <v>472887</v>
      </c>
      <c r="E57" s="218">
        <f t="shared" si="27"/>
        <v>206509.2</v>
      </c>
      <c r="F57" s="218">
        <f t="shared" ref="F57" si="29">SUM(F49:F56)</f>
        <v>228073</v>
      </c>
      <c r="G57" s="218">
        <f t="shared" ref="G57:I57" si="30">SUM(G49:G56)</f>
        <v>222356.8</v>
      </c>
      <c r="H57" s="218">
        <f t="shared" si="30"/>
        <v>244814</v>
      </c>
      <c r="I57" s="218">
        <f t="shared" si="30"/>
        <v>800353</v>
      </c>
      <c r="J57" s="218">
        <f t="shared" ref="J57:P57" si="31">SUM(J49:J56)</f>
        <v>376308</v>
      </c>
      <c r="K57" s="218">
        <f t="shared" si="31"/>
        <v>370768.4</v>
      </c>
      <c r="L57" s="218">
        <f t="shared" si="31"/>
        <v>781792.6</v>
      </c>
      <c r="M57" s="532">
        <f t="shared" si="31"/>
        <v>901800.6</v>
      </c>
      <c r="N57" s="487">
        <f t="shared" si="31"/>
        <v>818086</v>
      </c>
      <c r="O57" s="487">
        <f t="shared" si="31"/>
        <v>839824.8</v>
      </c>
      <c r="P57" s="487">
        <f t="shared" si="31"/>
        <v>859383.2</v>
      </c>
    </row>
    <row r="58" spans="2:16" ht="15">
      <c r="B58" s="225" t="s">
        <v>52</v>
      </c>
      <c r="C58" s="594">
        <f t="shared" ref="C58:E58" si="32">IFERROR(C57/C66,"")</f>
        <v>0.11467603257389089</v>
      </c>
      <c r="D58" s="594">
        <f t="shared" ref="D58" si="33">IFERROR(D57/D66,"")</f>
        <v>0.12526533823322081</v>
      </c>
      <c r="E58" s="594">
        <f t="shared" si="32"/>
        <v>0.10385387842003498</v>
      </c>
      <c r="F58" s="594">
        <f t="shared" ref="F58" si="34">IFERROR(F57/F66,"")</f>
        <v>0.11376762727807233</v>
      </c>
      <c r="G58" s="594">
        <f t="shared" ref="G58:I58" si="35">IFERROR(G57/G66,"")</f>
        <v>0.12696339009691859</v>
      </c>
      <c r="H58" s="594"/>
      <c r="I58" s="594">
        <f t="shared" si="35"/>
        <v>0.10944715411799955</v>
      </c>
      <c r="J58" s="594">
        <f t="shared" ref="J58:P58" si="36">IFERROR(J57/J66,"")</f>
        <v>0.1040363187684662</v>
      </c>
      <c r="K58" s="594">
        <f t="shared" si="36"/>
        <v>9.6614292462525689E-2</v>
      </c>
      <c r="L58" s="594">
        <f t="shared" si="36"/>
        <v>9.7942467113168952E-2</v>
      </c>
      <c r="M58" s="595">
        <f t="shared" si="36"/>
        <v>9.5823227875007327E-2</v>
      </c>
      <c r="N58" s="518">
        <f t="shared" si="36"/>
        <v>8.3937317522217447E-2</v>
      </c>
      <c r="O58" s="518">
        <f t="shared" si="36"/>
        <v>9.5250264323586922E-2</v>
      </c>
      <c r="P58" s="518">
        <f t="shared" si="36"/>
        <v>9.769282637806076E-2</v>
      </c>
    </row>
    <row r="59" spans="2:16" ht="4.5" customHeight="1">
      <c r="B59" s="225"/>
      <c r="C59" s="226"/>
      <c r="D59" s="226"/>
      <c r="E59" s="226"/>
      <c r="F59" s="226"/>
      <c r="G59" s="226"/>
      <c r="H59" s="226"/>
      <c r="I59" s="226"/>
      <c r="J59" s="226"/>
      <c r="K59" s="226"/>
      <c r="L59" s="226"/>
      <c r="M59" s="538"/>
      <c r="N59" s="524"/>
      <c r="O59" s="524"/>
      <c r="P59" s="524"/>
    </row>
    <row r="60" spans="2:16" ht="15.75">
      <c r="B60" s="222" t="s">
        <v>63</v>
      </c>
      <c r="C60" s="223"/>
      <c r="D60" s="223"/>
      <c r="E60" s="223"/>
      <c r="F60" s="223"/>
      <c r="G60" s="223"/>
      <c r="H60" s="223"/>
      <c r="I60" s="223"/>
      <c r="J60" s="223"/>
      <c r="K60" s="223"/>
      <c r="L60" s="223"/>
      <c r="M60" s="534"/>
      <c r="N60" s="487">
        <f>'2024&amp;2023'!J41</f>
        <v>6147</v>
      </c>
      <c r="O60" s="487">
        <f>'2024&amp;2023'!K41</f>
        <v>17143</v>
      </c>
      <c r="P60" s="487">
        <f>'2024&amp;2023'!L41</f>
        <v>19190</v>
      </c>
    </row>
    <row r="61" spans="2:16" ht="17.25">
      <c r="B61" s="367" t="s">
        <v>64</v>
      </c>
      <c r="C61" s="560">
        <f>'2024&amp;2023'!C41</f>
        <v>-11044</v>
      </c>
      <c r="D61" s="589">
        <f t="shared" ref="D61" si="37">+F61+H61</f>
        <v>-11044</v>
      </c>
      <c r="E61" s="560">
        <f>C61-G61</f>
        <v>-5092</v>
      </c>
      <c r="F61" s="551">
        <f>-46416+35372+5952</f>
        <v>-5092</v>
      </c>
      <c r="G61" s="560">
        <f>'2024&amp;2023'!D41</f>
        <v>-5952</v>
      </c>
      <c r="H61" s="557">
        <f>-18865+12913</f>
        <v>-5952</v>
      </c>
      <c r="I61" s="558">
        <f>'2024&amp;2023'!E41</f>
        <v>-5884</v>
      </c>
      <c r="J61" s="560">
        <f>'2024&amp;2023'!F41</f>
        <v>1697</v>
      </c>
      <c r="K61" s="560">
        <f>'2024&amp;2023'!G41</f>
        <v>-12690</v>
      </c>
      <c r="L61" s="558">
        <f>'2024&amp;2023'!H41</f>
        <v>-30775</v>
      </c>
      <c r="M61" s="598">
        <f>'2024&amp;2023'!I41</f>
        <v>9173</v>
      </c>
      <c r="N61" s="487"/>
      <c r="O61" s="487"/>
      <c r="P61" s="487"/>
    </row>
    <row r="62" spans="2:16" ht="18">
      <c r="B62" s="367" t="s">
        <v>65</v>
      </c>
      <c r="C62" s="560"/>
      <c r="D62" s="551"/>
      <c r="E62" s="560"/>
      <c r="F62" s="551"/>
      <c r="G62" s="560"/>
      <c r="H62" s="557"/>
      <c r="I62" s="447">
        <f>'2024&amp;2023'!E42</f>
        <v>6216</v>
      </c>
      <c r="J62" s="560"/>
      <c r="K62" s="560"/>
      <c r="L62" s="447">
        <f>'2024&amp;2023'!H42</f>
        <v>4792</v>
      </c>
      <c r="M62" s="539">
        <f>'2024&amp;2023'!I42</f>
        <v>4163</v>
      </c>
      <c r="N62" s="487"/>
      <c r="O62" s="487"/>
      <c r="P62" s="487"/>
    </row>
    <row r="63" spans="2:16" ht="15.75">
      <c r="B63" s="217" t="s">
        <v>66</v>
      </c>
      <c r="C63" s="218">
        <f>SUM(C61)</f>
        <v>-11044</v>
      </c>
      <c r="D63" s="218">
        <f>SUM(D61)</f>
        <v>-11044</v>
      </c>
      <c r="E63" s="218">
        <f>C63-G63</f>
        <v>-5092</v>
      </c>
      <c r="F63" s="218">
        <f>D63-H63</f>
        <v>-5092</v>
      </c>
      <c r="G63" s="218">
        <f>SUM(G61)</f>
        <v>-5952</v>
      </c>
      <c r="H63" s="218">
        <f>SUM(H61)</f>
        <v>-5952</v>
      </c>
      <c r="I63" s="218">
        <f>SUM(I61:I62)</f>
        <v>332</v>
      </c>
      <c r="J63" s="218">
        <f>SUM(J61:J62)</f>
        <v>1697</v>
      </c>
      <c r="K63" s="218">
        <f>SUM(K61:K62)</f>
        <v>-12690</v>
      </c>
      <c r="L63" s="218">
        <f>SUM(L61:L62)</f>
        <v>-25983</v>
      </c>
      <c r="M63" s="532">
        <f>SUM(M61:M62)</f>
        <v>13336</v>
      </c>
      <c r="N63" s="487"/>
      <c r="O63" s="487"/>
      <c r="P63" s="487"/>
    </row>
    <row r="64" spans="2:16" ht="15">
      <c r="B64" s="225" t="s">
        <v>52</v>
      </c>
      <c r="C64" s="594">
        <f t="shared" ref="C64:E64" si="38">IFERROR(C63/C66,"")</f>
        <v>-2.953095148009054E-3</v>
      </c>
      <c r="D64" s="594">
        <f t="shared" ref="D64" si="39">IFERROR(D63/D66,"")</f>
        <v>-2.92549889391692E-3</v>
      </c>
      <c r="E64" s="594">
        <f t="shared" si="38"/>
        <v>-2.5607767059037472E-3</v>
      </c>
      <c r="F64" s="594">
        <f t="shared" ref="F64" si="40">IFERROR(F63/F66,"")</f>
        <v>-2.5399970978587745E-3</v>
      </c>
      <c r="G64" s="594">
        <f t="shared" ref="G64:M66" si="41">IFERROR(G63/G66,"")</f>
        <v>-3.3985292910172281E-3</v>
      </c>
      <c r="H64" s="594">
        <f t="shared" si="41"/>
        <v>-3.362035829281356E-3</v>
      </c>
      <c r="I64" s="594">
        <f t="shared" si="41"/>
        <v>4.5400535972471956E-5</v>
      </c>
      <c r="J64" s="594">
        <f t="shared" si="41"/>
        <v>4.6916258211381935E-4</v>
      </c>
      <c r="K64" s="594">
        <f t="shared" si="41"/>
        <v>-3.3067418133515447E-3</v>
      </c>
      <c r="L64" s="594">
        <f t="shared" si="41"/>
        <v>-3.2551332962239203E-3</v>
      </c>
      <c r="M64" s="595">
        <f t="shared" si="41"/>
        <v>1.4170522474049115E-3</v>
      </c>
      <c r="N64" s="518">
        <f t="shared" ref="N64:P64" si="42">IFERROR(N60/N66,"")</f>
        <v>6.3069492792820151E-4</v>
      </c>
      <c r="O64" s="518">
        <f t="shared" si="42"/>
        <v>1.9443046708066379E-3</v>
      </c>
      <c r="P64" s="518">
        <f t="shared" si="42"/>
        <v>2.1814777600900111E-3</v>
      </c>
    </row>
    <row r="65" spans="2:16" ht="4.5" customHeight="1">
      <c r="B65" s="604"/>
      <c r="C65" s="605"/>
      <c r="D65" s="605"/>
      <c r="E65" s="605"/>
      <c r="F65" s="605"/>
      <c r="G65" s="605"/>
      <c r="H65" s="605"/>
      <c r="I65" s="605"/>
      <c r="J65" s="605"/>
      <c r="K65" s="605"/>
      <c r="L65" s="605"/>
      <c r="M65" s="606"/>
      <c r="N65" s="523"/>
      <c r="O65" s="523"/>
      <c r="P65" s="523"/>
    </row>
    <row r="66" spans="2:16" ht="15.75">
      <c r="B66" s="217" t="s">
        <v>67</v>
      </c>
      <c r="C66" s="218">
        <f t="shared" ref="C66:E66" si="43">C32+C45+C57+C63</f>
        <v>3739805</v>
      </c>
      <c r="D66" s="218">
        <f t="shared" ref="D66" si="44">D32+D45+D57+D63</f>
        <v>3775082.6100000003</v>
      </c>
      <c r="E66" s="218">
        <f t="shared" si="43"/>
        <v>1988459.2</v>
      </c>
      <c r="F66" s="218">
        <f t="shared" ref="F66" si="45">F32+F45+F57+F63</f>
        <v>2004726.7000000007</v>
      </c>
      <c r="G66" s="218">
        <f t="shared" ref="G66:M66" si="46">G32+G45+G57+G63</f>
        <v>1751345.8</v>
      </c>
      <c r="H66" s="218">
        <f t="shared" si="46"/>
        <v>1770355.9100000001</v>
      </c>
      <c r="I66" s="218">
        <f t="shared" si="46"/>
        <v>7312689</v>
      </c>
      <c r="J66" s="218">
        <f t="shared" si="46"/>
        <v>3617083</v>
      </c>
      <c r="K66" s="218">
        <f t="shared" si="46"/>
        <v>3837614.4</v>
      </c>
      <c r="L66" s="218">
        <f t="shared" si="46"/>
        <v>7982161.5999999996</v>
      </c>
      <c r="M66" s="532">
        <f t="shared" si="46"/>
        <v>9411085.5999999996</v>
      </c>
      <c r="N66" s="487">
        <f t="shared" ref="N66:P66" si="47">N32+N45+N57+N60</f>
        <v>9746392</v>
      </c>
      <c r="O66" s="487">
        <f t="shared" si="47"/>
        <v>8817033.8000000007</v>
      </c>
      <c r="P66" s="487">
        <f t="shared" si="47"/>
        <v>8796789.1999999993</v>
      </c>
    </row>
    <row r="67" spans="2:16" ht="4.5" customHeight="1" thickBot="1">
      <c r="B67" s="607"/>
      <c r="C67" s="608"/>
      <c r="D67" s="608"/>
      <c r="E67" s="608"/>
      <c r="F67" s="608"/>
      <c r="G67" s="608"/>
      <c r="H67" s="608"/>
      <c r="I67" s="608"/>
      <c r="J67" s="608"/>
      <c r="K67" s="608"/>
      <c r="L67" s="608"/>
      <c r="M67" s="609"/>
      <c r="N67" s="525"/>
      <c r="O67" s="525"/>
      <c r="P67" s="525"/>
    </row>
    <row r="68" spans="2:16" ht="15.75">
      <c r="B68" s="227" t="s">
        <v>68</v>
      </c>
      <c r="C68" s="228">
        <f t="shared" ref="C68:E68" si="48">C12-C66</f>
        <v>1035885</v>
      </c>
      <c r="D68" s="228">
        <f t="shared" ref="D68" si="49">D12-D66</f>
        <v>1000606.3899999997</v>
      </c>
      <c r="E68" s="228">
        <f t="shared" si="48"/>
        <v>377548.80000000005</v>
      </c>
      <c r="F68" s="228">
        <f t="shared" ref="F68" si="50">F12-F66</f>
        <v>361280.29999999935</v>
      </c>
      <c r="G68" s="228">
        <f t="shared" ref="G68:I68" si="51">G12-G66</f>
        <v>658336.19999999995</v>
      </c>
      <c r="H68" s="228">
        <f t="shared" ref="H68" si="52">H12-H66</f>
        <v>639326.08999999985</v>
      </c>
      <c r="I68" s="228">
        <f t="shared" si="51"/>
        <v>1693360</v>
      </c>
      <c r="J68" s="228">
        <f t="shared" ref="J68:P68" si="53">J12-J66</f>
        <v>861558</v>
      </c>
      <c r="K68" s="228">
        <f t="shared" si="53"/>
        <v>699544.60000000009</v>
      </c>
      <c r="L68" s="228">
        <f t="shared" si="53"/>
        <v>1369004.4000000004</v>
      </c>
      <c r="M68" s="540">
        <f t="shared" si="53"/>
        <v>1716019.4000000004</v>
      </c>
      <c r="N68" s="526">
        <f t="shared" si="53"/>
        <v>1934944</v>
      </c>
      <c r="O68" s="526">
        <f t="shared" si="53"/>
        <v>1429017.1999999993</v>
      </c>
      <c r="P68" s="526">
        <f t="shared" si="53"/>
        <v>1013411.8000000007</v>
      </c>
    </row>
    <row r="69" spans="2:16" ht="15.75" thickBot="1">
      <c r="B69" s="610" t="s">
        <v>69</v>
      </c>
      <c r="C69" s="611">
        <f t="shared" ref="C69:E69" si="54">IFERROR(C68/C12,"")</f>
        <v>0.21690792325297495</v>
      </c>
      <c r="D69" s="611">
        <f t="shared" ref="D69" si="55">IFERROR(D68/D12,"")</f>
        <v>0.20952084400805823</v>
      </c>
      <c r="E69" s="611">
        <f t="shared" si="54"/>
        <v>0.15957207245284041</v>
      </c>
      <c r="F69" s="611">
        <f t="shared" ref="F69" si="56">IFERROR(F68/F12,"")</f>
        <v>0.1526962092673434</v>
      </c>
      <c r="G69" s="611">
        <f t="shared" ref="G69:I69" si="57">IFERROR(G68/G12,"")</f>
        <v>0.27320459712111389</v>
      </c>
      <c r="H69" s="611">
        <f t="shared" ref="H69" si="58">IFERROR(H68/H12,"")</f>
        <v>0.26531554371074684</v>
      </c>
      <c r="I69" s="611">
        <f t="shared" si="57"/>
        <v>0.1880247375958092</v>
      </c>
      <c r="J69" s="611">
        <f t="shared" ref="J69:P69" si="59">IFERROR(J68/J12,"")</f>
        <v>0.19237040879141687</v>
      </c>
      <c r="K69" s="611">
        <f t="shared" si="59"/>
        <v>0.1541811957658967</v>
      </c>
      <c r="L69" s="611">
        <f t="shared" si="59"/>
        <v>0.14639932603057207</v>
      </c>
      <c r="M69" s="612">
        <f t="shared" si="59"/>
        <v>0.15421975437456556</v>
      </c>
      <c r="N69" s="527">
        <f t="shared" si="59"/>
        <v>0.16564406674031121</v>
      </c>
      <c r="O69" s="527">
        <f t="shared" si="59"/>
        <v>0.13947004558146345</v>
      </c>
      <c r="P69" s="527">
        <f t="shared" si="59"/>
        <v>0.103301838565795</v>
      </c>
    </row>
    <row r="70" spans="2:16" ht="17.25">
      <c r="B70" s="541" t="s">
        <v>70</v>
      </c>
      <c r="C70" s="541"/>
      <c r="D70" s="541"/>
      <c r="E70" s="541"/>
      <c r="F70" s="541"/>
      <c r="G70" s="541"/>
      <c r="H70" s="541"/>
      <c r="I70" s="541"/>
      <c r="J70" s="542"/>
      <c r="K70" s="542"/>
      <c r="L70" s="543"/>
      <c r="M70" s="543"/>
      <c r="N70" s="556"/>
      <c r="O70" s="556"/>
      <c r="P70" s="556"/>
    </row>
    <row r="71" spans="2:16">
      <c r="B71" s="561" t="s">
        <v>71</v>
      </c>
      <c r="C71" s="561"/>
      <c r="D71" s="561"/>
      <c r="E71" s="561"/>
      <c r="F71" s="561"/>
      <c r="G71" s="561"/>
      <c r="H71" s="561"/>
      <c r="I71" s="561"/>
      <c r="J71" s="561"/>
      <c r="K71" s="561"/>
      <c r="L71" s="561"/>
      <c r="M71" s="561"/>
      <c r="N71" s="556"/>
      <c r="O71" s="556"/>
      <c r="P71" s="556"/>
    </row>
    <row r="72" spans="2:16">
      <c r="B72" s="561"/>
      <c r="C72" s="561"/>
      <c r="D72" s="561"/>
      <c r="E72" s="561"/>
      <c r="F72" s="561"/>
      <c r="G72" s="561"/>
      <c r="H72" s="561"/>
      <c r="I72" s="561"/>
      <c r="J72" s="561"/>
      <c r="K72" s="561"/>
      <c r="L72" s="561"/>
      <c r="M72" s="561"/>
      <c r="N72" s="556"/>
      <c r="O72" s="556"/>
      <c r="P72" s="556"/>
    </row>
    <row r="73" spans="2:16" ht="20.45" customHeight="1">
      <c r="B73" s="561"/>
      <c r="C73" s="561"/>
      <c r="D73" s="561"/>
      <c r="E73" s="561"/>
      <c r="F73" s="561"/>
      <c r="G73" s="561"/>
      <c r="H73" s="561"/>
      <c r="I73" s="561"/>
      <c r="J73" s="561"/>
      <c r="K73" s="561"/>
      <c r="L73" s="561"/>
      <c r="M73" s="561"/>
      <c r="N73" s="556"/>
      <c r="O73" s="556"/>
      <c r="P73" s="556"/>
    </row>
    <row r="79" spans="2:16">
      <c r="B79" s="556"/>
      <c r="C79" s="556"/>
      <c r="D79" s="556"/>
      <c r="E79" s="353"/>
      <c r="F79" s="353"/>
      <c r="G79" s="556"/>
      <c r="H79" s="556"/>
      <c r="I79" s="556"/>
      <c r="J79" s="556"/>
      <c r="K79" s="556"/>
      <c r="N79" s="556"/>
      <c r="O79" s="556"/>
      <c r="P79" s="556"/>
    </row>
    <row r="80" spans="2:16">
      <c r="B80" s="556"/>
      <c r="C80" s="556"/>
      <c r="D80" s="556"/>
      <c r="E80" s="353"/>
      <c r="F80" s="353"/>
      <c r="G80" s="556"/>
      <c r="H80" s="556"/>
      <c r="I80" s="556"/>
      <c r="J80" s="556"/>
      <c r="K80" s="556"/>
      <c r="N80" s="556"/>
      <c r="O80" s="556"/>
      <c r="P80" s="556"/>
    </row>
  </sheetData>
  <mergeCells count="49">
    <mergeCell ref="K19:K20"/>
    <mergeCell ref="E16:E17"/>
    <mergeCell ref="E19:E20"/>
    <mergeCell ref="J16:J17"/>
    <mergeCell ref="J19:J20"/>
    <mergeCell ref="J29:J30"/>
    <mergeCell ref="J36:J37"/>
    <mergeCell ref="J38:J39"/>
    <mergeCell ref="B71:M73"/>
    <mergeCell ref="G49:G50"/>
    <mergeCell ref="G51:G52"/>
    <mergeCell ref="G61:G62"/>
    <mergeCell ref="G29:G30"/>
    <mergeCell ref="G36:G37"/>
    <mergeCell ref="J49:J50"/>
    <mergeCell ref="J51:J52"/>
    <mergeCell ref="J61:J62"/>
    <mergeCell ref="K29:K30"/>
    <mergeCell ref="K36:K37"/>
    <mergeCell ref="K38:K39"/>
    <mergeCell ref="K49:K50"/>
    <mergeCell ref="K51:K52"/>
    <mergeCell ref="K61:K62"/>
    <mergeCell ref="C38:C39"/>
    <mergeCell ref="C49:C50"/>
    <mergeCell ref="C51:C52"/>
    <mergeCell ref="C61:C62"/>
    <mergeCell ref="E61:E62"/>
    <mergeCell ref="E38:E39"/>
    <mergeCell ref="E49:E50"/>
    <mergeCell ref="E51:E52"/>
    <mergeCell ref="C2:P2"/>
    <mergeCell ref="C3:P3"/>
    <mergeCell ref="C4:P4"/>
    <mergeCell ref="C9:C10"/>
    <mergeCell ref="C16:C17"/>
    <mergeCell ref="J9:J10"/>
    <mergeCell ref="K9:K10"/>
    <mergeCell ref="K16:K17"/>
    <mergeCell ref="E9:E10"/>
    <mergeCell ref="C19:C20"/>
    <mergeCell ref="C29:C30"/>
    <mergeCell ref="C36:C37"/>
    <mergeCell ref="G9:G10"/>
    <mergeCell ref="G38:G39"/>
    <mergeCell ref="G19:G20"/>
    <mergeCell ref="G16:G17"/>
    <mergeCell ref="E29:E30"/>
    <mergeCell ref="E36:E37"/>
  </mergeCells>
  <phoneticPr fontId="62" type="noConversion"/>
  <pageMargins left="0.25" right="0.25" top="0.75" bottom="0.75" header="0.3" footer="0.3"/>
  <pageSetup scale="65" orientation="portrait" r:id="rId1"/>
  <ignoredErrors>
    <ignoredError sqref="E63"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F650F-5B2B-4521-BC52-E40BD1F87FEF}">
  <sheetPr codeName="Sheet3">
    <tabColor rgb="FF00B050"/>
  </sheetPr>
  <dimension ref="B1:S78"/>
  <sheetViews>
    <sheetView zoomScale="80" zoomScaleNormal="80" workbookViewId="0">
      <selection activeCell="A20" sqref="A20"/>
    </sheetView>
  </sheetViews>
  <sheetFormatPr defaultRowHeight="12.75"/>
  <cols>
    <col min="1" max="1" width="0.85546875" customWidth="1"/>
    <col min="2" max="2" width="40.5703125" customWidth="1"/>
    <col min="3" max="3" width="12.85546875" bestFit="1" customWidth="1"/>
    <col min="4" max="4" width="12.85546875" customWidth="1"/>
    <col min="5" max="5" width="11.28515625" bestFit="1" customWidth="1"/>
    <col min="6" max="6" width="13.7109375" bestFit="1" customWidth="1"/>
    <col min="7" max="7" width="11.28515625" bestFit="1" customWidth="1"/>
    <col min="8" max="8" width="12.42578125" bestFit="1" customWidth="1"/>
    <col min="9" max="9" width="12.140625" customWidth="1"/>
    <col min="10" max="10" width="12.85546875" hidden="1" customWidth="1"/>
    <col min="11" max="11" width="15.42578125" hidden="1" customWidth="1"/>
    <col min="12" max="12" width="13.140625" bestFit="1" customWidth="1"/>
    <col min="13" max="13" width="12.42578125" bestFit="1" customWidth="1"/>
    <col min="14" max="15" width="13" hidden="1" customWidth="1"/>
    <col min="16" max="16" width="11.7109375" hidden="1" customWidth="1"/>
    <col min="19" max="19" width="0" hidden="1" customWidth="1"/>
  </cols>
  <sheetData>
    <row r="1" spans="2:19" ht="4.5" customHeight="1">
      <c r="B1" s="556"/>
      <c r="C1" s="556"/>
      <c r="D1" s="556"/>
      <c r="E1" s="556"/>
      <c r="F1" s="556"/>
      <c r="G1" s="556"/>
      <c r="H1" s="556"/>
      <c r="I1" s="556"/>
      <c r="J1" s="556"/>
      <c r="K1" s="556"/>
      <c r="L1" s="556"/>
      <c r="M1" s="556"/>
      <c r="N1" s="556"/>
      <c r="O1" s="556"/>
      <c r="P1" s="556"/>
      <c r="Q1" s="556"/>
      <c r="R1" s="556"/>
      <c r="S1" s="556"/>
    </row>
    <row r="2" spans="2:19" ht="15.75">
      <c r="B2" s="230" t="s">
        <v>0</v>
      </c>
      <c r="C2" s="559" t="s">
        <v>1</v>
      </c>
      <c r="D2" s="559"/>
      <c r="E2" s="559"/>
      <c r="F2" s="559"/>
      <c r="G2" s="559"/>
      <c r="H2" s="559"/>
      <c r="I2" s="559"/>
      <c r="J2" s="559"/>
      <c r="K2" s="559"/>
      <c r="L2" s="559"/>
      <c r="M2" s="559"/>
      <c r="N2" s="559"/>
      <c r="O2" s="559"/>
      <c r="P2" s="559"/>
      <c r="Q2" s="556"/>
      <c r="R2" s="556"/>
      <c r="S2" s="556"/>
    </row>
    <row r="3" spans="2:19" ht="15.75">
      <c r="B3" s="230" t="s">
        <v>2</v>
      </c>
      <c r="C3" s="559" t="s">
        <v>3</v>
      </c>
      <c r="D3" s="559"/>
      <c r="E3" s="559"/>
      <c r="F3" s="559"/>
      <c r="G3" s="559"/>
      <c r="H3" s="559"/>
      <c r="I3" s="559"/>
      <c r="J3" s="559"/>
      <c r="K3" s="559"/>
      <c r="L3" s="559"/>
      <c r="M3" s="559"/>
      <c r="N3" s="559"/>
      <c r="O3" s="559"/>
      <c r="P3" s="559"/>
      <c r="Q3" s="556"/>
      <c r="R3" s="556"/>
      <c r="S3" s="556"/>
    </row>
    <row r="4" spans="2:19" ht="15.75">
      <c r="B4" s="556"/>
      <c r="C4" s="559" t="s">
        <v>4</v>
      </c>
      <c r="D4" s="559"/>
      <c r="E4" s="559"/>
      <c r="F4" s="559"/>
      <c r="G4" s="559"/>
      <c r="H4" s="559"/>
      <c r="I4" s="559"/>
      <c r="J4" s="559"/>
      <c r="K4" s="559"/>
      <c r="L4" s="559"/>
      <c r="M4" s="559"/>
      <c r="N4" s="559"/>
      <c r="O4" s="559"/>
      <c r="P4" s="559"/>
      <c r="Q4" s="556"/>
      <c r="R4" s="556"/>
      <c r="S4" s="556"/>
    </row>
    <row r="5" spans="2:19" ht="4.5" customHeight="1" thickBot="1">
      <c r="B5" s="556"/>
      <c r="C5" s="556"/>
      <c r="D5" s="556"/>
      <c r="E5" s="556"/>
      <c r="F5" s="556"/>
      <c r="G5" s="556"/>
      <c r="H5" s="556"/>
      <c r="I5" s="556"/>
      <c r="J5" s="556"/>
      <c r="K5" s="556"/>
      <c r="L5" s="556"/>
      <c r="M5" s="556"/>
      <c r="N5" s="556"/>
      <c r="O5" s="556"/>
      <c r="P5" s="556"/>
      <c r="Q5" s="556"/>
      <c r="R5" s="556"/>
      <c r="S5" s="556"/>
    </row>
    <row r="6" spans="2:19" ht="15.75" thickBot="1">
      <c r="B6" s="556"/>
      <c r="C6" s="370" t="s">
        <v>5</v>
      </c>
      <c r="D6" s="370" t="s">
        <v>6</v>
      </c>
      <c r="E6" s="370" t="s">
        <v>5</v>
      </c>
      <c r="F6" s="370" t="s">
        <v>6</v>
      </c>
      <c r="G6" s="370" t="s">
        <v>5</v>
      </c>
      <c r="H6" s="370" t="s">
        <v>72</v>
      </c>
      <c r="I6" s="370" t="s">
        <v>7</v>
      </c>
      <c r="J6" s="370" t="s">
        <v>5</v>
      </c>
      <c r="K6" s="370" t="s">
        <v>5</v>
      </c>
      <c r="L6" s="370" t="s">
        <v>7</v>
      </c>
      <c r="M6" s="370" t="s">
        <v>7</v>
      </c>
      <c r="N6" s="505" t="s">
        <v>7</v>
      </c>
      <c r="O6" s="505" t="s">
        <v>7</v>
      </c>
      <c r="P6" s="505" t="s">
        <v>7</v>
      </c>
      <c r="Q6" s="556"/>
      <c r="R6" s="556"/>
      <c r="S6" s="556"/>
    </row>
    <row r="7" spans="2:19" ht="19.5" thickBot="1">
      <c r="B7" s="231" t="s">
        <v>8</v>
      </c>
      <c r="C7" s="368" t="s">
        <v>9</v>
      </c>
      <c r="D7" s="368" t="s">
        <v>9</v>
      </c>
      <c r="E7" s="368" t="s">
        <v>10</v>
      </c>
      <c r="F7" s="368" t="s">
        <v>9</v>
      </c>
      <c r="G7" s="368" t="s">
        <v>11</v>
      </c>
      <c r="H7" s="368" t="s">
        <v>11</v>
      </c>
      <c r="I7" s="368" t="s">
        <v>12</v>
      </c>
      <c r="J7" s="368" t="s">
        <v>13</v>
      </c>
      <c r="K7" s="368" t="s">
        <v>73</v>
      </c>
      <c r="L7" s="368" t="s">
        <v>15</v>
      </c>
      <c r="M7" s="368" t="s">
        <v>16</v>
      </c>
      <c r="N7" s="506" t="s">
        <v>17</v>
      </c>
      <c r="O7" s="506" t="s">
        <v>18</v>
      </c>
      <c r="P7" s="506" t="s">
        <v>19</v>
      </c>
      <c r="Q7" s="556"/>
      <c r="R7" s="556"/>
      <c r="S7" s="556"/>
    </row>
    <row r="8" spans="2:19" ht="15.75">
      <c r="B8" s="232" t="s">
        <v>68</v>
      </c>
      <c r="C8" s="240">
        <f>'1-T5Y IS'!C68</f>
        <v>1035885</v>
      </c>
      <c r="D8" s="240">
        <f>'1-T5Y IS'!D68</f>
        <v>1000606.3899999997</v>
      </c>
      <c r="E8" s="240">
        <f>'1-T5Y IS'!E68</f>
        <v>377548.80000000005</v>
      </c>
      <c r="F8" s="240">
        <f>'1-T5Y IS'!F68</f>
        <v>361280.29999999935</v>
      </c>
      <c r="G8" s="240">
        <f>'1-T5Y IS'!G68</f>
        <v>658336.19999999995</v>
      </c>
      <c r="H8" s="240">
        <f>'1-T5Y IS'!H68</f>
        <v>639326.08999999985</v>
      </c>
      <c r="I8" s="240">
        <f>'1-T5Y IS'!I68</f>
        <v>1693360</v>
      </c>
      <c r="J8" s="240">
        <f>'1-T5Y IS'!J68</f>
        <v>861558</v>
      </c>
      <c r="K8" s="240">
        <f>'1-T5Y IS'!K68</f>
        <v>699544.60000000009</v>
      </c>
      <c r="L8" s="240">
        <f>'1-T5Y IS'!L68</f>
        <v>1369004.4000000004</v>
      </c>
      <c r="M8" s="240">
        <f>'1-T5Y IS'!M68</f>
        <v>1716019.4000000004</v>
      </c>
      <c r="N8" s="507">
        <f>'1-T5Y IS'!N68</f>
        <v>1934944</v>
      </c>
      <c r="O8" s="507">
        <f>'1-T5Y IS'!O68</f>
        <v>1429017.1999999993</v>
      </c>
      <c r="P8" s="507">
        <f>'1-T5Y IS'!P68</f>
        <v>1013411.8000000007</v>
      </c>
      <c r="Q8" s="556"/>
      <c r="R8" s="556"/>
      <c r="S8" s="556"/>
    </row>
    <row r="9" spans="2:19" ht="15.75" thickBot="1">
      <c r="B9" s="613" t="s">
        <v>69</v>
      </c>
      <c r="C9" s="614">
        <f>'1-T5Y IS'!C69</f>
        <v>0.21690792325297495</v>
      </c>
      <c r="D9" s="614">
        <f>'1-T5Y IS'!D69</f>
        <v>0.20952084400805823</v>
      </c>
      <c r="E9" s="614">
        <f>'1-T5Y IS'!E69</f>
        <v>0.15957207245284041</v>
      </c>
      <c r="F9" s="614">
        <f>'1-T5Y IS'!F69</f>
        <v>0.1526962092673434</v>
      </c>
      <c r="G9" s="614">
        <f>'1-T5Y IS'!G69</f>
        <v>0.27320459712111389</v>
      </c>
      <c r="H9" s="614">
        <f>'1-T5Y IS'!H69</f>
        <v>0.26531554371074684</v>
      </c>
      <c r="I9" s="614">
        <f>'1-T5Y IS'!I69</f>
        <v>0.1880247375958092</v>
      </c>
      <c r="J9" s="614">
        <f>'1-T5Y IS'!J69</f>
        <v>0.19237040879141687</v>
      </c>
      <c r="K9" s="614">
        <f>'1-T5Y IS'!K69</f>
        <v>0.1541811957658967</v>
      </c>
      <c r="L9" s="614">
        <f>'1-T5Y IS'!L69</f>
        <v>0.14639932603057207</v>
      </c>
      <c r="M9" s="614">
        <f>'1-T5Y IS'!M69</f>
        <v>0.15421975437456556</v>
      </c>
      <c r="N9" s="508">
        <f>'1-T5Y IS'!N69</f>
        <v>0.16564406674031121</v>
      </c>
      <c r="O9" s="508">
        <f>'1-T5Y IS'!O69</f>
        <v>0.13947004558146345</v>
      </c>
      <c r="P9" s="508">
        <f>'1-T5Y IS'!P69</f>
        <v>0.103301838565795</v>
      </c>
      <c r="Q9" s="556"/>
      <c r="R9" s="556"/>
      <c r="S9" s="556"/>
    </row>
    <row r="10" spans="2:19" ht="15.75">
      <c r="B10" s="233" t="s">
        <v>74</v>
      </c>
      <c r="C10" s="242"/>
      <c r="D10" s="242"/>
      <c r="E10" s="242"/>
      <c r="F10" s="242"/>
      <c r="G10" s="242"/>
      <c r="H10" s="242"/>
      <c r="I10" s="242"/>
      <c r="J10" s="242"/>
      <c r="K10" s="242"/>
      <c r="L10" s="242"/>
      <c r="M10" s="242"/>
      <c r="N10" s="495"/>
      <c r="O10" s="495"/>
      <c r="P10" s="495"/>
      <c r="Q10" s="556"/>
      <c r="R10" s="556"/>
      <c r="S10" s="556"/>
    </row>
    <row r="11" spans="2:19" ht="15">
      <c r="B11" s="234" t="s">
        <v>75</v>
      </c>
      <c r="C11" s="615"/>
      <c r="D11" s="615"/>
      <c r="E11" s="615"/>
      <c r="F11" s="615"/>
      <c r="G11" s="615"/>
      <c r="H11" s="615"/>
      <c r="I11" s="615"/>
      <c r="J11" s="615"/>
      <c r="K11" s="615"/>
      <c r="L11" s="615"/>
      <c r="M11" s="615"/>
      <c r="N11" s="509"/>
      <c r="O11" s="509"/>
      <c r="P11" s="509"/>
      <c r="Q11" s="556"/>
      <c r="R11" s="556"/>
      <c r="S11" s="556"/>
    </row>
    <row r="12" spans="2:19" ht="15">
      <c r="B12" s="357" t="s">
        <v>76</v>
      </c>
      <c r="C12" s="446">
        <f>'2024&amp;2023'!C76</f>
        <v>1531</v>
      </c>
      <c r="D12" s="446">
        <f>+F12+H12</f>
        <v>1531</v>
      </c>
      <c r="E12" s="446">
        <f>C12-G12</f>
        <v>1016</v>
      </c>
      <c r="F12" s="446">
        <f>1531-515</f>
        <v>1016</v>
      </c>
      <c r="G12" s="446">
        <f>'2024&amp;2023'!D76</f>
        <v>515</v>
      </c>
      <c r="H12" s="446">
        <v>515</v>
      </c>
      <c r="I12" s="446">
        <f>'2024&amp;2023'!E76</f>
        <v>7823</v>
      </c>
      <c r="J12" s="446">
        <f>'2024&amp;2023'!F76</f>
        <v>3474</v>
      </c>
      <c r="K12" s="446">
        <f>'2024&amp;2023'!G76</f>
        <v>8845</v>
      </c>
      <c r="L12" s="446">
        <f>'2024&amp;2023'!H76</f>
        <v>10995</v>
      </c>
      <c r="M12" s="446">
        <f>'2024&amp;2023'!I76</f>
        <v>12447</v>
      </c>
      <c r="N12" s="510">
        <f>'2024&amp;2023'!J76</f>
        <v>25516</v>
      </c>
      <c r="O12" s="510">
        <f>'2024&amp;2023'!K76</f>
        <v>0</v>
      </c>
      <c r="P12" s="510">
        <f>'2024&amp;2023'!L76</f>
        <v>0</v>
      </c>
      <c r="Q12" s="556"/>
      <c r="R12" s="556"/>
      <c r="S12" s="556"/>
    </row>
    <row r="13" spans="2:19" ht="15">
      <c r="B13" s="357" t="str">
        <f>'2024&amp;2023'!B67</f>
        <v>Travel and Entertainment (HCF)</v>
      </c>
      <c r="C13" s="446">
        <f>'2024&amp;2023'!C67</f>
        <v>10973</v>
      </c>
      <c r="D13" s="446">
        <f t="shared" ref="D13:D19" si="0">+F13+H13</f>
        <v>10973</v>
      </c>
      <c r="E13" s="446">
        <f t="shared" ref="E13:E19" si="1">C13-G13</f>
        <v>5765</v>
      </c>
      <c r="F13" s="446">
        <f>6142+4831-5208</f>
        <v>5765</v>
      </c>
      <c r="G13" s="446">
        <f>'2024&amp;2023'!D67</f>
        <v>5208</v>
      </c>
      <c r="H13" s="446">
        <f>4085+1123</f>
        <v>5208</v>
      </c>
      <c r="I13" s="446">
        <f>'2024&amp;2023'!E67</f>
        <v>15274</v>
      </c>
      <c r="J13" s="446">
        <f>'2024&amp;2023'!F67</f>
        <v>4516</v>
      </c>
      <c r="K13" s="446">
        <f>'2024&amp;2023'!G67</f>
        <v>13063</v>
      </c>
      <c r="L13" s="446">
        <f>'2024&amp;2023'!H67</f>
        <v>23822</v>
      </c>
      <c r="M13" s="446">
        <f>'2024&amp;2023'!I67</f>
        <v>41639</v>
      </c>
      <c r="N13" s="510">
        <f>'2024&amp;2023'!J67</f>
        <v>23791</v>
      </c>
      <c r="O13" s="510">
        <f>'2024&amp;2023'!K67</f>
        <v>23622</v>
      </c>
      <c r="P13" s="510">
        <f>'2024&amp;2023'!L67</f>
        <v>7286</v>
      </c>
      <c r="Q13" s="556"/>
      <c r="R13" s="556"/>
      <c r="S13" s="556"/>
    </row>
    <row r="14" spans="2:19" ht="15">
      <c r="B14" s="357" t="str">
        <f>'2024&amp;2023'!B68</f>
        <v>Travel and Entertainment (G. Fordyce)</v>
      </c>
      <c r="C14" s="446">
        <f>'2024&amp;2023'!C68</f>
        <v>0</v>
      </c>
      <c r="D14" s="446">
        <f t="shared" si="0"/>
        <v>0</v>
      </c>
      <c r="E14" s="446">
        <f t="shared" si="1"/>
        <v>0</v>
      </c>
      <c r="F14" s="446"/>
      <c r="G14" s="446">
        <f>'2024&amp;2023'!D68</f>
        <v>0</v>
      </c>
      <c r="H14" s="446"/>
      <c r="I14" s="446">
        <f>'2024&amp;2023'!E68</f>
        <v>3679</v>
      </c>
      <c r="J14" s="446">
        <f>'2024&amp;2023'!F68</f>
        <v>0</v>
      </c>
      <c r="K14" s="446">
        <f>'2024&amp;2023'!G68</f>
        <v>0</v>
      </c>
      <c r="L14" s="446">
        <f>'2024&amp;2023'!H68</f>
        <v>5497</v>
      </c>
      <c r="M14" s="446">
        <f>'2024&amp;2023'!I68</f>
        <v>1611</v>
      </c>
      <c r="N14" s="510"/>
      <c r="O14" s="510"/>
      <c r="P14" s="510"/>
      <c r="Q14" s="556"/>
      <c r="R14" s="556"/>
      <c r="S14" s="556"/>
    </row>
    <row r="15" spans="2:19" ht="15">
      <c r="B15" s="357" t="s">
        <v>77</v>
      </c>
      <c r="C15" s="446">
        <f>'2024&amp;2023'!C86</f>
        <v>148173</v>
      </c>
      <c r="D15" s="446">
        <f t="shared" si="0"/>
        <v>0</v>
      </c>
      <c r="E15" s="446">
        <f t="shared" si="1"/>
        <v>74047</v>
      </c>
      <c r="F15" s="446"/>
      <c r="G15" s="446">
        <f>'2024&amp;2023'!D86</f>
        <v>74126</v>
      </c>
      <c r="H15" s="446"/>
      <c r="I15" s="446">
        <f>'2024&amp;2023'!E86</f>
        <v>0</v>
      </c>
      <c r="J15" s="446">
        <f>'2024&amp;2023'!F86</f>
        <v>165564</v>
      </c>
      <c r="K15" s="446">
        <f>'2024&amp;2023'!G86</f>
        <v>167528</v>
      </c>
      <c r="L15" s="446">
        <v>0</v>
      </c>
      <c r="M15" s="446">
        <v>0</v>
      </c>
      <c r="N15" s="510">
        <v>0</v>
      </c>
      <c r="O15" s="510">
        <v>0</v>
      </c>
      <c r="P15" s="510">
        <v>0</v>
      </c>
      <c r="Q15" s="556"/>
      <c r="R15" s="556"/>
      <c r="S15" s="556"/>
    </row>
    <row r="16" spans="2:19" ht="15">
      <c r="B16" s="357" t="s">
        <v>78</v>
      </c>
      <c r="C16" s="446">
        <f>'2024&amp;2023'!C87</f>
        <v>62136</v>
      </c>
      <c r="D16" s="446">
        <f t="shared" si="0"/>
        <v>0</v>
      </c>
      <c r="E16" s="446">
        <f t="shared" si="1"/>
        <v>31434</v>
      </c>
      <c r="F16" s="446"/>
      <c r="G16" s="446">
        <f>'2024&amp;2023'!D87</f>
        <v>30702</v>
      </c>
      <c r="H16" s="446"/>
      <c r="I16" s="446">
        <f>'2024&amp;2023'!E87</f>
        <v>0</v>
      </c>
      <c r="J16" s="446">
        <f>'2024&amp;2023'!F87</f>
        <v>61884</v>
      </c>
      <c r="K16" s="446">
        <f>'2024&amp;2023'!G87</f>
        <v>74441</v>
      </c>
      <c r="L16" s="446">
        <v>0</v>
      </c>
      <c r="M16" s="446">
        <v>0</v>
      </c>
      <c r="N16" s="510">
        <v>0</v>
      </c>
      <c r="O16" s="510">
        <v>0</v>
      </c>
      <c r="P16" s="510">
        <v>0</v>
      </c>
      <c r="Q16" s="556"/>
      <c r="R16" s="556"/>
      <c r="S16" s="25" t="s">
        <v>79</v>
      </c>
    </row>
    <row r="17" spans="2:19" ht="15">
      <c r="B17" s="357" t="str">
        <f>'2024&amp;2023'!B79</f>
        <v>Selling Expenses</v>
      </c>
      <c r="C17" s="446">
        <f>'2024&amp;2023'!C79</f>
        <v>1534</v>
      </c>
      <c r="D17" s="446">
        <f t="shared" si="0"/>
        <v>1534</v>
      </c>
      <c r="E17" s="446">
        <f t="shared" si="1"/>
        <v>982</v>
      </c>
      <c r="F17" s="446">
        <f>1534-552</f>
        <v>982</v>
      </c>
      <c r="G17" s="446">
        <f>'2024&amp;2023'!D79</f>
        <v>552</v>
      </c>
      <c r="H17" s="446">
        <v>552</v>
      </c>
      <c r="I17" s="446">
        <f>'2024&amp;2023'!E79</f>
        <v>505</v>
      </c>
      <c r="J17" s="446">
        <f>'2024&amp;2023'!F79</f>
        <v>207</v>
      </c>
      <c r="K17" s="446">
        <f>'2024&amp;2023'!G79</f>
        <v>1734</v>
      </c>
      <c r="L17" s="446">
        <f>'2024&amp;2023'!H79</f>
        <v>1753</v>
      </c>
      <c r="M17" s="446">
        <f>'2024&amp;2023'!I79</f>
        <v>10325</v>
      </c>
      <c r="N17" s="510">
        <f>'2024&amp;2023'!J79</f>
        <v>571</v>
      </c>
      <c r="O17" s="510">
        <f>'2024&amp;2023'!K79</f>
        <v>129</v>
      </c>
      <c r="P17" s="510">
        <f>'2024&amp;2023'!L79</f>
        <v>0</v>
      </c>
      <c r="Q17" s="556"/>
      <c r="R17" s="556"/>
      <c r="S17" s="25" t="s">
        <v>80</v>
      </c>
    </row>
    <row r="18" spans="2:19" ht="17.25">
      <c r="B18" s="357" t="str">
        <f>'2024&amp;2023'!B84</f>
        <v>Dues and Subscriptions (HCF)</v>
      </c>
      <c r="C18" s="446">
        <f>'2024&amp;2023'!C84</f>
        <v>0</v>
      </c>
      <c r="D18" s="446">
        <f t="shared" si="0"/>
        <v>0</v>
      </c>
      <c r="E18" s="446">
        <f t="shared" si="1"/>
        <v>0</v>
      </c>
      <c r="F18" s="446"/>
      <c r="G18" s="446">
        <f>'2024&amp;2023'!D84</f>
        <v>0</v>
      </c>
      <c r="H18" s="446"/>
      <c r="I18" s="446">
        <f>'2024&amp;2023'!E84</f>
        <v>6</v>
      </c>
      <c r="J18" s="446">
        <f>'2024&amp;2023'!F84</f>
        <v>8</v>
      </c>
      <c r="K18" s="446">
        <f>'2024&amp;2023'!G84</f>
        <v>99</v>
      </c>
      <c r="L18" s="446">
        <f>'2024&amp;2023'!H84</f>
        <v>99</v>
      </c>
      <c r="M18" s="446">
        <f>'2024&amp;2023'!I84</f>
        <v>99</v>
      </c>
      <c r="N18" s="511">
        <f>'2024&amp;2023'!J84</f>
        <v>298</v>
      </c>
      <c r="O18" s="511">
        <f>'2024&amp;2023'!K84</f>
        <v>299</v>
      </c>
      <c r="P18" s="511">
        <f>'2024&amp;2023'!L84</f>
        <v>95</v>
      </c>
      <c r="Q18" s="556"/>
      <c r="R18" s="556"/>
      <c r="S18" s="25" t="s">
        <v>81</v>
      </c>
    </row>
    <row r="19" spans="2:19" ht="17.25">
      <c r="B19" s="357" t="str">
        <f>'2024&amp;2023'!B85</f>
        <v>Dues and Subscriptions (G. Fordyce)</v>
      </c>
      <c r="C19" s="243">
        <f>'2024&amp;2023'!C85</f>
        <v>0</v>
      </c>
      <c r="D19" s="446">
        <f t="shared" si="0"/>
        <v>0</v>
      </c>
      <c r="E19" s="243">
        <f t="shared" si="1"/>
        <v>0</v>
      </c>
      <c r="F19" s="243"/>
      <c r="G19" s="243">
        <f>'2024&amp;2023'!D85</f>
        <v>0</v>
      </c>
      <c r="H19" s="243"/>
      <c r="I19" s="243">
        <f>'2024&amp;2023'!E85</f>
        <v>171</v>
      </c>
      <c r="J19" s="243">
        <f>'2024&amp;2023'!F85</f>
        <v>0</v>
      </c>
      <c r="K19" s="243">
        <f>'2024&amp;2023'!G85</f>
        <v>0</v>
      </c>
      <c r="L19" s="243">
        <f>'2024&amp;2023'!H85</f>
        <v>166</v>
      </c>
      <c r="M19" s="243">
        <f>'2024&amp;2023'!I85</f>
        <v>160</v>
      </c>
      <c r="N19" s="511"/>
      <c r="O19" s="511"/>
      <c r="P19" s="511"/>
      <c r="Q19" s="556"/>
      <c r="R19" s="556"/>
      <c r="S19" s="25"/>
    </row>
    <row r="20" spans="2:19" ht="15">
      <c r="B20" s="225" t="s">
        <v>82</v>
      </c>
      <c r="C20" s="244">
        <f>SUM(C12:C19)</f>
        <v>224347</v>
      </c>
      <c r="D20" s="244">
        <f>SUM(D12:D19)</f>
        <v>14038</v>
      </c>
      <c r="E20" s="244">
        <f>SUM(E12:E19)</f>
        <v>113244</v>
      </c>
      <c r="F20" s="244">
        <f>SUM(F12:F19)</f>
        <v>7763</v>
      </c>
      <c r="G20" s="244">
        <f>SUM(G12:G19)</f>
        <v>111103</v>
      </c>
      <c r="H20" s="244">
        <f>SUM(H12:H19)</f>
        <v>6275</v>
      </c>
      <c r="I20" s="244">
        <f>SUM(I12:I19)</f>
        <v>27458</v>
      </c>
      <c r="J20" s="244">
        <f t="shared" ref="J20:P20" si="2">SUM(J12:J18)</f>
        <v>235653</v>
      </c>
      <c r="K20" s="244">
        <f t="shared" si="2"/>
        <v>265710</v>
      </c>
      <c r="L20" s="244">
        <f>SUM(L12:L19)</f>
        <v>42332</v>
      </c>
      <c r="M20" s="244">
        <f>SUM(M12:M19)</f>
        <v>66281</v>
      </c>
      <c r="N20" s="512">
        <f t="shared" si="2"/>
        <v>50176</v>
      </c>
      <c r="O20" s="512">
        <f t="shared" si="2"/>
        <v>24050</v>
      </c>
      <c r="P20" s="512">
        <f t="shared" si="2"/>
        <v>7381</v>
      </c>
      <c r="Q20" s="556"/>
      <c r="R20" s="556"/>
      <c r="S20" s="25" t="s">
        <v>83</v>
      </c>
    </row>
    <row r="21" spans="2:19" ht="4.5" customHeight="1">
      <c r="B21" s="361"/>
      <c r="C21" s="446"/>
      <c r="D21" s="446"/>
      <c r="E21" s="446"/>
      <c r="F21" s="446"/>
      <c r="G21" s="446"/>
      <c r="H21" s="446"/>
      <c r="I21" s="446"/>
      <c r="J21" s="446"/>
      <c r="K21" s="446"/>
      <c r="L21" s="446"/>
      <c r="M21" s="446"/>
      <c r="N21" s="510"/>
      <c r="O21" s="510"/>
      <c r="P21" s="510"/>
      <c r="Q21" s="556"/>
      <c r="R21" s="556"/>
      <c r="S21" s="556"/>
    </row>
    <row r="22" spans="2:19" ht="15">
      <c r="B22" s="234" t="s">
        <v>84</v>
      </c>
      <c r="C22" s="446"/>
      <c r="D22" s="446"/>
      <c r="E22" s="446"/>
      <c r="F22" s="446"/>
      <c r="G22" s="446"/>
      <c r="H22" s="446"/>
      <c r="I22" s="446"/>
      <c r="J22" s="446"/>
      <c r="K22" s="446"/>
      <c r="L22" s="446"/>
      <c r="M22" s="446"/>
      <c r="N22" s="510"/>
      <c r="O22" s="510"/>
      <c r="P22" s="510"/>
      <c r="Q22" s="556"/>
      <c r="R22" s="556"/>
      <c r="S22" s="556"/>
    </row>
    <row r="23" spans="2:19" ht="15">
      <c r="B23" s="357" t="str">
        <f>'2024&amp;2023'!B54</f>
        <v>Office Salaries</v>
      </c>
      <c r="C23" s="446">
        <f>'2024&amp;2023'!C54</f>
        <v>0</v>
      </c>
      <c r="D23" s="446">
        <f>+F23+H23</f>
        <v>210305</v>
      </c>
      <c r="E23" s="446">
        <f>C23-G23</f>
        <v>0</v>
      </c>
      <c r="F23" s="446">
        <f>148173+62136-104827-4</f>
        <v>105478</v>
      </c>
      <c r="G23" s="446">
        <f>'2024&amp;2023'!D54</f>
        <v>0</v>
      </c>
      <c r="H23" s="446">
        <f>74126+30702-1</f>
        <v>104827</v>
      </c>
      <c r="I23" s="446">
        <f>'2024&amp;2023'!E54-244188</f>
        <v>438733</v>
      </c>
      <c r="J23" s="446">
        <f>'2024&amp;2023'!F54</f>
        <v>0</v>
      </c>
      <c r="K23" s="446">
        <f>'2024&amp;2023'!G54</f>
        <v>0</v>
      </c>
      <c r="L23" s="446">
        <f>'2024&amp;2023'!H54-102120</f>
        <v>473197</v>
      </c>
      <c r="M23" s="446">
        <f>'2024&amp;2023'!I54-55340</f>
        <v>579472</v>
      </c>
      <c r="N23" s="510">
        <f>'2024&amp;2023'!J54</f>
        <v>775051</v>
      </c>
      <c r="O23" s="510">
        <f>'2024&amp;2023'!K54</f>
        <v>683480</v>
      </c>
      <c r="P23" s="510">
        <f>'2024&amp;2023'!L54</f>
        <v>535262</v>
      </c>
      <c r="Q23" s="25" t="s">
        <v>85</v>
      </c>
      <c r="R23" s="556"/>
      <c r="S23" s="556"/>
    </row>
    <row r="24" spans="2:19" ht="15">
      <c r="B24" s="357" t="str">
        <f>'2024&amp;2023'!B56</f>
        <v>Administrative Salaries</v>
      </c>
      <c r="C24" s="446">
        <f>'2024&amp;2023'!C56</f>
        <v>65997</v>
      </c>
      <c r="D24" s="446">
        <f t="shared" ref="D24:D51" si="3">+F24+H24</f>
        <v>65997</v>
      </c>
      <c r="E24" s="446">
        <f t="shared" ref="E24:E51" si="4">C24-G24</f>
        <v>33478</v>
      </c>
      <c r="F24" s="446">
        <f>65997-32519</f>
        <v>33478</v>
      </c>
      <c r="G24" s="446">
        <f>'2024&amp;2023'!D56</f>
        <v>32519</v>
      </c>
      <c r="H24" s="446">
        <v>32519</v>
      </c>
      <c r="I24" s="446">
        <f>'2024&amp;2023'!E56</f>
        <v>129211</v>
      </c>
      <c r="J24" s="446">
        <f>'2024&amp;2023'!F56</f>
        <v>63483</v>
      </c>
      <c r="K24" s="446">
        <f>'2024&amp;2023'!G56</f>
        <v>63975</v>
      </c>
      <c r="L24" s="446">
        <f>'2024&amp;2023'!H56</f>
        <v>128935</v>
      </c>
      <c r="M24" s="446">
        <f>'2024&amp;2023'!I56</f>
        <v>127950</v>
      </c>
      <c r="N24" s="510">
        <f>'2024&amp;2023'!J56</f>
        <v>119896</v>
      </c>
      <c r="O24" s="510">
        <f>'2024&amp;2023'!K56</f>
        <v>115656</v>
      </c>
      <c r="P24" s="510">
        <f>'2024&amp;2023'!L56</f>
        <v>119624</v>
      </c>
      <c r="Q24" s="556"/>
      <c r="R24" s="556"/>
      <c r="S24" s="556"/>
    </row>
    <row r="25" spans="2:19" ht="15">
      <c r="B25" s="357" t="s">
        <v>86</v>
      </c>
      <c r="C25" s="446">
        <f>'2024&amp;2023'!C73</f>
        <v>38088</v>
      </c>
      <c r="D25" s="446">
        <f t="shared" si="3"/>
        <v>38088</v>
      </c>
      <c r="E25" s="446">
        <f t="shared" si="4"/>
        <v>3968</v>
      </c>
      <c r="F25" s="446">
        <f>38088-H25</f>
        <v>3968</v>
      </c>
      <c r="G25" s="446">
        <f>'2024&amp;2023'!D73</f>
        <v>34120</v>
      </c>
      <c r="H25" s="446">
        <v>34120</v>
      </c>
      <c r="I25" s="446">
        <v>244188</v>
      </c>
      <c r="J25" s="446">
        <f>'2024&amp;2023'!F73</f>
        <v>59055</v>
      </c>
      <c r="K25" s="446">
        <f>'2024&amp;2023'!G73</f>
        <v>73000</v>
      </c>
      <c r="L25" s="446">
        <v>102120</v>
      </c>
      <c r="M25" s="446">
        <v>55340</v>
      </c>
      <c r="N25" s="510">
        <v>0</v>
      </c>
      <c r="O25" s="510">
        <v>0</v>
      </c>
      <c r="P25" s="510">
        <v>0</v>
      </c>
      <c r="Q25" s="25" t="s">
        <v>87</v>
      </c>
      <c r="R25" s="556"/>
      <c r="S25" s="556"/>
    </row>
    <row r="26" spans="2:19" ht="15">
      <c r="B26" s="357" t="str">
        <f>'2024&amp;2023'!B63</f>
        <v>Payroll Taxes</v>
      </c>
      <c r="C26" s="446">
        <f>'2024&amp;2023'!C63</f>
        <v>19095</v>
      </c>
      <c r="D26" s="446">
        <f t="shared" si="3"/>
        <v>19095</v>
      </c>
      <c r="E26" s="446">
        <f t="shared" si="4"/>
        <v>8565</v>
      </c>
      <c r="F26" s="446">
        <f>19095-10530</f>
        <v>8565</v>
      </c>
      <c r="G26" s="446">
        <f>'2024&amp;2023'!D63</f>
        <v>10530</v>
      </c>
      <c r="H26" s="446">
        <v>10530</v>
      </c>
      <c r="I26" s="446">
        <f>'2024&amp;2023'!E63</f>
        <v>41164</v>
      </c>
      <c r="J26" s="446">
        <f>'2024&amp;2023'!F63</f>
        <v>21560</v>
      </c>
      <c r="K26" s="446">
        <f>'2024&amp;2023'!G63</f>
        <v>22732</v>
      </c>
      <c r="L26" s="446">
        <f>'2024&amp;2023'!H63</f>
        <v>43462</v>
      </c>
      <c r="M26" s="446">
        <f>'2024&amp;2023'!I63</f>
        <v>54543</v>
      </c>
      <c r="N26" s="510">
        <f>'2024&amp;2023'!J63</f>
        <v>51840</v>
      </c>
      <c r="O26" s="510">
        <f>'2024&amp;2023'!K63</f>
        <v>48608</v>
      </c>
      <c r="P26" s="510">
        <f>'2024&amp;2023'!L63</f>
        <v>46821</v>
      </c>
      <c r="Q26" s="556"/>
      <c r="R26" s="556"/>
      <c r="S26" s="556"/>
    </row>
    <row r="27" spans="2:19" ht="15">
      <c r="B27" s="357" t="str">
        <f>'2024&amp;2023'!B70</f>
        <v>Retirement Plan Expenses</v>
      </c>
      <c r="C27" s="446">
        <f>'2024&amp;2023'!C70</f>
        <v>10982</v>
      </c>
      <c r="D27" s="446">
        <f t="shared" si="3"/>
        <v>10982</v>
      </c>
      <c r="E27" s="446">
        <f t="shared" si="4"/>
        <v>5091</v>
      </c>
      <c r="F27" s="446">
        <f>10982-5891</f>
        <v>5091</v>
      </c>
      <c r="G27" s="446">
        <f>'2024&amp;2023'!D70</f>
        <v>5891</v>
      </c>
      <c r="H27" s="446">
        <v>5891</v>
      </c>
      <c r="I27" s="446">
        <f>'2024&amp;2023'!E70</f>
        <v>21536</v>
      </c>
      <c r="J27" s="446">
        <f>'2024&amp;2023'!F70</f>
        <v>11009</v>
      </c>
      <c r="K27" s="446">
        <f>'2024&amp;2023'!G70</f>
        <v>11290</v>
      </c>
      <c r="L27" s="446">
        <f>'2024&amp;2023'!H70</f>
        <v>22199</v>
      </c>
      <c r="M27" s="446">
        <f>'2024&amp;2023'!I70</f>
        <v>23682</v>
      </c>
      <c r="N27" s="510">
        <f>'2024&amp;2023'!J70</f>
        <v>23252</v>
      </c>
      <c r="O27" s="510">
        <f>'2024&amp;2023'!K70</f>
        <v>21563</v>
      </c>
      <c r="P27" s="510">
        <f>'2024&amp;2023'!L70</f>
        <v>19755</v>
      </c>
      <c r="Q27" s="556"/>
      <c r="R27" s="556"/>
      <c r="S27" s="556"/>
    </row>
    <row r="28" spans="2:19" ht="15">
      <c r="B28" s="357" t="s">
        <v>88</v>
      </c>
      <c r="C28" s="616">
        <f>('2024&amp;2023'!C24*0.2)+'2024&amp;2023'!C88</f>
        <v>12600</v>
      </c>
      <c r="D28" s="446">
        <f t="shared" si="3"/>
        <v>0</v>
      </c>
      <c r="E28" s="616">
        <f t="shared" si="4"/>
        <v>6300</v>
      </c>
      <c r="F28" s="617"/>
      <c r="G28" s="616">
        <f>('2024&amp;2023'!D24*0.2)+'2024&amp;2023'!D88</f>
        <v>6300</v>
      </c>
      <c r="H28" s="617"/>
      <c r="I28" s="446">
        <f>('2024&amp;2023'!E24*0.2)+'2024&amp;2023'!E88</f>
        <v>24935.4</v>
      </c>
      <c r="J28" s="616">
        <f>('2024&amp;2023'!F24*0.2)+'2024&amp;2023'!F88</f>
        <v>11278</v>
      </c>
      <c r="K28" s="616">
        <f>('2024&amp;2023'!G24*0.2)+'2024&amp;2023'!G88</f>
        <v>31313</v>
      </c>
      <c r="L28" s="446">
        <f>'2024&amp;2023'!H24*0.2</f>
        <v>31395</v>
      </c>
      <c r="M28" s="446">
        <f>'2024&amp;2023'!I24*0.2</f>
        <v>30169.200000000001</v>
      </c>
      <c r="N28" s="510">
        <f>'2024&amp;2023'!J24*0.2</f>
        <v>30251.4</v>
      </c>
      <c r="O28" s="510">
        <f>'2024&amp;2023'!K24*0.2</f>
        <v>29445.800000000003</v>
      </c>
      <c r="P28" s="510">
        <f>'2024&amp;2023'!L24*0.2</f>
        <v>28436</v>
      </c>
      <c r="Q28" s="556"/>
      <c r="R28" s="556"/>
      <c r="S28" s="556"/>
    </row>
    <row r="29" spans="2:19" ht="15">
      <c r="B29" s="357" t="s">
        <v>89</v>
      </c>
      <c r="C29" s="616"/>
      <c r="D29" s="446">
        <f t="shared" si="3"/>
        <v>0</v>
      </c>
      <c r="E29" s="616">
        <f t="shared" si="4"/>
        <v>0</v>
      </c>
      <c r="F29" s="617"/>
      <c r="G29" s="616"/>
      <c r="H29" s="617"/>
      <c r="I29" s="446">
        <f>'2024&amp;2023'!E25*0.2</f>
        <v>1920</v>
      </c>
      <c r="J29" s="616"/>
      <c r="K29" s="616"/>
      <c r="L29" s="446">
        <f>'2024&amp;2023'!H25*0.2</f>
        <v>1920</v>
      </c>
      <c r="M29" s="446">
        <f>'2024&amp;2023'!I25*0.2</f>
        <v>1920</v>
      </c>
      <c r="N29" s="510"/>
      <c r="O29" s="510"/>
      <c r="P29" s="510"/>
      <c r="Q29" s="556"/>
      <c r="R29" s="556"/>
      <c r="S29" s="556"/>
    </row>
    <row r="30" spans="2:19" ht="15">
      <c r="B30" s="357" t="s">
        <v>90</v>
      </c>
      <c r="C30" s="446">
        <f>'2024&amp;2023'!C21*0.2</f>
        <v>31421</v>
      </c>
      <c r="D30" s="446">
        <f t="shared" si="3"/>
        <v>0</v>
      </c>
      <c r="E30" s="446">
        <f t="shared" si="4"/>
        <v>15263.8</v>
      </c>
      <c r="F30" s="446"/>
      <c r="G30" s="446">
        <f>'2024&amp;2023'!D21*0.2</f>
        <v>16157.2</v>
      </c>
      <c r="H30" s="446"/>
      <c r="I30" s="446">
        <f>'2024&amp;2023'!E21*0.2</f>
        <v>57973.600000000006</v>
      </c>
      <c r="J30" s="446">
        <f>'2024&amp;2023'!F21*0.2</f>
        <v>26652</v>
      </c>
      <c r="K30" s="446">
        <f>'2024&amp;2023'!G21*0.2</f>
        <v>21759.600000000002</v>
      </c>
      <c r="L30" s="446">
        <f>'2024&amp;2023'!H21*0.2</f>
        <v>47776.4</v>
      </c>
      <c r="M30" s="446">
        <f>'2024&amp;2023'!I21*0.2</f>
        <v>51618.200000000004</v>
      </c>
      <c r="N30" s="510">
        <f>'2024&amp;2023'!J21*0.2</f>
        <v>52677.600000000006</v>
      </c>
      <c r="O30" s="510">
        <f>'2024&amp;2023'!K21*0.2</f>
        <v>50665.4</v>
      </c>
      <c r="P30" s="510">
        <f>'2024&amp;2023'!L21*0.2</f>
        <v>48759.8</v>
      </c>
      <c r="Q30" s="556"/>
      <c r="R30" s="556"/>
      <c r="S30" s="556"/>
    </row>
    <row r="31" spans="2:19" ht="15">
      <c r="B31" s="357" t="str">
        <f>'2024&amp;2023'!B55</f>
        <v>Insurance</v>
      </c>
      <c r="C31" s="446">
        <f>'2024&amp;2023'!C55+'2024&amp;2023'!C45</f>
        <v>98449</v>
      </c>
      <c r="D31" s="446">
        <f t="shared" si="3"/>
        <v>98449</v>
      </c>
      <c r="E31" s="446">
        <f t="shared" si="4"/>
        <v>56031</v>
      </c>
      <c r="F31" s="446">
        <f>61880+6163+30406-42418</f>
        <v>56031</v>
      </c>
      <c r="G31" s="446">
        <f>'2024&amp;2023'!D55+'2024&amp;2023'!D45</f>
        <v>42418</v>
      </c>
      <c r="H31" s="446">
        <f>24134+3081+15203</f>
        <v>42418</v>
      </c>
      <c r="I31" s="446">
        <f>'2024&amp;2023'!E55+'2024&amp;2023'!E45</f>
        <v>160790</v>
      </c>
      <c r="J31" s="446">
        <f>'2024&amp;2023'!F55+'2024&amp;2023'!F45</f>
        <v>85102</v>
      </c>
      <c r="K31" s="446">
        <f>'2024&amp;2023'!G55+'2024&amp;2023'!G45</f>
        <v>54904</v>
      </c>
      <c r="L31" s="446">
        <f>'2024&amp;2023'!H55</f>
        <v>146115</v>
      </c>
      <c r="M31" s="446">
        <f>'2024&amp;2023'!I55</f>
        <v>147445</v>
      </c>
      <c r="N31" s="510">
        <f>'2024&amp;2023'!J55</f>
        <v>144638</v>
      </c>
      <c r="O31" s="510">
        <f>'2024&amp;2023'!K55</f>
        <v>102067</v>
      </c>
      <c r="P31" s="510">
        <f>'2024&amp;2023'!L55</f>
        <v>128258</v>
      </c>
      <c r="Q31" s="556"/>
      <c r="R31" s="556"/>
      <c r="S31" s="556"/>
    </row>
    <row r="32" spans="2:19" ht="15">
      <c r="B32" s="357" t="str">
        <f>'2024&amp;2023'!B57</f>
        <v>Professional Fees</v>
      </c>
      <c r="C32" s="446">
        <f>'2024&amp;2023'!C57</f>
        <v>55949</v>
      </c>
      <c r="D32" s="446">
        <f t="shared" si="3"/>
        <v>55949</v>
      </c>
      <c r="E32" s="446">
        <f t="shared" si="4"/>
        <v>15544</v>
      </c>
      <c r="F32" s="446">
        <f>55949-40405</f>
        <v>15544</v>
      </c>
      <c r="G32" s="446">
        <f>'2024&amp;2023'!D57</f>
        <v>40405</v>
      </c>
      <c r="H32" s="446">
        <v>40405</v>
      </c>
      <c r="I32" s="446">
        <f>'2024&amp;2023'!E57</f>
        <v>85592</v>
      </c>
      <c r="J32" s="446">
        <f>'2024&amp;2023'!F57</f>
        <v>52728</v>
      </c>
      <c r="K32" s="446">
        <f>'2024&amp;2023'!G57</f>
        <v>67530</v>
      </c>
      <c r="L32" s="446">
        <f>'2024&amp;2023'!H57</f>
        <v>90099</v>
      </c>
      <c r="M32" s="446">
        <f>'2024&amp;2023'!I57</f>
        <v>112984</v>
      </c>
      <c r="N32" s="510">
        <f>'2024&amp;2023'!J57</f>
        <v>120304</v>
      </c>
      <c r="O32" s="510">
        <f>'2024&amp;2023'!K57</f>
        <v>196583</v>
      </c>
      <c r="P32" s="510">
        <f>'2024&amp;2023'!L57</f>
        <v>107547</v>
      </c>
      <c r="Q32" s="556"/>
      <c r="R32" s="556"/>
      <c r="S32" s="556"/>
    </row>
    <row r="33" spans="2:16" ht="15">
      <c r="B33" s="357" t="str">
        <f>'2024&amp;2023'!B58</f>
        <v>Depreciation (HCF)</v>
      </c>
      <c r="C33" s="616">
        <f>'2024&amp;2023'!C58</f>
        <v>31793</v>
      </c>
      <c r="D33" s="446">
        <f t="shared" si="3"/>
        <v>31793</v>
      </c>
      <c r="E33" s="616">
        <f t="shared" si="4"/>
        <v>15897</v>
      </c>
      <c r="F33" s="617">
        <f>3752+21792+6249-15896</f>
        <v>15897</v>
      </c>
      <c r="G33" s="616">
        <f>'2024&amp;2023'!D58</f>
        <v>15896</v>
      </c>
      <c r="H33" s="617">
        <f>1876+10896+3124</f>
        <v>15896</v>
      </c>
      <c r="I33" s="446">
        <f>'2024&amp;2023'!E58</f>
        <v>63962</v>
      </c>
      <c r="J33" s="616">
        <f>'2024&amp;2023'!F58</f>
        <v>35231</v>
      </c>
      <c r="K33" s="616">
        <f>'2024&amp;2023'!G58</f>
        <v>30799</v>
      </c>
      <c r="L33" s="446">
        <f>'2024&amp;2023'!H58</f>
        <v>66605</v>
      </c>
      <c r="M33" s="446">
        <f>'2024&amp;2023'!I58</f>
        <v>57511</v>
      </c>
      <c r="N33" s="510">
        <f>'2024&amp;2023'!J58</f>
        <v>59433</v>
      </c>
      <c r="O33" s="510">
        <f>'2024&amp;2023'!K58</f>
        <v>59486</v>
      </c>
      <c r="P33" s="510">
        <f>'2024&amp;2023'!L58</f>
        <v>59449</v>
      </c>
    </row>
    <row r="34" spans="2:16" ht="15">
      <c r="B34" s="357" t="str">
        <f>'2024&amp;2023'!B59</f>
        <v>Depreciation (G. Fordyce)</v>
      </c>
      <c r="C34" s="616"/>
      <c r="D34" s="446">
        <f t="shared" si="3"/>
        <v>0</v>
      </c>
      <c r="E34" s="616">
        <f t="shared" si="4"/>
        <v>0</v>
      </c>
      <c r="F34" s="617"/>
      <c r="G34" s="616"/>
      <c r="H34" s="617"/>
      <c r="I34" s="446">
        <f>'2024&amp;2023'!E59</f>
        <v>6505</v>
      </c>
      <c r="J34" s="616"/>
      <c r="K34" s="616"/>
      <c r="L34" s="446">
        <f>'2024&amp;2023'!H59</f>
        <v>6505</v>
      </c>
      <c r="M34" s="446">
        <f>'2024&amp;2023'!I59</f>
        <v>7913</v>
      </c>
      <c r="N34" s="510"/>
      <c r="O34" s="510"/>
      <c r="P34" s="510"/>
    </row>
    <row r="35" spans="2:16" ht="15">
      <c r="B35" s="357" t="str">
        <f>'2024&amp;2023'!B60</f>
        <v>Bad Debt Expense</v>
      </c>
      <c r="C35" s="446">
        <f>'2024&amp;2023'!C60</f>
        <v>0</v>
      </c>
      <c r="D35" s="446">
        <f t="shared" si="3"/>
        <v>0</v>
      </c>
      <c r="E35" s="446">
        <f t="shared" si="4"/>
        <v>0</v>
      </c>
      <c r="F35" s="446"/>
      <c r="G35" s="446">
        <f>'2024&amp;2023'!D60</f>
        <v>0</v>
      </c>
      <c r="H35" s="446"/>
      <c r="I35" s="446">
        <f>'2024&amp;2023'!E60</f>
        <v>6597</v>
      </c>
      <c r="J35" s="446">
        <f>'2024&amp;2023'!F60</f>
        <v>2198</v>
      </c>
      <c r="K35" s="446">
        <f>'2024&amp;2023'!G60</f>
        <v>1493</v>
      </c>
      <c r="L35" s="446">
        <f>'2024&amp;2023'!H60</f>
        <v>50879</v>
      </c>
      <c r="M35" s="446">
        <f>'2024&amp;2023'!I60</f>
        <v>1704</v>
      </c>
      <c r="N35" s="510">
        <f>'2024&amp;2023'!J60</f>
        <v>57</v>
      </c>
      <c r="O35" s="510">
        <f>'2024&amp;2023'!K60</f>
        <v>5840</v>
      </c>
      <c r="P35" s="510">
        <f>'2024&amp;2023'!L60</f>
        <v>2810</v>
      </c>
    </row>
    <row r="36" spans="2:16" ht="15">
      <c r="B36" s="357" t="str">
        <f>'2024&amp;2023'!B61</f>
        <v>General Taxes</v>
      </c>
      <c r="C36" s="446">
        <f>'2024&amp;2023'!C61</f>
        <v>24950</v>
      </c>
      <c r="D36" s="446">
        <f t="shared" si="3"/>
        <v>24950</v>
      </c>
      <c r="E36" s="446">
        <f t="shared" si="4"/>
        <v>12692</v>
      </c>
      <c r="F36" s="446">
        <f>24950-12258</f>
        <v>12692</v>
      </c>
      <c r="G36" s="446">
        <f>'2024&amp;2023'!D61</f>
        <v>12258</v>
      </c>
      <c r="H36" s="446">
        <v>12258</v>
      </c>
      <c r="I36" s="446">
        <f>'2024&amp;2023'!E61</f>
        <v>54835</v>
      </c>
      <c r="J36" s="446">
        <f>'2024&amp;2023'!F61</f>
        <v>29289</v>
      </c>
      <c r="K36" s="446">
        <f>'2024&amp;2023'!G61</f>
        <v>23864</v>
      </c>
      <c r="L36" s="446">
        <f>'2024&amp;2023'!H61</f>
        <v>46939</v>
      </c>
      <c r="M36" s="446">
        <f>'2024&amp;2023'!I61</f>
        <v>57431</v>
      </c>
      <c r="N36" s="510">
        <f>'2024&amp;2023'!J61</f>
        <v>96595</v>
      </c>
      <c r="O36" s="510">
        <f>'2024&amp;2023'!K61</f>
        <v>44146</v>
      </c>
      <c r="P36" s="510">
        <f>'2024&amp;2023'!L61</f>
        <v>49266</v>
      </c>
    </row>
    <row r="37" spans="2:16" ht="15">
      <c r="B37" s="618" t="str">
        <f>'2024&amp;2023'!B62</f>
        <v>Caretaking Expenses</v>
      </c>
      <c r="C37" s="619">
        <f>'2024&amp;2023'!C62</f>
        <v>15908</v>
      </c>
      <c r="D37" s="446">
        <f t="shared" si="3"/>
        <v>24654</v>
      </c>
      <c r="E37" s="619">
        <f t="shared" si="4"/>
        <v>7950</v>
      </c>
      <c r="F37" s="619">
        <f>8746+15908-11405</f>
        <v>13249</v>
      </c>
      <c r="G37" s="619">
        <f>'2024&amp;2023'!D62</f>
        <v>7958</v>
      </c>
      <c r="H37" s="619">
        <f>3447+7958</f>
        <v>11405</v>
      </c>
      <c r="I37" s="619">
        <f>'2024&amp;2023'!E62</f>
        <v>53893</v>
      </c>
      <c r="J37" s="619">
        <f>'2024&amp;2023'!F62</f>
        <v>18911</v>
      </c>
      <c r="K37" s="619">
        <f>'2024&amp;2023'!G62</f>
        <v>8927</v>
      </c>
      <c r="L37" s="619">
        <f>'2024&amp;2023'!H62</f>
        <v>46071</v>
      </c>
      <c r="M37" s="619">
        <f>'2024&amp;2023'!I62</f>
        <v>63705</v>
      </c>
      <c r="N37" s="510">
        <f>'2024&amp;2023'!J62</f>
        <v>76067</v>
      </c>
      <c r="O37" s="510">
        <f>'2024&amp;2023'!K62</f>
        <v>59648</v>
      </c>
      <c r="P37" s="510">
        <f>'2024&amp;2023'!L62</f>
        <v>54602</v>
      </c>
    </row>
    <row r="38" spans="2:16" ht="15">
      <c r="B38" s="357" t="str">
        <f>'2024&amp;2023'!B64</f>
        <v>Bank and Payroll Service Charges (HCF)</v>
      </c>
      <c r="C38" s="446">
        <f>'2024&amp;2023'!C64</f>
        <v>25874</v>
      </c>
      <c r="D38" s="446">
        <f t="shared" si="3"/>
        <v>25874</v>
      </c>
      <c r="E38" s="446">
        <f t="shared" si="4"/>
        <v>12309</v>
      </c>
      <c r="F38" s="446">
        <f>17884+7990-13566</f>
        <v>12308</v>
      </c>
      <c r="G38" s="446">
        <f>'2024&amp;2023'!D64</f>
        <v>13565</v>
      </c>
      <c r="H38" s="446">
        <f>9018+4548</f>
        <v>13566</v>
      </c>
      <c r="I38" s="446">
        <f>'2024&amp;2023'!E64</f>
        <v>43303</v>
      </c>
      <c r="J38" s="446">
        <f>'2024&amp;2023'!F64</f>
        <v>20966</v>
      </c>
      <c r="K38" s="446">
        <f>'2024&amp;2023'!G64</f>
        <v>22813</v>
      </c>
      <c r="L38" s="446">
        <f>'2024&amp;2023'!H64</f>
        <v>42997</v>
      </c>
      <c r="M38" s="446">
        <f>'2024&amp;2023'!I64</f>
        <v>39709</v>
      </c>
      <c r="N38" s="510">
        <f>'2024&amp;2023'!J64</f>
        <v>76511</v>
      </c>
      <c r="O38" s="510">
        <f>'2024&amp;2023'!K64</f>
        <v>99314</v>
      </c>
      <c r="P38" s="510">
        <f>'2024&amp;2023'!L64</f>
        <v>109300</v>
      </c>
    </row>
    <row r="39" spans="2:16" ht="15">
      <c r="B39" s="357" t="str">
        <f>'2024&amp;2023'!B65</f>
        <v>Bank and Payroll Service Charges (G. Fordyce)</v>
      </c>
      <c r="C39" s="446">
        <f>'2024&amp;2023'!C65</f>
        <v>0</v>
      </c>
      <c r="D39" s="446">
        <f t="shared" si="3"/>
        <v>0</v>
      </c>
      <c r="E39" s="446">
        <f t="shared" si="4"/>
        <v>0</v>
      </c>
      <c r="F39" s="446"/>
      <c r="G39" s="446">
        <f>'2024&amp;2023'!D65</f>
        <v>0</v>
      </c>
      <c r="H39" s="446"/>
      <c r="I39" s="446">
        <f>'2024&amp;2023'!E65</f>
        <v>156</v>
      </c>
      <c r="J39" s="446">
        <f>'2024&amp;2023'!F65</f>
        <v>0</v>
      </c>
      <c r="K39" s="446">
        <f>'2024&amp;2023'!G65</f>
        <v>0</v>
      </c>
      <c r="L39" s="446">
        <f>'2024&amp;2023'!H65</f>
        <v>36</v>
      </c>
      <c r="M39" s="446">
        <f>'2024&amp;2023'!I65</f>
        <v>164</v>
      </c>
      <c r="N39" s="510"/>
      <c r="O39" s="510"/>
      <c r="P39" s="510"/>
    </row>
    <row r="40" spans="2:16" ht="15">
      <c r="B40" s="357" t="str">
        <f>'2024&amp;2023'!B66</f>
        <v>Office Repairs and Maintenance</v>
      </c>
      <c r="C40" s="446">
        <f>'2024&amp;2023'!C66</f>
        <v>13222</v>
      </c>
      <c r="D40" s="446">
        <f t="shared" si="3"/>
        <v>13222</v>
      </c>
      <c r="E40" s="446">
        <f t="shared" si="4"/>
        <v>6611</v>
      </c>
      <c r="F40" s="446">
        <f>13222-6611</f>
        <v>6611</v>
      </c>
      <c r="G40" s="446">
        <f>'2024&amp;2023'!D66</f>
        <v>6611</v>
      </c>
      <c r="H40" s="446">
        <v>6611</v>
      </c>
      <c r="I40" s="446">
        <f>'2024&amp;2023'!E66</f>
        <v>29691</v>
      </c>
      <c r="J40" s="446">
        <f>'2024&amp;2023'!F66</f>
        <v>12994</v>
      </c>
      <c r="K40" s="446">
        <f>'2024&amp;2023'!G66</f>
        <v>17626</v>
      </c>
      <c r="L40" s="446">
        <f>'2024&amp;2023'!H66</f>
        <v>42669</v>
      </c>
      <c r="M40" s="446">
        <f>'2024&amp;2023'!I66</f>
        <v>23969</v>
      </c>
      <c r="N40" s="510">
        <f>'2024&amp;2023'!J66</f>
        <v>24119</v>
      </c>
      <c r="O40" s="510">
        <f>'2024&amp;2023'!K66</f>
        <v>25649</v>
      </c>
      <c r="P40" s="510">
        <f>'2024&amp;2023'!L66</f>
        <v>24175</v>
      </c>
    </row>
    <row r="41" spans="2:16" ht="15">
      <c r="B41" s="357" t="str">
        <f>'2024&amp;2023'!B69</f>
        <v>Telephone and Internet</v>
      </c>
      <c r="C41" s="446">
        <f>'2024&amp;2023'!C69</f>
        <v>14143</v>
      </c>
      <c r="D41" s="446">
        <f t="shared" si="3"/>
        <v>14143</v>
      </c>
      <c r="E41" s="446">
        <f t="shared" si="4"/>
        <v>6655</v>
      </c>
      <c r="F41" s="446">
        <f>4305+9838-7488</f>
        <v>6655</v>
      </c>
      <c r="G41" s="446">
        <f>'2024&amp;2023'!D69</f>
        <v>7488</v>
      </c>
      <c r="H41" s="446">
        <f>2173+5315</f>
        <v>7488</v>
      </c>
      <c r="I41" s="446">
        <f>'2024&amp;2023'!E69</f>
        <v>24328</v>
      </c>
      <c r="J41" s="446">
        <f>'2024&amp;2023'!F69</f>
        <v>13541</v>
      </c>
      <c r="K41" s="446">
        <f>'2024&amp;2023'!G69</f>
        <v>15458</v>
      </c>
      <c r="L41" s="446">
        <f>'2024&amp;2023'!H69</f>
        <v>28373</v>
      </c>
      <c r="M41" s="446">
        <f>'2024&amp;2023'!I69</f>
        <v>32412</v>
      </c>
      <c r="N41" s="510">
        <f>'2024&amp;2023'!J69</f>
        <v>33368</v>
      </c>
      <c r="O41" s="510">
        <f>'2024&amp;2023'!K69</f>
        <v>38805</v>
      </c>
      <c r="P41" s="510">
        <f>'2024&amp;2023'!L69</f>
        <v>36491</v>
      </c>
    </row>
    <row r="42" spans="2:16" ht="15">
      <c r="B42" s="357" t="s">
        <v>91</v>
      </c>
      <c r="C42" s="446">
        <f>'2024&amp;2023'!C71</f>
        <v>7095</v>
      </c>
      <c r="D42" s="446">
        <f t="shared" si="3"/>
        <v>7095</v>
      </c>
      <c r="E42" s="446">
        <f t="shared" si="4"/>
        <v>2969</v>
      </c>
      <c r="F42" s="446">
        <f>7095-4126</f>
        <v>2969</v>
      </c>
      <c r="G42" s="446">
        <f>'2024&amp;2023'!D71</f>
        <v>4126</v>
      </c>
      <c r="H42" s="446">
        <v>4126</v>
      </c>
      <c r="I42" s="446">
        <f>'2024&amp;2023'!E71</f>
        <v>21002</v>
      </c>
      <c r="J42" s="446">
        <f>'2024&amp;2023'!F71</f>
        <v>9564</v>
      </c>
      <c r="K42" s="446">
        <f>'2024&amp;2023'!G71</f>
        <v>11638</v>
      </c>
      <c r="L42" s="446">
        <f>'2024&amp;2023'!H71</f>
        <v>20600</v>
      </c>
      <c r="M42" s="446">
        <f>'2024&amp;2023'!I71</f>
        <v>32828</v>
      </c>
      <c r="N42" s="510">
        <f>'2024&amp;2023'!J71</f>
        <v>33223</v>
      </c>
      <c r="O42" s="510">
        <f>'2024&amp;2023'!K71</f>
        <v>26639</v>
      </c>
      <c r="P42" s="510">
        <f>'2024&amp;2023'!L71</f>
        <v>26432</v>
      </c>
    </row>
    <row r="43" spans="2:16" ht="15">
      <c r="B43" s="357" t="str">
        <f>'2024&amp;2023'!B72</f>
        <v>Office Supplies (G. Fordyce)</v>
      </c>
      <c r="C43" s="446">
        <f>'2024&amp;2023'!C72</f>
        <v>0</v>
      </c>
      <c r="D43" s="446">
        <f t="shared" si="3"/>
        <v>0</v>
      </c>
      <c r="E43" s="446">
        <f t="shared" si="4"/>
        <v>0</v>
      </c>
      <c r="F43" s="446"/>
      <c r="G43" s="446">
        <f>'2024&amp;2023'!D72</f>
        <v>0</v>
      </c>
      <c r="H43" s="446"/>
      <c r="I43" s="446">
        <f>'2024&amp;2023'!E72</f>
        <v>1339</v>
      </c>
      <c r="J43" s="446">
        <f>'2024&amp;2023'!F72</f>
        <v>0</v>
      </c>
      <c r="K43" s="446">
        <f>'2024&amp;2023'!G72</f>
        <v>0</v>
      </c>
      <c r="L43" s="446">
        <f>'2024&amp;2023'!H72</f>
        <v>1093</v>
      </c>
      <c r="M43" s="446">
        <f>'2024&amp;2023'!I72</f>
        <v>1158</v>
      </c>
      <c r="N43" s="510"/>
      <c r="O43" s="510"/>
      <c r="P43" s="510"/>
    </row>
    <row r="44" spans="2:16" ht="15">
      <c r="B44" s="357" t="s">
        <v>92</v>
      </c>
      <c r="C44" s="446">
        <f>'2024&amp;2023'!C74</f>
        <v>7143</v>
      </c>
      <c r="D44" s="446">
        <f t="shared" si="3"/>
        <v>7143</v>
      </c>
      <c r="E44" s="446">
        <f t="shared" si="4"/>
        <v>218</v>
      </c>
      <c r="F44" s="446">
        <f>7143-6925</f>
        <v>218</v>
      </c>
      <c r="G44" s="446">
        <f>'2024&amp;2023'!D74</f>
        <v>6925</v>
      </c>
      <c r="H44" s="446">
        <v>6925</v>
      </c>
      <c r="I44" s="446">
        <f>'2024&amp;2023'!E74</f>
        <v>5430</v>
      </c>
      <c r="J44" s="446">
        <f>'2024&amp;2023'!F74</f>
        <v>1648</v>
      </c>
      <c r="K44" s="446">
        <f>'2024&amp;2023'!G74</f>
        <v>6231</v>
      </c>
      <c r="L44" s="446">
        <f>'2024&amp;2023'!H74</f>
        <v>10599</v>
      </c>
      <c r="M44" s="446">
        <f>'2024&amp;2023'!I74</f>
        <v>7875</v>
      </c>
      <c r="N44" s="510">
        <f>'2024&amp;2023'!J74</f>
        <v>8928</v>
      </c>
      <c r="O44" s="510">
        <f>'2024&amp;2023'!K74</f>
        <v>12153</v>
      </c>
      <c r="P44" s="510">
        <f>'2024&amp;2023'!L74</f>
        <v>17311</v>
      </c>
    </row>
    <row r="45" spans="2:16" ht="15">
      <c r="B45" s="357" t="str">
        <f>'2024&amp;2023'!B75</f>
        <v>Employee Relations (G. Fordyce)</v>
      </c>
      <c r="C45" s="446">
        <f>'2024&amp;2023'!C75</f>
        <v>0</v>
      </c>
      <c r="D45" s="446">
        <f t="shared" si="3"/>
        <v>0</v>
      </c>
      <c r="E45" s="446">
        <f t="shared" si="4"/>
        <v>0</v>
      </c>
      <c r="F45" s="446"/>
      <c r="G45" s="446">
        <f>'2024&amp;2023'!D75</f>
        <v>0</v>
      </c>
      <c r="H45" s="446"/>
      <c r="I45" s="446">
        <f>'2024&amp;2023'!E75</f>
        <v>0</v>
      </c>
      <c r="J45" s="446">
        <f>'2024&amp;2023'!F75</f>
        <v>0</v>
      </c>
      <c r="K45" s="446">
        <f>'2024&amp;2023'!G75</f>
        <v>0</v>
      </c>
      <c r="L45" s="446">
        <f>'2024&amp;2023'!H75</f>
        <v>550</v>
      </c>
      <c r="M45" s="446">
        <f>'2024&amp;2023'!I75</f>
        <v>400</v>
      </c>
      <c r="N45" s="510"/>
      <c r="O45" s="510"/>
      <c r="P45" s="510"/>
    </row>
    <row r="46" spans="2:16" ht="15">
      <c r="B46" s="357" t="str">
        <f>'2024&amp;2023'!B77</f>
        <v>Postage</v>
      </c>
      <c r="C46" s="446">
        <f>'2024&amp;2023'!C77</f>
        <v>1739</v>
      </c>
      <c r="D46" s="446">
        <f t="shared" si="3"/>
        <v>1739</v>
      </c>
      <c r="E46" s="446">
        <f t="shared" si="4"/>
        <v>665</v>
      </c>
      <c r="F46" s="446">
        <f>1739-1074</f>
        <v>665</v>
      </c>
      <c r="G46" s="446">
        <f>'2024&amp;2023'!D77</f>
        <v>1074</v>
      </c>
      <c r="H46" s="446">
        <v>1074</v>
      </c>
      <c r="I46" s="446">
        <f>'2024&amp;2023'!E77</f>
        <v>3405</v>
      </c>
      <c r="J46" s="446">
        <f>'2024&amp;2023'!F77</f>
        <v>1561</v>
      </c>
      <c r="K46" s="446">
        <f>'2024&amp;2023'!G77</f>
        <v>2187</v>
      </c>
      <c r="L46" s="446">
        <f>'2024&amp;2023'!H77</f>
        <v>4009</v>
      </c>
      <c r="M46" s="446">
        <f>'2024&amp;2023'!I77</f>
        <v>6408</v>
      </c>
      <c r="N46" s="510">
        <f>'2024&amp;2023'!J77</f>
        <v>5824</v>
      </c>
      <c r="O46" s="510">
        <f>'2024&amp;2023'!K77</f>
        <v>1339</v>
      </c>
      <c r="P46" s="510">
        <f>'2024&amp;2023'!L77</f>
        <v>8669</v>
      </c>
    </row>
    <row r="47" spans="2:16" ht="15">
      <c r="B47" s="357" t="str">
        <f>'2024&amp;2023'!B78</f>
        <v>Postage (G. Fordyce)</v>
      </c>
      <c r="C47" s="446">
        <f>'2024&amp;2023'!C78</f>
        <v>0</v>
      </c>
      <c r="D47" s="446">
        <f t="shared" si="3"/>
        <v>0</v>
      </c>
      <c r="E47" s="446">
        <f t="shared" si="4"/>
        <v>0</v>
      </c>
      <c r="F47" s="446"/>
      <c r="G47" s="446">
        <f>'2024&amp;2023'!D78</f>
        <v>0</v>
      </c>
      <c r="H47" s="446"/>
      <c r="I47" s="446">
        <f>'2024&amp;2023'!E78</f>
        <v>266</v>
      </c>
      <c r="J47" s="446">
        <f>'2024&amp;2023'!F78</f>
        <v>0</v>
      </c>
      <c r="K47" s="446">
        <f>'2024&amp;2023'!G78</f>
        <v>0</v>
      </c>
      <c r="L47" s="446">
        <f>'2024&amp;2023'!H78</f>
        <v>261</v>
      </c>
      <c r="M47" s="446">
        <f>'2024&amp;2023'!I78</f>
        <v>181</v>
      </c>
      <c r="N47" s="510"/>
      <c r="O47" s="510"/>
      <c r="P47" s="510"/>
    </row>
    <row r="48" spans="2:16" ht="15">
      <c r="B48" s="357" t="str">
        <f>'2024&amp;2023'!B80</f>
        <v>Charitable Contributions</v>
      </c>
      <c r="C48" s="446">
        <f>'2024&amp;2023'!C80</f>
        <v>0</v>
      </c>
      <c r="D48" s="446">
        <f t="shared" si="3"/>
        <v>0</v>
      </c>
      <c r="E48" s="446">
        <f t="shared" si="4"/>
        <v>0</v>
      </c>
      <c r="F48" s="446"/>
      <c r="G48" s="446">
        <f>'2024&amp;2023'!D80</f>
        <v>0</v>
      </c>
      <c r="H48" s="446"/>
      <c r="I48" s="446">
        <f>'2024&amp;2023'!E80</f>
        <v>1000</v>
      </c>
      <c r="J48" s="446">
        <f>'2024&amp;2023'!F80</f>
        <v>500</v>
      </c>
      <c r="K48" s="446">
        <f>'2024&amp;2023'!G80</f>
        <v>750</v>
      </c>
      <c r="L48" s="446">
        <f>'2024&amp;2023'!H80</f>
        <v>1500</v>
      </c>
      <c r="M48" s="446">
        <f>'2024&amp;2023'!I80</f>
        <v>7429</v>
      </c>
      <c r="N48" s="510">
        <f>'2024&amp;2023'!J80</f>
        <v>241</v>
      </c>
      <c r="O48" s="510">
        <f>'2024&amp;2023'!K80</f>
        <v>566</v>
      </c>
      <c r="P48" s="510">
        <f>'2024&amp;2023'!L80</f>
        <v>18</v>
      </c>
    </row>
    <row r="49" spans="2:16" ht="15">
      <c r="B49" s="357" t="str">
        <f>'2024&amp;2023'!B81</f>
        <v>Training and Education</v>
      </c>
      <c r="C49" s="446">
        <f>'2024&amp;2023'!C81</f>
        <v>1235</v>
      </c>
      <c r="D49" s="446">
        <f t="shared" si="3"/>
        <v>1235</v>
      </c>
      <c r="E49" s="446">
        <f t="shared" si="4"/>
        <v>180</v>
      </c>
      <c r="F49" s="446">
        <f>1000+235-1055</f>
        <v>180</v>
      </c>
      <c r="G49" s="446">
        <f>'2024&amp;2023'!D81</f>
        <v>1055</v>
      </c>
      <c r="H49" s="446">
        <f>1000+55</f>
        <v>1055</v>
      </c>
      <c r="I49" s="446">
        <f>'2024&amp;2023'!E81</f>
        <v>4290</v>
      </c>
      <c r="J49" s="446">
        <f>'2024&amp;2023'!F81</f>
        <v>1205</v>
      </c>
      <c r="K49" s="446">
        <f>'2024&amp;2023'!G81</f>
        <v>1155</v>
      </c>
      <c r="L49" s="446">
        <f>'2024&amp;2023'!H81</f>
        <v>1425</v>
      </c>
      <c r="M49" s="446">
        <f>'2024&amp;2023'!I81</f>
        <v>1410</v>
      </c>
      <c r="N49" s="510">
        <f>'2024&amp;2023'!J81</f>
        <v>1834</v>
      </c>
      <c r="O49" s="510">
        <f>'2024&amp;2023'!K81</f>
        <v>3033</v>
      </c>
      <c r="P49" s="510">
        <f>'2024&amp;2023'!L81</f>
        <v>1260</v>
      </c>
    </row>
    <row r="50" spans="2:16" ht="17.25">
      <c r="B50" s="357" t="str">
        <f>'2024&amp;2023'!B82</f>
        <v>Miscellaneous Expenses (HCF)</v>
      </c>
      <c r="C50" s="446">
        <f>'2024&amp;2023'!C82</f>
        <v>0</v>
      </c>
      <c r="D50" s="446">
        <f t="shared" si="3"/>
        <v>0</v>
      </c>
      <c r="E50" s="446">
        <f t="shared" si="4"/>
        <v>0</v>
      </c>
      <c r="F50" s="446"/>
      <c r="G50" s="446">
        <f>'2024&amp;2023'!D82</f>
        <v>0</v>
      </c>
      <c r="H50" s="446"/>
      <c r="I50" s="446">
        <f>'2024&amp;2023'!E82</f>
        <v>2227</v>
      </c>
      <c r="J50" s="446">
        <f>'2024&amp;2023'!F82</f>
        <v>0</v>
      </c>
      <c r="K50" s="446">
        <f>'2024&amp;2023'!G82</f>
        <v>0</v>
      </c>
      <c r="L50" s="446">
        <f>'2024&amp;2023'!H82</f>
        <v>-24</v>
      </c>
      <c r="M50" s="446">
        <f>'2024&amp;2023'!I82</f>
        <v>0</v>
      </c>
      <c r="N50" s="511">
        <f>'2024&amp;2023'!J82</f>
        <v>68</v>
      </c>
      <c r="O50" s="511">
        <f>'2024&amp;2023'!K82</f>
        <v>56</v>
      </c>
      <c r="P50" s="511">
        <f>'2024&amp;2023'!L82</f>
        <v>806</v>
      </c>
    </row>
    <row r="51" spans="2:16" ht="17.25">
      <c r="B51" s="357" t="str">
        <f>'2024&amp;2023'!B83</f>
        <v>Miscellaneous Expenses (G. Foryce)</v>
      </c>
      <c r="C51" s="243">
        <f>'2024&amp;2023'!C83</f>
        <v>0</v>
      </c>
      <c r="D51" s="446">
        <f t="shared" si="3"/>
        <v>0</v>
      </c>
      <c r="E51" s="243">
        <f t="shared" si="4"/>
        <v>0</v>
      </c>
      <c r="F51" s="243"/>
      <c r="G51" s="243">
        <f>'2024&amp;2023'!D83</f>
        <v>0</v>
      </c>
      <c r="H51" s="243"/>
      <c r="I51" s="243">
        <f>'2024&amp;2023'!E83</f>
        <v>0</v>
      </c>
      <c r="J51" s="243">
        <f>'2024&amp;2023'!F83</f>
        <v>0</v>
      </c>
      <c r="K51" s="243">
        <f>'2024&amp;2023'!G83</f>
        <v>0</v>
      </c>
      <c r="L51" s="243">
        <f>'2024&amp;2023'!H83</f>
        <v>1279</v>
      </c>
      <c r="M51" s="243">
        <f>'2024&amp;2023'!I83</f>
        <v>576</v>
      </c>
      <c r="N51" s="511"/>
      <c r="O51" s="511"/>
      <c r="P51" s="511"/>
    </row>
    <row r="52" spans="2:16" ht="15">
      <c r="B52" s="235" t="s">
        <v>93</v>
      </c>
      <c r="C52" s="245">
        <f t="shared" ref="C52:M52" si="5">SUM(C23:C51)</f>
        <v>475683</v>
      </c>
      <c r="D52" s="245">
        <f t="shared" ref="D52" si="6">SUM(D23:D51)</f>
        <v>650713</v>
      </c>
      <c r="E52" s="245">
        <f t="shared" ref="E52:F52" si="7">SUM(E23:E51)</f>
        <v>210386.8</v>
      </c>
      <c r="F52" s="245">
        <f t="shared" si="7"/>
        <v>299599</v>
      </c>
      <c r="G52" s="245">
        <f t="shared" si="5"/>
        <v>265296.2</v>
      </c>
      <c r="H52" s="245">
        <f t="shared" ref="H52" si="8">SUM(H23:H51)</f>
        <v>351114</v>
      </c>
      <c r="I52" s="245">
        <f t="shared" si="5"/>
        <v>1528272</v>
      </c>
      <c r="J52" s="245">
        <f t="shared" si="5"/>
        <v>478475</v>
      </c>
      <c r="K52" s="245">
        <f t="shared" si="5"/>
        <v>489444.6</v>
      </c>
      <c r="L52" s="245">
        <f t="shared" si="5"/>
        <v>1459584.4</v>
      </c>
      <c r="M52" s="242">
        <f t="shared" si="5"/>
        <v>1527906.4</v>
      </c>
      <c r="N52" s="495">
        <f t="shared" ref="N52:P52" si="9">SUM(N23:N50)</f>
        <v>1734178</v>
      </c>
      <c r="O52" s="495">
        <f t="shared" si="9"/>
        <v>1624742.2000000002</v>
      </c>
      <c r="P52" s="495">
        <f t="shared" si="9"/>
        <v>1425051.8</v>
      </c>
    </row>
    <row r="53" spans="2:16" ht="4.5" customHeight="1">
      <c r="B53" s="236"/>
      <c r="C53" s="245"/>
      <c r="D53" s="245"/>
      <c r="E53" s="245"/>
      <c r="F53" s="245"/>
      <c r="G53" s="245"/>
      <c r="H53" s="245"/>
      <c r="I53" s="245"/>
      <c r="J53" s="245"/>
      <c r="K53" s="245"/>
      <c r="L53" s="245"/>
      <c r="M53" s="242"/>
      <c r="N53" s="495"/>
      <c r="O53" s="495"/>
      <c r="P53" s="495"/>
    </row>
    <row r="54" spans="2:16" ht="15.75">
      <c r="B54" s="236" t="s">
        <v>94</v>
      </c>
      <c r="C54" s="245">
        <f t="shared" ref="C54:E54" si="10">SUM(C20,C52)</f>
        <v>700030</v>
      </c>
      <c r="D54" s="245">
        <f t="shared" ref="D54" si="11">SUM(D20,D52)</f>
        <v>664751</v>
      </c>
      <c r="E54" s="245">
        <f t="shared" si="10"/>
        <v>323630.8</v>
      </c>
      <c r="F54" s="245">
        <f t="shared" ref="F54" si="12">SUM(F20,F52)</f>
        <v>307362</v>
      </c>
      <c r="G54" s="245">
        <f t="shared" ref="G54:I54" si="13">SUM(G20,G52)</f>
        <v>376399.2</v>
      </c>
      <c r="H54" s="245">
        <f t="shared" ref="H54" si="14">SUM(H20,H52)</f>
        <v>357389</v>
      </c>
      <c r="I54" s="245">
        <f t="shared" si="13"/>
        <v>1555730</v>
      </c>
      <c r="J54" s="245">
        <f t="shared" ref="J54:P54" si="15">SUM(J20,J52)</f>
        <v>714128</v>
      </c>
      <c r="K54" s="245">
        <f t="shared" si="15"/>
        <v>755154.6</v>
      </c>
      <c r="L54" s="245">
        <f t="shared" si="15"/>
        <v>1501916.4</v>
      </c>
      <c r="M54" s="242">
        <f t="shared" si="15"/>
        <v>1594187.4</v>
      </c>
      <c r="N54" s="495">
        <f t="shared" si="15"/>
        <v>1784354</v>
      </c>
      <c r="O54" s="495">
        <f t="shared" si="15"/>
        <v>1648792.2000000002</v>
      </c>
      <c r="P54" s="495">
        <f t="shared" si="15"/>
        <v>1432432.8</v>
      </c>
    </row>
    <row r="55" spans="2:16" ht="4.5" customHeight="1">
      <c r="B55" s="236"/>
      <c r="C55" s="246"/>
      <c r="D55" s="246"/>
      <c r="E55" s="246"/>
      <c r="F55" s="246"/>
      <c r="G55" s="246"/>
      <c r="H55" s="246"/>
      <c r="I55" s="246"/>
      <c r="J55" s="246"/>
      <c r="K55" s="246"/>
      <c r="L55" s="246"/>
      <c r="M55" s="247"/>
      <c r="N55" s="492"/>
      <c r="O55" s="492"/>
      <c r="P55" s="492"/>
    </row>
    <row r="56" spans="2:16" ht="15.75">
      <c r="B56" s="236" t="s">
        <v>95</v>
      </c>
      <c r="C56" s="246">
        <f t="shared" ref="C56:E56" si="16">C8-C54</f>
        <v>335855</v>
      </c>
      <c r="D56" s="246">
        <f t="shared" ref="D56" si="17">D8-D54</f>
        <v>335855.38999999966</v>
      </c>
      <c r="E56" s="246">
        <f t="shared" si="16"/>
        <v>53918.000000000058</v>
      </c>
      <c r="F56" s="246">
        <f t="shared" ref="F56" si="18">F8-F54</f>
        <v>53918.299999999348</v>
      </c>
      <c r="G56" s="246">
        <f t="shared" ref="G56:I56" si="19">G8-G54</f>
        <v>281936.99999999994</v>
      </c>
      <c r="H56" s="246">
        <f t="shared" ref="H56" si="20">H8-H54</f>
        <v>281937.08999999985</v>
      </c>
      <c r="I56" s="302">
        <f t="shared" si="19"/>
        <v>137630</v>
      </c>
      <c r="J56" s="246">
        <f t="shared" ref="J56:P56" si="21">J8-J54</f>
        <v>147430</v>
      </c>
      <c r="K56" s="302">
        <f t="shared" si="21"/>
        <v>-55609.999999999884</v>
      </c>
      <c r="L56" s="302">
        <f t="shared" si="21"/>
        <v>-132911.99999999953</v>
      </c>
      <c r="M56" s="515">
        <f t="shared" si="21"/>
        <v>121832.00000000047</v>
      </c>
      <c r="N56" s="492">
        <f t="shared" si="21"/>
        <v>150590</v>
      </c>
      <c r="O56" s="492">
        <f t="shared" si="21"/>
        <v>-219775.00000000093</v>
      </c>
      <c r="P56" s="492">
        <f t="shared" si="21"/>
        <v>-419020.9999999993</v>
      </c>
    </row>
    <row r="57" spans="2:16" ht="4.5" customHeight="1">
      <c r="B57" s="237"/>
      <c r="C57" s="247"/>
      <c r="D57" s="247"/>
      <c r="E57" s="247"/>
      <c r="F57" s="247"/>
      <c r="G57" s="247"/>
      <c r="H57" s="247"/>
      <c r="I57" s="247"/>
      <c r="J57" s="247"/>
      <c r="K57" s="247"/>
      <c r="L57" s="247"/>
      <c r="M57" s="247"/>
      <c r="N57" s="492"/>
      <c r="O57" s="492"/>
      <c r="P57" s="492"/>
    </row>
    <row r="58" spans="2:16" ht="15">
      <c r="B58" s="234" t="s">
        <v>96</v>
      </c>
      <c r="C58" s="242"/>
      <c r="D58" s="242"/>
      <c r="E58" s="242"/>
      <c r="F58" s="242"/>
      <c r="G58" s="242"/>
      <c r="H58" s="242"/>
      <c r="I58" s="242"/>
      <c r="J58" s="242"/>
      <c r="K58" s="242"/>
      <c r="L58" s="242"/>
      <c r="M58" s="242"/>
      <c r="N58" s="495"/>
      <c r="O58" s="495"/>
      <c r="P58" s="495"/>
    </row>
    <row r="59" spans="2:16" ht="15" hidden="1">
      <c r="B59" s="357" t="s">
        <v>97</v>
      </c>
      <c r="C59" s="446"/>
      <c r="D59" s="446"/>
      <c r="E59" s="446"/>
      <c r="F59" s="446"/>
      <c r="G59" s="446"/>
      <c r="H59" s="446"/>
      <c r="I59" s="446"/>
      <c r="J59" s="446"/>
      <c r="K59" s="446"/>
      <c r="L59" s="446"/>
      <c r="M59" s="446"/>
      <c r="N59" s="510">
        <f>'2024&amp;2023'!J5</f>
        <v>388325</v>
      </c>
      <c r="O59" s="510">
        <f>'2024&amp;2023'!K5</f>
        <v>279481</v>
      </c>
      <c r="P59" s="510">
        <f>'2024&amp;2023'!L5</f>
        <v>591937</v>
      </c>
    </row>
    <row r="60" spans="2:16" ht="15" hidden="1">
      <c r="B60" s="357" t="s">
        <v>98</v>
      </c>
      <c r="C60" s="446"/>
      <c r="D60" s="446"/>
      <c r="E60" s="446"/>
      <c r="F60" s="446"/>
      <c r="G60" s="446"/>
      <c r="H60" s="446"/>
      <c r="I60" s="446"/>
      <c r="J60" s="446"/>
      <c r="K60" s="446"/>
      <c r="L60" s="446"/>
      <c r="M60" s="446"/>
      <c r="N60" s="510">
        <f>-'2024&amp;2023'!J43</f>
        <v>108616</v>
      </c>
      <c r="O60" s="510">
        <f>-'2024&amp;2023'!K43</f>
        <v>100887</v>
      </c>
      <c r="P60" s="510">
        <f>-'2024&amp;2023'!L43</f>
        <v>49024</v>
      </c>
    </row>
    <row r="61" spans="2:16" ht="15">
      <c r="B61" s="357" t="s">
        <v>99</v>
      </c>
      <c r="C61" s="446">
        <f>'2024&amp;2023'!C94+'2024&amp;2023'!C93</f>
        <v>-1785</v>
      </c>
      <c r="D61" s="446">
        <f>+F61+H61</f>
        <v>-1785</v>
      </c>
      <c r="E61" s="446">
        <f>C61-G61</f>
        <v>5287</v>
      </c>
      <c r="F61" s="446">
        <f>9237-11022+7072</f>
        <v>5287</v>
      </c>
      <c r="G61" s="446">
        <f>'2024&amp;2023'!D94+'2024&amp;2023'!D93</f>
        <v>-7072</v>
      </c>
      <c r="H61" s="446">
        <f>-8329+1257</f>
        <v>-7072</v>
      </c>
      <c r="I61" s="446">
        <f>'2024&amp;2023'!E94+'2024&amp;2023'!E93</f>
        <v>-15331</v>
      </c>
      <c r="J61" s="446">
        <f>'2024&amp;2023'!F94+'2024&amp;2023'!F93</f>
        <v>-9887</v>
      </c>
      <c r="K61" s="446">
        <f>'2024&amp;2023'!G94+'2024&amp;2023'!G93</f>
        <v>-9669</v>
      </c>
      <c r="L61" s="446">
        <f>'2024&amp;2023'!H94+'2024&amp;2023'!H93</f>
        <v>-19142</v>
      </c>
      <c r="M61" s="446">
        <f>'2024&amp;2023'!I94+'2024&amp;2023'!I93</f>
        <v>-22060</v>
      </c>
      <c r="N61" s="510">
        <f>'2024&amp;2023'!J94+'2024&amp;2023'!J93</f>
        <v>-121245</v>
      </c>
      <c r="O61" s="510">
        <f>'2024&amp;2023'!K94+'2024&amp;2023'!K93</f>
        <v>-88472</v>
      </c>
      <c r="P61" s="510">
        <f>'2024&amp;2023'!L94+'2024&amp;2023'!L93</f>
        <v>-137472</v>
      </c>
    </row>
    <row r="62" spans="2:16" ht="15">
      <c r="B62" s="357" t="s">
        <v>100</v>
      </c>
      <c r="C62" s="446">
        <f>'2024&amp;2023'!C95</f>
        <v>0</v>
      </c>
      <c r="D62" s="446"/>
      <c r="E62" s="446">
        <f t="shared" ref="E62:E67" si="22">C62-G62</f>
        <v>0</v>
      </c>
      <c r="F62" s="446"/>
      <c r="G62" s="446">
        <f>'2024&amp;2023'!D95</f>
        <v>0</v>
      </c>
      <c r="H62" s="446"/>
      <c r="I62" s="446">
        <f>'2024&amp;2023'!E95</f>
        <v>0</v>
      </c>
      <c r="J62" s="446">
        <f>'2024&amp;2023'!F95</f>
        <v>0</v>
      </c>
      <c r="K62" s="446">
        <f>'2024&amp;2023'!G95</f>
        <v>2666</v>
      </c>
      <c r="L62" s="446">
        <f>'2024&amp;2023'!H95</f>
        <v>2667</v>
      </c>
      <c r="M62" s="446">
        <f>'2024&amp;2023'!I95</f>
        <v>0</v>
      </c>
      <c r="N62" s="510">
        <f>'2024&amp;2023'!J95</f>
        <v>0</v>
      </c>
      <c r="O62" s="510">
        <f>'2024&amp;2023'!K95</f>
        <v>1500</v>
      </c>
      <c r="P62" s="510">
        <f>'2024&amp;2023'!L95</f>
        <v>0</v>
      </c>
    </row>
    <row r="63" spans="2:16" ht="15">
      <c r="B63" s="357" t="s">
        <v>101</v>
      </c>
      <c r="C63" s="446">
        <f>'2024&amp;2023'!C96</f>
        <v>0</v>
      </c>
      <c r="D63" s="446"/>
      <c r="E63" s="446">
        <f t="shared" si="22"/>
        <v>0</v>
      </c>
      <c r="F63" s="446"/>
      <c r="G63" s="446">
        <f>'2024&amp;2023'!D96</f>
        <v>0</v>
      </c>
      <c r="H63" s="446"/>
      <c r="I63" s="446">
        <f>'2024&amp;2023'!E96</f>
        <v>0</v>
      </c>
      <c r="J63" s="446">
        <f>'2024&amp;2023'!F96</f>
        <v>576</v>
      </c>
      <c r="K63" s="446">
        <f>'2024&amp;2023'!G96</f>
        <v>0</v>
      </c>
      <c r="L63" s="446"/>
      <c r="M63" s="446"/>
      <c r="N63" s="510"/>
      <c r="O63" s="510"/>
      <c r="P63" s="510"/>
    </row>
    <row r="64" spans="2:16" ht="15">
      <c r="B64" s="357" t="s">
        <v>102</v>
      </c>
      <c r="C64" s="446">
        <f>'2024&amp;2023'!C97</f>
        <v>-4</v>
      </c>
      <c r="D64" s="446">
        <f>+F64+H64</f>
        <v>-4</v>
      </c>
      <c r="E64" s="446">
        <f t="shared" si="22"/>
        <v>0</v>
      </c>
      <c r="F64" s="446">
        <v>0</v>
      </c>
      <c r="G64" s="446">
        <f>'2024&amp;2023'!D97</f>
        <v>-4</v>
      </c>
      <c r="H64" s="446">
        <v>-4</v>
      </c>
      <c r="I64" s="446">
        <f>'2024&amp;2023'!E97</f>
        <v>0</v>
      </c>
      <c r="J64" s="446">
        <f>'2024&amp;2023'!F97</f>
        <v>0</v>
      </c>
      <c r="K64" s="446">
        <f>'2024&amp;2023'!G97</f>
        <v>-15</v>
      </c>
      <c r="L64" s="446"/>
      <c r="M64" s="446"/>
      <c r="N64" s="510"/>
      <c r="O64" s="510"/>
      <c r="P64" s="510"/>
    </row>
    <row r="65" spans="2:16" ht="15">
      <c r="B65" s="357" t="s">
        <v>103</v>
      </c>
      <c r="C65" s="446">
        <f>'2024&amp;2023'!C99</f>
        <v>0</v>
      </c>
      <c r="D65" s="446"/>
      <c r="E65" s="446">
        <f t="shared" si="22"/>
        <v>0</v>
      </c>
      <c r="F65" s="446"/>
      <c r="G65" s="446">
        <f>'2024&amp;2023'!D99</f>
        <v>0</v>
      </c>
      <c r="H65" s="446"/>
      <c r="I65" s="446">
        <f>'2024&amp;2023'!E99</f>
        <v>0</v>
      </c>
      <c r="J65" s="446">
        <f>'2024&amp;2023'!F99</f>
        <v>0</v>
      </c>
      <c r="K65" s="446">
        <f>'2024&amp;2023'!G99</f>
        <v>0</v>
      </c>
      <c r="L65" s="446">
        <f>'2024&amp;2023'!H99</f>
        <v>0</v>
      </c>
      <c r="M65" s="446">
        <f>'2024&amp;2023'!I99</f>
        <v>0</v>
      </c>
      <c r="N65" s="510">
        <f>'2024&amp;2023'!J99</f>
        <v>0</v>
      </c>
      <c r="O65" s="510">
        <f>'2024&amp;2023'!K99</f>
        <v>1352277</v>
      </c>
      <c r="P65" s="510">
        <f>'2024&amp;2023'!L99</f>
        <v>0</v>
      </c>
    </row>
    <row r="66" spans="2:16" ht="15">
      <c r="B66" s="357" t="s">
        <v>104</v>
      </c>
      <c r="C66" s="446">
        <f>'2024&amp;2023'!C98</f>
        <v>133786</v>
      </c>
      <c r="D66" s="446">
        <f>+F66+H66</f>
        <v>133786</v>
      </c>
      <c r="E66" s="446">
        <f t="shared" si="22"/>
        <v>133786</v>
      </c>
      <c r="F66" s="446">
        <v>133786</v>
      </c>
      <c r="G66" s="446"/>
      <c r="H66" s="446"/>
      <c r="I66" s="446"/>
      <c r="J66" s="446"/>
      <c r="K66" s="446"/>
      <c r="L66" s="446"/>
      <c r="M66" s="446"/>
      <c r="N66" s="510"/>
      <c r="O66" s="510"/>
      <c r="P66" s="510"/>
    </row>
    <row r="67" spans="2:16" ht="17.25">
      <c r="B67" s="357" t="s">
        <v>105</v>
      </c>
      <c r="C67" s="243">
        <v>0</v>
      </c>
      <c r="D67" s="243"/>
      <c r="E67" s="243">
        <f t="shared" si="22"/>
        <v>0</v>
      </c>
      <c r="F67" s="243"/>
      <c r="G67" s="243">
        <v>0</v>
      </c>
      <c r="H67" s="243"/>
      <c r="I67" s="243">
        <v>0</v>
      </c>
      <c r="J67" s="243">
        <v>0</v>
      </c>
      <c r="K67" s="243">
        <v>0</v>
      </c>
      <c r="L67" s="243">
        <v>0</v>
      </c>
      <c r="M67" s="243">
        <v>0</v>
      </c>
      <c r="N67" s="511">
        <f>'2024&amp;2023'!J98</f>
        <v>688137</v>
      </c>
      <c r="O67" s="511">
        <f>'2024&amp;2023'!K98</f>
        <v>862310</v>
      </c>
      <c r="P67" s="511">
        <f>'2024&amp;2023'!L98</f>
        <v>0</v>
      </c>
    </row>
    <row r="68" spans="2:16" ht="15.75">
      <c r="B68" s="236" t="s">
        <v>106</v>
      </c>
      <c r="C68" s="248">
        <f t="shared" ref="C68:E68" si="23">SUM(C59:C67)</f>
        <v>131997</v>
      </c>
      <c r="D68" s="248">
        <f t="shared" ref="D68" si="24">SUM(D59:D67)</f>
        <v>131997</v>
      </c>
      <c r="E68" s="248">
        <f t="shared" si="23"/>
        <v>139073</v>
      </c>
      <c r="F68" s="248">
        <f t="shared" ref="F68" si="25">SUM(F59:F67)</f>
        <v>139073</v>
      </c>
      <c r="G68" s="248">
        <f t="shared" ref="G68:I68" si="26">SUM(G59:G67)</f>
        <v>-7076</v>
      </c>
      <c r="H68" s="248">
        <f t="shared" ref="H68" si="27">SUM(H59:H67)</f>
        <v>-7076</v>
      </c>
      <c r="I68" s="248">
        <f t="shared" si="26"/>
        <v>-15331</v>
      </c>
      <c r="J68" s="248">
        <f t="shared" ref="J68:P68" si="28">SUM(J59:J67)</f>
        <v>-9311</v>
      </c>
      <c r="K68" s="248">
        <f t="shared" si="28"/>
        <v>-7018</v>
      </c>
      <c r="L68" s="248">
        <f t="shared" si="28"/>
        <v>-16475</v>
      </c>
      <c r="M68" s="248">
        <f t="shared" si="28"/>
        <v>-22060</v>
      </c>
      <c r="N68" s="498">
        <f t="shared" si="28"/>
        <v>1063833</v>
      </c>
      <c r="O68" s="498">
        <f t="shared" si="28"/>
        <v>2507983</v>
      </c>
      <c r="P68" s="498">
        <f t="shared" si="28"/>
        <v>503489</v>
      </c>
    </row>
    <row r="69" spans="2:16" ht="4.5" customHeight="1" thickBot="1">
      <c r="B69" s="620"/>
      <c r="C69" s="621"/>
      <c r="D69" s="621"/>
      <c r="E69" s="621"/>
      <c r="F69" s="621"/>
      <c r="G69" s="621"/>
      <c r="H69" s="621"/>
      <c r="I69" s="621"/>
      <c r="J69" s="621"/>
      <c r="K69" s="621"/>
      <c r="L69" s="621"/>
      <c r="M69" s="621"/>
      <c r="N69" s="513"/>
      <c r="O69" s="513"/>
      <c r="P69" s="513"/>
    </row>
    <row r="70" spans="2:16" ht="19.5" thickBot="1">
      <c r="B70" s="238" t="s">
        <v>107</v>
      </c>
      <c r="C70" s="241">
        <f>SUM(C56,C68)+-24+N("Rounding Error Correction")</f>
        <v>467828</v>
      </c>
      <c r="D70" s="241">
        <f>SUM(D56,D68)+-24+N("Rounding Error Correction")</f>
        <v>467828.38999999966</v>
      </c>
      <c r="E70" s="241">
        <f>SUM(E56,E68)+-3+N("Rounding Error Correction")</f>
        <v>192988.00000000006</v>
      </c>
      <c r="F70" s="241">
        <f>SUM(F56,F68)+-3+N("Rounding Error Correction")</f>
        <v>192988.29999999935</v>
      </c>
      <c r="G70" s="241">
        <f>SUM(G56,G68)+-21+N("Rounding Error Correction")</f>
        <v>274839.99999999994</v>
      </c>
      <c r="H70" s="241">
        <f>SUM(H56,H68)+-21+N("Rounding Error Correction")</f>
        <v>274840.08999999985</v>
      </c>
      <c r="I70" s="241">
        <f>SUM(I56,I68)-0+N("Rounding Error Correction")</f>
        <v>122299</v>
      </c>
      <c r="J70" s="241">
        <f>SUM(J56,J68)-21+N("Rounding Error Correction")</f>
        <v>138098</v>
      </c>
      <c r="K70" s="241">
        <f>SUM(K56,K68)-10+N("Rounding Error Correction")</f>
        <v>-62637.999999999884</v>
      </c>
      <c r="L70" s="241">
        <f>SUM(L56,L68)-0+N("Rounding Error Correction")</f>
        <v>-149386.99999999953</v>
      </c>
      <c r="M70" s="241">
        <f>SUM(M56,M68)-0+N("Rounding Error Correction")</f>
        <v>99772.000000000466</v>
      </c>
      <c r="N70" s="514">
        <f>SUM(N56,N68)</f>
        <v>1214423</v>
      </c>
      <c r="O70" s="514">
        <f>SUM(O56,O68)</f>
        <v>2288207.9999999991</v>
      </c>
      <c r="P70" s="514">
        <f>SUM(P56,P68)</f>
        <v>84468.000000000698</v>
      </c>
    </row>
    <row r="71" spans="2:16" ht="15" hidden="1">
      <c r="B71" s="448" t="s">
        <v>108</v>
      </c>
      <c r="C71" s="448"/>
      <c r="D71" s="448"/>
      <c r="E71" s="448"/>
      <c r="F71" s="448"/>
      <c r="G71" s="305"/>
      <c r="H71" s="305"/>
      <c r="I71" s="305"/>
      <c r="J71" s="305"/>
      <c r="K71" s="305"/>
      <c r="L71" s="306"/>
      <c r="M71" s="306"/>
      <c r="N71" s="306"/>
      <c r="O71" s="306"/>
      <c r="P71" s="306"/>
    </row>
    <row r="74" spans="2:16">
      <c r="B74" s="556"/>
      <c r="C74" s="556"/>
      <c r="D74" s="556"/>
      <c r="E74" s="556"/>
      <c r="F74" s="556"/>
      <c r="G74" s="556"/>
      <c r="H74" s="556"/>
      <c r="I74" s="556"/>
      <c r="J74" s="556"/>
      <c r="K74" s="556"/>
      <c r="L74" s="353"/>
      <c r="M74" s="353"/>
      <c r="N74" s="556"/>
      <c r="O74" s="556"/>
      <c r="P74" s="556"/>
    </row>
    <row r="76" spans="2:16">
      <c r="B76" s="556"/>
      <c r="C76" s="353"/>
      <c r="D76" s="353"/>
      <c r="E76" s="353"/>
      <c r="F76" s="353"/>
      <c r="G76" s="556"/>
      <c r="H76" s="353"/>
      <c r="I76" s="556"/>
      <c r="J76" s="556"/>
      <c r="K76" s="556"/>
      <c r="L76" s="556"/>
      <c r="M76" s="556"/>
      <c r="N76" s="556"/>
      <c r="O76" s="556"/>
      <c r="P76" s="556"/>
    </row>
    <row r="77" spans="2:16">
      <c r="B77" s="556"/>
      <c r="C77" s="556"/>
      <c r="D77" s="556"/>
      <c r="E77" s="353"/>
      <c r="F77" s="353"/>
      <c r="G77" s="556"/>
      <c r="H77" s="556"/>
      <c r="I77" s="556"/>
      <c r="J77" s="556"/>
      <c r="K77" s="556"/>
      <c r="L77" s="556"/>
      <c r="M77" s="556"/>
      <c r="N77" s="556"/>
      <c r="O77" s="556"/>
      <c r="P77" s="556"/>
    </row>
    <row r="78" spans="2:16">
      <c r="B78" s="556"/>
      <c r="C78" s="556"/>
      <c r="D78" s="556"/>
      <c r="E78" s="353"/>
      <c r="F78" s="353"/>
      <c r="G78" s="556"/>
      <c r="H78" s="556"/>
      <c r="I78" s="556"/>
      <c r="J78" s="556"/>
      <c r="K78" s="556"/>
      <c r="L78" s="556"/>
      <c r="M78" s="556"/>
      <c r="N78" s="556"/>
      <c r="O78" s="556"/>
      <c r="P78" s="556"/>
    </row>
  </sheetData>
  <mergeCells count="13">
    <mergeCell ref="C28:C29"/>
    <mergeCell ref="C33:C34"/>
    <mergeCell ref="C2:P2"/>
    <mergeCell ref="C3:P3"/>
    <mergeCell ref="C4:P4"/>
    <mergeCell ref="G28:G29"/>
    <mergeCell ref="G33:G34"/>
    <mergeCell ref="J28:J29"/>
    <mergeCell ref="J33:J34"/>
    <mergeCell ref="K28:K29"/>
    <mergeCell ref="K33:K34"/>
    <mergeCell ref="E28:E29"/>
    <mergeCell ref="E33:E34"/>
  </mergeCells>
  <phoneticPr fontId="8" type="noConversion"/>
  <conditionalFormatting sqref="C70:P70">
    <cfRule type="cellIs" dxfId="5" priority="1" operator="lessThan">
      <formula>0</formula>
    </cfRule>
  </conditionalFormatting>
  <pageMargins left="0.7" right="0.7" top="0.75" bottom="0.75" header="0.3" footer="0.3"/>
  <pageSetup scale="70"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85AE5-0FC1-4B21-B70E-A86AD8328706}">
  <sheetPr codeName="Sheet4">
    <tabColor rgb="FF7030A0"/>
  </sheetPr>
  <dimension ref="B1:L84"/>
  <sheetViews>
    <sheetView topLeftCell="A14" zoomScale="70" zoomScaleNormal="70" workbookViewId="0">
      <selection activeCell="F1" sqref="F1:F1048576"/>
    </sheetView>
  </sheetViews>
  <sheetFormatPr defaultRowHeight="12.75"/>
  <cols>
    <col min="1" max="1" width="0.85546875" customWidth="1"/>
    <col min="2" max="2" width="38" customWidth="1"/>
    <col min="3" max="3" width="15.5703125" customWidth="1"/>
    <col min="4" max="4" width="15.5703125" bestFit="1" customWidth="1"/>
    <col min="5" max="5" width="15.28515625" bestFit="1" customWidth="1"/>
    <col min="6" max="6" width="15.28515625" hidden="1" customWidth="1"/>
    <col min="7" max="7" width="15.28515625" bestFit="1" customWidth="1"/>
    <col min="8" max="8" width="14.28515625" hidden="1" customWidth="1"/>
    <col min="9" max="9" width="15.28515625" bestFit="1" customWidth="1"/>
    <col min="10" max="12" width="14.140625" hidden="1" customWidth="1"/>
  </cols>
  <sheetData>
    <row r="1" spans="2:12" ht="4.5" customHeight="1">
      <c r="B1" s="556"/>
      <c r="C1" s="556"/>
      <c r="D1" s="556"/>
      <c r="E1" s="556"/>
      <c r="F1" s="556"/>
      <c r="G1" s="556"/>
      <c r="H1" s="556"/>
      <c r="I1" s="556"/>
      <c r="J1" s="556"/>
      <c r="K1" s="556"/>
      <c r="L1" s="556"/>
    </row>
    <row r="2" spans="2:12" ht="15.75">
      <c r="B2" s="230" t="s">
        <v>0</v>
      </c>
      <c r="C2" s="559" t="s">
        <v>1</v>
      </c>
      <c r="D2" s="559"/>
      <c r="E2" s="559"/>
      <c r="F2" s="559"/>
      <c r="G2" s="559"/>
      <c r="H2" s="559"/>
      <c r="I2" s="559"/>
      <c r="J2" s="468"/>
      <c r="K2" s="468"/>
      <c r="L2" s="468"/>
    </row>
    <row r="3" spans="2:12" ht="15.75">
      <c r="B3" s="230" t="s">
        <v>2</v>
      </c>
      <c r="C3" s="559" t="s">
        <v>3</v>
      </c>
      <c r="D3" s="559"/>
      <c r="E3" s="559"/>
      <c r="F3" s="559"/>
      <c r="G3" s="559"/>
      <c r="H3" s="559"/>
      <c r="I3" s="559"/>
      <c r="J3" s="468"/>
      <c r="K3" s="468"/>
      <c r="L3" s="468"/>
    </row>
    <row r="4" spans="2:12" ht="15.75">
      <c r="B4" s="556"/>
      <c r="C4" s="559" t="s">
        <v>4</v>
      </c>
      <c r="D4" s="559"/>
      <c r="E4" s="559"/>
      <c r="F4" s="559"/>
      <c r="G4" s="559"/>
      <c r="H4" s="559"/>
      <c r="I4" s="559"/>
      <c r="J4" s="468"/>
      <c r="K4" s="468"/>
      <c r="L4" s="468"/>
    </row>
    <row r="5" spans="2:12" ht="4.5" customHeight="1">
      <c r="B5" s="556"/>
      <c r="C5" s="556"/>
      <c r="D5" s="556"/>
      <c r="E5" s="556"/>
      <c r="F5" s="556"/>
      <c r="G5" s="556"/>
      <c r="H5" s="556"/>
      <c r="I5" s="556"/>
      <c r="J5" s="556"/>
      <c r="K5" s="556"/>
      <c r="L5" s="556"/>
    </row>
    <row r="6" spans="2:12" ht="15.75" thickBot="1">
      <c r="B6" s="556"/>
      <c r="C6" s="239" t="s">
        <v>5</v>
      </c>
      <c r="D6" s="239" t="s">
        <v>5</v>
      </c>
      <c r="E6" s="249" t="s">
        <v>7</v>
      </c>
      <c r="F6" s="239" t="s">
        <v>5</v>
      </c>
      <c r="G6" s="249" t="s">
        <v>7</v>
      </c>
      <c r="H6" s="239" t="s">
        <v>5</v>
      </c>
      <c r="I6" s="249" t="s">
        <v>7</v>
      </c>
      <c r="J6" s="482" t="s">
        <v>7</v>
      </c>
      <c r="K6" s="482" t="s">
        <v>7</v>
      </c>
      <c r="L6" s="482" t="s">
        <v>7</v>
      </c>
    </row>
    <row r="7" spans="2:12" ht="21.75" thickBot="1">
      <c r="B7" s="250" t="s">
        <v>109</v>
      </c>
      <c r="C7" s="369" t="s">
        <v>10</v>
      </c>
      <c r="D7" s="369" t="s">
        <v>11</v>
      </c>
      <c r="E7" s="251" t="s">
        <v>12</v>
      </c>
      <c r="F7" s="369" t="s">
        <v>110</v>
      </c>
      <c r="G7" s="251" t="s">
        <v>15</v>
      </c>
      <c r="H7" s="369" t="s">
        <v>111</v>
      </c>
      <c r="I7" s="287" t="s">
        <v>16</v>
      </c>
      <c r="J7" s="483" t="s">
        <v>17</v>
      </c>
      <c r="K7" s="483" t="s">
        <v>18</v>
      </c>
      <c r="L7" s="483" t="s">
        <v>19</v>
      </c>
    </row>
    <row r="8" spans="2:12" ht="15.75">
      <c r="B8" s="252" t="s">
        <v>112</v>
      </c>
      <c r="C8" s="252"/>
      <c r="D8" s="252"/>
      <c r="E8" s="252"/>
      <c r="F8" s="253"/>
      <c r="G8" s="253"/>
      <c r="H8" s="253"/>
      <c r="I8" s="253"/>
      <c r="J8" s="492"/>
      <c r="K8" s="492"/>
      <c r="L8" s="492"/>
    </row>
    <row r="9" spans="2:12" ht="15">
      <c r="B9" s="361" t="s">
        <v>113</v>
      </c>
      <c r="C9" s="564">
        <f>739924</f>
        <v>739924</v>
      </c>
      <c r="D9" s="564">
        <v>543005</v>
      </c>
      <c r="E9" s="622">
        <v>254337</v>
      </c>
      <c r="F9" s="564">
        <v>739103</v>
      </c>
      <c r="G9" s="622">
        <v>286933</v>
      </c>
      <c r="H9" s="564">
        <v>641003</v>
      </c>
      <c r="I9" s="622">
        <v>519446</v>
      </c>
      <c r="J9" s="493">
        <v>113938</v>
      </c>
      <c r="K9" s="493">
        <v>49473</v>
      </c>
      <c r="L9" s="493">
        <v>175518</v>
      </c>
    </row>
    <row r="10" spans="2:12" ht="15">
      <c r="B10" s="361" t="s">
        <v>114</v>
      </c>
      <c r="C10" s="564"/>
      <c r="D10" s="564"/>
      <c r="E10" s="622">
        <v>71723</v>
      </c>
      <c r="F10" s="564"/>
      <c r="G10" s="622">
        <v>21799</v>
      </c>
      <c r="H10" s="564"/>
      <c r="I10" s="622">
        <v>87219</v>
      </c>
      <c r="J10" s="493"/>
      <c r="K10" s="493"/>
      <c r="L10" s="493"/>
    </row>
    <row r="11" spans="2:12" ht="15">
      <c r="B11" s="361" t="s">
        <v>115</v>
      </c>
      <c r="C11" s="361"/>
      <c r="D11" s="622">
        <v>0</v>
      </c>
      <c r="E11" s="622">
        <v>312916</v>
      </c>
      <c r="F11" s="622">
        <v>0</v>
      </c>
      <c r="G11" s="622">
        <v>300000</v>
      </c>
      <c r="H11" s="622">
        <v>0</v>
      </c>
      <c r="I11" s="622">
        <v>0</v>
      </c>
      <c r="J11" s="493">
        <v>0</v>
      </c>
      <c r="K11" s="493">
        <v>0</v>
      </c>
      <c r="L11" s="493">
        <v>0</v>
      </c>
    </row>
    <row r="12" spans="2:12" ht="15">
      <c r="B12" s="234" t="s">
        <v>116</v>
      </c>
      <c r="C12" s="623"/>
      <c r="D12" s="623"/>
      <c r="E12" s="623"/>
      <c r="F12" s="623"/>
      <c r="G12" s="623"/>
      <c r="H12" s="623"/>
      <c r="I12" s="623"/>
      <c r="J12" s="493"/>
      <c r="K12" s="493"/>
      <c r="L12" s="493"/>
    </row>
    <row r="13" spans="2:12" ht="15">
      <c r="B13" s="450" t="s">
        <v>117</v>
      </c>
      <c r="C13" s="564">
        <v>779487</v>
      </c>
      <c r="D13" s="564">
        <v>1010922</v>
      </c>
      <c r="E13" s="455">
        <v>674696</v>
      </c>
      <c r="F13" s="563">
        <v>624234</v>
      </c>
      <c r="G13" s="455">
        <v>600833</v>
      </c>
      <c r="H13" s="563">
        <f>739879</f>
        <v>739879</v>
      </c>
      <c r="I13" s="455">
        <v>825739</v>
      </c>
      <c r="J13" s="493">
        <v>1162502</v>
      </c>
      <c r="K13" s="493">
        <v>1033535</v>
      </c>
      <c r="L13" s="493">
        <v>838596</v>
      </c>
    </row>
    <row r="14" spans="2:12" ht="15">
      <c r="B14" s="450" t="s">
        <v>118</v>
      </c>
      <c r="C14" s="564"/>
      <c r="D14" s="564"/>
      <c r="E14" s="455">
        <v>14174</v>
      </c>
      <c r="F14" s="563"/>
      <c r="G14" s="455">
        <v>15236</v>
      </c>
      <c r="H14" s="563"/>
      <c r="I14" s="455">
        <v>101789</v>
      </c>
      <c r="J14" s="493"/>
      <c r="K14" s="493"/>
      <c r="L14" s="493"/>
    </row>
    <row r="15" spans="2:12" ht="16.5">
      <c r="B15" s="449" t="s">
        <v>119</v>
      </c>
      <c r="C15" s="459">
        <v>0</v>
      </c>
      <c r="D15" s="459">
        <v>0</v>
      </c>
      <c r="E15" s="458">
        <v>0</v>
      </c>
      <c r="F15" s="458">
        <v>0</v>
      </c>
      <c r="G15" s="458">
        <v>-7603</v>
      </c>
      <c r="H15" s="458">
        <v>0</v>
      </c>
      <c r="I15" s="458">
        <v>-9935</v>
      </c>
      <c r="J15" s="493">
        <v>13420</v>
      </c>
      <c r="K15" s="493">
        <v>21353</v>
      </c>
      <c r="L15" s="493">
        <f>11296+6000</f>
        <v>17296</v>
      </c>
    </row>
    <row r="16" spans="2:12" ht="15">
      <c r="B16" s="235" t="s">
        <v>120</v>
      </c>
      <c r="C16" s="456">
        <f>SUM(C13:C15)</f>
        <v>779487</v>
      </c>
      <c r="D16" s="456">
        <f>SUM(D13:D15)</f>
        <v>1010922</v>
      </c>
      <c r="E16" s="456">
        <f t="shared" ref="E16:I16" si="0">SUM(E13:E15)</f>
        <v>688870</v>
      </c>
      <c r="F16" s="456">
        <f t="shared" si="0"/>
        <v>624234</v>
      </c>
      <c r="G16" s="456">
        <f>SUM(G13:G15)</f>
        <v>608466</v>
      </c>
      <c r="H16" s="456">
        <f t="shared" si="0"/>
        <v>739879</v>
      </c>
      <c r="I16" s="456">
        <f t="shared" si="0"/>
        <v>917593</v>
      </c>
      <c r="J16" s="493"/>
      <c r="K16" s="493"/>
      <c r="L16" s="493"/>
    </row>
    <row r="17" spans="2:12" ht="15">
      <c r="B17" s="234" t="s">
        <v>121</v>
      </c>
      <c r="C17" s="452"/>
      <c r="D17" s="452"/>
      <c r="E17" s="452"/>
      <c r="F17" s="452"/>
      <c r="G17" s="452"/>
      <c r="H17" s="452"/>
      <c r="I17" s="452"/>
      <c r="J17" s="493"/>
      <c r="K17" s="493"/>
      <c r="L17" s="493"/>
    </row>
    <row r="18" spans="2:12" ht="15">
      <c r="B18" s="450" t="s">
        <v>122</v>
      </c>
      <c r="C18" s="563">
        <v>15</v>
      </c>
      <c r="D18" s="563">
        <v>44939</v>
      </c>
      <c r="E18" s="455">
        <v>40085</v>
      </c>
      <c r="F18" s="563">
        <v>8401</v>
      </c>
      <c r="G18" s="455">
        <v>8193</v>
      </c>
      <c r="H18" s="563">
        <f>6459</f>
        <v>6459</v>
      </c>
      <c r="I18" s="455">
        <v>90154</v>
      </c>
      <c r="J18" s="493"/>
      <c r="K18" s="493"/>
      <c r="L18" s="493"/>
    </row>
    <row r="19" spans="2:12" ht="15">
      <c r="B19" s="450" t="s">
        <v>123</v>
      </c>
      <c r="C19" s="563"/>
      <c r="D19" s="563"/>
      <c r="E19" s="455">
        <v>0</v>
      </c>
      <c r="F19" s="563"/>
      <c r="G19" s="455">
        <v>0</v>
      </c>
      <c r="H19" s="563"/>
      <c r="I19" s="455">
        <v>0</v>
      </c>
      <c r="J19" s="493"/>
      <c r="K19" s="493"/>
      <c r="L19" s="493"/>
    </row>
    <row r="20" spans="2:12" ht="16.5">
      <c r="B20" s="449" t="s">
        <v>119</v>
      </c>
      <c r="C20" s="458">
        <v>0</v>
      </c>
      <c r="D20" s="458">
        <v>0</v>
      </c>
      <c r="E20" s="458">
        <v>-9206</v>
      </c>
      <c r="F20" s="458">
        <v>0</v>
      </c>
      <c r="G20" s="458">
        <v>0</v>
      </c>
      <c r="H20" s="458">
        <v>0</v>
      </c>
      <c r="I20" s="458">
        <v>0</v>
      </c>
      <c r="J20" s="493"/>
      <c r="K20" s="493"/>
      <c r="L20" s="493"/>
    </row>
    <row r="21" spans="2:12" ht="15">
      <c r="B21" s="235" t="s">
        <v>124</v>
      </c>
      <c r="C21" s="456">
        <f>SUM(C18:C20)</f>
        <v>15</v>
      </c>
      <c r="D21" s="456">
        <f>SUM(D18:D20)</f>
        <v>44939</v>
      </c>
      <c r="E21" s="456">
        <f t="shared" ref="E21:I21" si="1">SUM(E18:E20)</f>
        <v>30879</v>
      </c>
      <c r="F21" s="456">
        <f t="shared" si="1"/>
        <v>8401</v>
      </c>
      <c r="G21" s="456">
        <f>SUM(G18:G20)</f>
        <v>8193</v>
      </c>
      <c r="H21" s="456">
        <f t="shared" si="1"/>
        <v>6459</v>
      </c>
      <c r="I21" s="456">
        <f t="shared" si="1"/>
        <v>90154</v>
      </c>
      <c r="J21" s="493"/>
      <c r="K21" s="493"/>
      <c r="L21" s="493"/>
    </row>
    <row r="22" spans="2:12" ht="15">
      <c r="B22" s="361" t="s">
        <v>125</v>
      </c>
      <c r="C22" s="622">
        <v>1098507</v>
      </c>
      <c r="D22" s="622">
        <v>1202624</v>
      </c>
      <c r="E22" s="622">
        <v>1239901</v>
      </c>
      <c r="F22" s="622">
        <v>1050542</v>
      </c>
      <c r="G22" s="622">
        <v>1021535</v>
      </c>
      <c r="H22" s="622">
        <f>909413</f>
        <v>909413</v>
      </c>
      <c r="I22" s="622">
        <v>1051427</v>
      </c>
      <c r="J22" s="493">
        <v>1733922</v>
      </c>
      <c r="K22" s="493">
        <v>1107863</v>
      </c>
      <c r="L22" s="493">
        <v>632835</v>
      </c>
    </row>
    <row r="23" spans="2:12" ht="15">
      <c r="B23" s="361" t="s">
        <v>126</v>
      </c>
      <c r="C23" s="622">
        <v>0</v>
      </c>
      <c r="D23" s="622">
        <v>0</v>
      </c>
      <c r="E23" s="622">
        <v>0</v>
      </c>
      <c r="F23" s="622">
        <v>0</v>
      </c>
      <c r="G23" s="622">
        <v>0</v>
      </c>
      <c r="H23" s="622">
        <v>0</v>
      </c>
      <c r="I23" s="622">
        <v>45134</v>
      </c>
      <c r="J23" s="493"/>
      <c r="K23" s="493"/>
      <c r="L23" s="493"/>
    </row>
    <row r="24" spans="2:12" ht="15" hidden="1">
      <c r="B24" s="361" t="s">
        <v>127</v>
      </c>
      <c r="C24" s="622"/>
      <c r="D24" s="622">
        <v>0</v>
      </c>
      <c r="E24" s="622">
        <v>0</v>
      </c>
      <c r="F24" s="622">
        <v>0</v>
      </c>
      <c r="G24" s="622">
        <v>0</v>
      </c>
      <c r="H24" s="622">
        <v>0</v>
      </c>
      <c r="I24" s="622">
        <v>0</v>
      </c>
      <c r="J24" s="493">
        <v>1352277</v>
      </c>
      <c r="K24" s="493">
        <v>1352277</v>
      </c>
      <c r="L24" s="493">
        <v>0</v>
      </c>
    </row>
    <row r="25" spans="2:12" ht="17.25">
      <c r="B25" s="361" t="s">
        <v>128</v>
      </c>
      <c r="C25" s="453">
        <v>33215</v>
      </c>
      <c r="D25" s="453">
        <v>18804</v>
      </c>
      <c r="E25" s="453">
        <v>12631</v>
      </c>
      <c r="F25" s="453">
        <v>14221</v>
      </c>
      <c r="G25" s="453">
        <v>5961</v>
      </c>
      <c r="H25" s="453">
        <f>17236</f>
        <v>17236</v>
      </c>
      <c r="I25" s="453">
        <v>11844</v>
      </c>
      <c r="J25" s="494">
        <v>5804</v>
      </c>
      <c r="K25" s="494">
        <v>4863</v>
      </c>
      <c r="L25" s="494">
        <v>4523</v>
      </c>
    </row>
    <row r="26" spans="2:12" ht="15.75">
      <c r="B26" s="236" t="s">
        <v>129</v>
      </c>
      <c r="C26" s="454">
        <f t="shared" ref="C26:H26" si="2">SUM(C9:C11,C16,C21,C22,C25)</f>
        <v>2651148</v>
      </c>
      <c r="D26" s="454">
        <f t="shared" si="2"/>
        <v>2820294</v>
      </c>
      <c r="E26" s="454">
        <f t="shared" si="2"/>
        <v>2611257</v>
      </c>
      <c r="F26" s="454">
        <f t="shared" si="2"/>
        <v>2436501</v>
      </c>
      <c r="G26" s="454">
        <f t="shared" si="2"/>
        <v>2252887</v>
      </c>
      <c r="H26" s="454">
        <f t="shared" si="2"/>
        <v>2313990</v>
      </c>
      <c r="I26" s="454">
        <f>SUM(I9:I11,I16,I21,I22,I25,I23)</f>
        <v>2722817</v>
      </c>
      <c r="J26" s="487">
        <f>SUM(J9:J25)</f>
        <v>4381863</v>
      </c>
      <c r="K26" s="487">
        <f>SUM(K9:K25)</f>
        <v>3569364</v>
      </c>
      <c r="L26" s="487">
        <f>SUM(L9:L25)</f>
        <v>1668768</v>
      </c>
    </row>
    <row r="27" spans="2:12" ht="4.5" customHeight="1">
      <c r="B27" s="237"/>
      <c r="C27" s="237"/>
      <c r="D27" s="237"/>
      <c r="E27" s="254"/>
      <c r="F27" s="254"/>
      <c r="G27" s="254"/>
      <c r="H27" s="254"/>
      <c r="I27" s="254"/>
      <c r="J27" s="495"/>
      <c r="K27" s="495"/>
      <c r="L27" s="495"/>
    </row>
    <row r="28" spans="2:12" ht="15.75">
      <c r="B28" s="252" t="s">
        <v>130</v>
      </c>
      <c r="C28" s="252"/>
      <c r="D28" s="252"/>
      <c r="E28" s="253"/>
      <c r="F28" s="253"/>
      <c r="G28" s="253"/>
      <c r="H28" s="253"/>
      <c r="I28" s="253"/>
      <c r="J28" s="492"/>
      <c r="K28" s="492"/>
      <c r="L28" s="492"/>
    </row>
    <row r="29" spans="2:12" ht="15">
      <c r="B29" s="361" t="s">
        <v>131</v>
      </c>
      <c r="C29" s="624">
        <v>600000</v>
      </c>
      <c r="D29" s="624">
        <v>600000</v>
      </c>
      <c r="E29" s="625">
        <v>100000</v>
      </c>
      <c r="F29" s="624">
        <v>600000</v>
      </c>
      <c r="G29" s="625">
        <v>100000</v>
      </c>
      <c r="H29" s="624">
        <v>600000</v>
      </c>
      <c r="I29" s="625">
        <v>100000</v>
      </c>
      <c r="J29" s="496">
        <v>100000</v>
      </c>
      <c r="K29" s="496">
        <v>100000</v>
      </c>
      <c r="L29" s="496">
        <v>100000</v>
      </c>
    </row>
    <row r="30" spans="2:12" ht="15">
      <c r="B30" s="361" t="s">
        <v>132</v>
      </c>
      <c r="C30" s="624"/>
      <c r="D30" s="624"/>
      <c r="E30" s="625">
        <v>500000</v>
      </c>
      <c r="F30" s="624"/>
      <c r="G30" s="625">
        <v>500000</v>
      </c>
      <c r="H30" s="624"/>
      <c r="I30" s="625">
        <v>500000</v>
      </c>
      <c r="J30" s="496">
        <v>500000</v>
      </c>
      <c r="K30" s="496">
        <v>500000</v>
      </c>
      <c r="L30" s="496">
        <v>500000</v>
      </c>
    </row>
    <row r="31" spans="2:12" ht="15">
      <c r="B31" s="361" t="s">
        <v>133</v>
      </c>
      <c r="C31" s="624">
        <v>1078355</v>
      </c>
      <c r="D31" s="624">
        <v>1078355</v>
      </c>
      <c r="E31" s="625">
        <v>1078356</v>
      </c>
      <c r="F31" s="624">
        <v>1078355</v>
      </c>
      <c r="G31" s="625">
        <v>1078356</v>
      </c>
      <c r="H31" s="624">
        <v>1056776</v>
      </c>
      <c r="I31" s="625">
        <v>1027967</v>
      </c>
      <c r="J31" s="496">
        <v>1001669</v>
      </c>
      <c r="K31" s="496">
        <v>1001669</v>
      </c>
      <c r="L31" s="496">
        <v>1001669</v>
      </c>
    </row>
    <row r="32" spans="2:12" ht="15">
      <c r="B32" s="361" t="s">
        <v>134</v>
      </c>
      <c r="C32" s="624"/>
      <c r="D32" s="624"/>
      <c r="E32" s="625">
        <v>65050</v>
      </c>
      <c r="F32" s="624">
        <v>0</v>
      </c>
      <c r="G32" s="625">
        <v>65050</v>
      </c>
      <c r="H32" s="624">
        <v>0</v>
      </c>
      <c r="I32" s="625">
        <v>65050</v>
      </c>
      <c r="J32" s="496"/>
      <c r="K32" s="496"/>
      <c r="L32" s="496"/>
    </row>
    <row r="33" spans="2:12" ht="15">
      <c r="B33" s="361" t="s">
        <v>135</v>
      </c>
      <c r="C33" s="625">
        <v>6811540</v>
      </c>
      <c r="D33" s="625">
        <v>6811540</v>
      </c>
      <c r="E33" s="625">
        <v>6801540</v>
      </c>
      <c r="F33" s="625">
        <f>6777168+188705</f>
        <v>6965873</v>
      </c>
      <c r="G33" s="625">
        <v>6759705</v>
      </c>
      <c r="H33" s="625">
        <f>6713457+199516</f>
        <v>6912973</v>
      </c>
      <c r="I33" s="625">
        <v>6717643</v>
      </c>
      <c r="J33" s="496">
        <v>6638006</v>
      </c>
      <c r="K33" s="496">
        <v>6638006</v>
      </c>
      <c r="L33" s="496">
        <v>6483888</v>
      </c>
    </row>
    <row r="34" spans="2:12" ht="15">
      <c r="B34" s="361" t="s">
        <v>136</v>
      </c>
      <c r="C34" s="625">
        <v>149312</v>
      </c>
      <c r="D34" s="625">
        <v>149312</v>
      </c>
      <c r="E34" s="625">
        <v>149313</v>
      </c>
      <c r="F34" s="625">
        <v>149312</v>
      </c>
      <c r="G34" s="625">
        <v>149313</v>
      </c>
      <c r="H34" s="625">
        <v>149312</v>
      </c>
      <c r="I34" s="625">
        <v>149313</v>
      </c>
      <c r="J34" s="496">
        <v>149313</v>
      </c>
      <c r="K34" s="496">
        <v>127387</v>
      </c>
      <c r="L34" s="496">
        <v>324668</v>
      </c>
    </row>
    <row r="35" spans="2:12" ht="15">
      <c r="B35" s="361" t="s">
        <v>137</v>
      </c>
      <c r="C35" s="257">
        <f>42406+188705</f>
        <v>231111</v>
      </c>
      <c r="D35" s="257">
        <f>42406+188705</f>
        <v>231111</v>
      </c>
      <c r="E35" s="257">
        <v>231112</v>
      </c>
      <c r="F35" s="257">
        <v>42406</v>
      </c>
      <c r="G35" s="257">
        <v>231112</v>
      </c>
      <c r="H35" s="257">
        <f>42406</f>
        <v>42406</v>
      </c>
      <c r="I35" s="257">
        <v>209970</v>
      </c>
      <c r="J35" s="497">
        <v>209970</v>
      </c>
      <c r="K35" s="497">
        <v>209970</v>
      </c>
      <c r="L35" s="497">
        <v>200911</v>
      </c>
    </row>
    <row r="36" spans="2:12" ht="15">
      <c r="B36" s="268" t="s">
        <v>138</v>
      </c>
      <c r="C36" s="258">
        <f>SUM(C29:C35)</f>
        <v>8870318</v>
      </c>
      <c r="D36" s="258">
        <f>SUM(D29:D35)</f>
        <v>8870318</v>
      </c>
      <c r="E36" s="258">
        <f t="shared" ref="E36:L36" si="3">SUM(E29:E35)</f>
        <v>8925371</v>
      </c>
      <c r="F36" s="258">
        <f t="shared" si="3"/>
        <v>8835946</v>
      </c>
      <c r="G36" s="258">
        <f>SUM(G29:G35)</f>
        <v>8883536</v>
      </c>
      <c r="H36" s="258">
        <f t="shared" si="3"/>
        <v>8761467</v>
      </c>
      <c r="I36" s="258">
        <f t="shared" si="3"/>
        <v>8769943</v>
      </c>
      <c r="J36" s="498">
        <f t="shared" si="3"/>
        <v>8598958</v>
      </c>
      <c r="K36" s="498">
        <f t="shared" si="3"/>
        <v>8577032</v>
      </c>
      <c r="L36" s="498">
        <f t="shared" si="3"/>
        <v>8611136</v>
      </c>
    </row>
    <row r="37" spans="2:12" ht="15">
      <c r="B37" s="269" t="s">
        <v>139</v>
      </c>
      <c r="C37" s="269">
        <v>-7467180</v>
      </c>
      <c r="D37" s="457">
        <f>-7413885</f>
        <v>-7413885</v>
      </c>
      <c r="E37" s="457">
        <f>-7339665-20923</f>
        <v>-7360588</v>
      </c>
      <c r="F37" s="457">
        <f>-7241132</f>
        <v>-7241132</v>
      </c>
      <c r="G37" s="457">
        <f>-7110597-14418</f>
        <v>-7125015</v>
      </c>
      <c r="H37" s="457">
        <f>-7007577</f>
        <v>-7007577</v>
      </c>
      <c r="I37" s="457">
        <f>-6889114-7913</f>
        <v>-6897027</v>
      </c>
      <c r="J37" s="497">
        <v>-6639871</v>
      </c>
      <c r="K37" s="497">
        <v>-6381778</v>
      </c>
      <c r="L37" s="497">
        <v>-6310027</v>
      </c>
    </row>
    <row r="38" spans="2:12" ht="15.75">
      <c r="B38" s="270" t="s">
        <v>140</v>
      </c>
      <c r="C38" s="256">
        <f t="shared" ref="C38:D38" si="4">SUM(C36:C37)</f>
        <v>1403138</v>
      </c>
      <c r="D38" s="256">
        <f t="shared" si="4"/>
        <v>1456433</v>
      </c>
      <c r="E38" s="256">
        <f t="shared" ref="E38:L38" si="5">SUM(E36:E37)</f>
        <v>1564783</v>
      </c>
      <c r="F38" s="256">
        <f t="shared" si="5"/>
        <v>1594814</v>
      </c>
      <c r="G38" s="256">
        <f>SUM(G36:G37)</f>
        <v>1758521</v>
      </c>
      <c r="H38" s="256">
        <f t="shared" si="5"/>
        <v>1753890</v>
      </c>
      <c r="I38" s="256">
        <f t="shared" si="5"/>
        <v>1872916</v>
      </c>
      <c r="J38" s="487">
        <f t="shared" si="5"/>
        <v>1959087</v>
      </c>
      <c r="K38" s="487">
        <f t="shared" si="5"/>
        <v>2195254</v>
      </c>
      <c r="L38" s="487">
        <f t="shared" si="5"/>
        <v>2301109</v>
      </c>
    </row>
    <row r="39" spans="2:12" ht="4.5" customHeight="1">
      <c r="B39" s="235"/>
      <c r="C39" s="235"/>
      <c r="D39" s="235"/>
      <c r="E39" s="235"/>
      <c r="F39" s="258"/>
      <c r="G39" s="258"/>
      <c r="H39" s="258"/>
      <c r="I39" s="258"/>
      <c r="J39" s="498"/>
      <c r="K39" s="498"/>
      <c r="L39" s="498"/>
    </row>
    <row r="40" spans="2:12" ht="15.75">
      <c r="B40" s="259" t="s">
        <v>141</v>
      </c>
      <c r="C40" s="259"/>
      <c r="D40" s="259"/>
      <c r="E40" s="259"/>
      <c r="F40" s="260"/>
      <c r="G40" s="260"/>
      <c r="H40" s="260"/>
      <c r="I40" s="260"/>
      <c r="J40" s="499"/>
      <c r="K40" s="499"/>
      <c r="L40" s="499"/>
    </row>
    <row r="41" spans="2:12" ht="15">
      <c r="B41" s="361" t="s">
        <v>142</v>
      </c>
      <c r="C41" s="625"/>
      <c r="D41" s="625">
        <v>0</v>
      </c>
      <c r="E41" s="625">
        <v>0</v>
      </c>
      <c r="F41" s="625">
        <v>0</v>
      </c>
      <c r="G41" s="625">
        <v>0</v>
      </c>
      <c r="H41" s="625">
        <v>0</v>
      </c>
      <c r="I41" s="625">
        <v>7572</v>
      </c>
      <c r="J41" s="496">
        <v>22269</v>
      </c>
      <c r="K41" s="496">
        <v>0</v>
      </c>
      <c r="L41" s="496">
        <v>0</v>
      </c>
    </row>
    <row r="42" spans="2:12" ht="15" hidden="1">
      <c r="B42" s="361" t="s">
        <v>143</v>
      </c>
      <c r="C42" s="625"/>
      <c r="D42" s="625">
        <v>0</v>
      </c>
      <c r="E42" s="625">
        <v>0</v>
      </c>
      <c r="F42" s="625">
        <v>0</v>
      </c>
      <c r="G42" s="625">
        <v>0</v>
      </c>
      <c r="H42" s="625">
        <v>0</v>
      </c>
      <c r="I42" s="625">
        <v>0</v>
      </c>
      <c r="J42" s="496">
        <v>176655</v>
      </c>
      <c r="K42" s="496">
        <v>168892</v>
      </c>
      <c r="L42" s="496">
        <v>160874</v>
      </c>
    </row>
    <row r="43" spans="2:12" ht="15" hidden="1">
      <c r="B43" s="361" t="s">
        <v>144</v>
      </c>
      <c r="C43" s="625"/>
      <c r="D43" s="625">
        <v>0</v>
      </c>
      <c r="E43" s="625">
        <v>0</v>
      </c>
      <c r="F43" s="625">
        <v>0</v>
      </c>
      <c r="G43" s="625">
        <v>0</v>
      </c>
      <c r="H43" s="625">
        <v>0</v>
      </c>
      <c r="I43" s="625">
        <v>0</v>
      </c>
      <c r="J43" s="496">
        <v>0</v>
      </c>
      <c r="K43" s="496">
        <v>20806</v>
      </c>
      <c r="L43" s="496">
        <v>41613</v>
      </c>
    </row>
    <row r="44" spans="2:12" ht="15">
      <c r="B44" s="361" t="s">
        <v>145</v>
      </c>
      <c r="C44" s="625">
        <v>10000</v>
      </c>
      <c r="D44" s="625">
        <v>10000</v>
      </c>
      <c r="E44" s="625">
        <v>10000</v>
      </c>
      <c r="F44" s="625">
        <v>10000</v>
      </c>
      <c r="G44" s="625">
        <v>10000</v>
      </c>
      <c r="H44" s="625">
        <v>10000</v>
      </c>
      <c r="I44" s="625">
        <v>10000</v>
      </c>
      <c r="J44" s="496">
        <v>10000</v>
      </c>
      <c r="K44" s="496">
        <v>10000</v>
      </c>
      <c r="L44" s="496">
        <v>10000</v>
      </c>
    </row>
    <row r="45" spans="2:12" ht="15">
      <c r="B45" s="361" t="s">
        <v>146</v>
      </c>
      <c r="C45" s="257">
        <v>500</v>
      </c>
      <c r="D45" s="257">
        <v>500</v>
      </c>
      <c r="E45" s="257">
        <v>500</v>
      </c>
      <c r="F45" s="257">
        <v>500</v>
      </c>
      <c r="G45" s="257">
        <v>500</v>
      </c>
      <c r="H45" s="257">
        <v>1772</v>
      </c>
      <c r="I45" s="257">
        <v>10009</v>
      </c>
      <c r="J45" s="497">
        <v>20523</v>
      </c>
      <c r="K45" s="497">
        <v>9913</v>
      </c>
      <c r="L45" s="497">
        <v>8488</v>
      </c>
    </row>
    <row r="46" spans="2:12" ht="15.75">
      <c r="B46" s="236" t="s">
        <v>147</v>
      </c>
      <c r="C46" s="256">
        <f t="shared" ref="C46" si="6">SUM(C41:C45)</f>
        <v>10500</v>
      </c>
      <c r="D46" s="256">
        <f t="shared" ref="D46:L46" si="7">SUM(D41:D45)</f>
        <v>10500</v>
      </c>
      <c r="E46" s="256">
        <f t="shared" si="7"/>
        <v>10500</v>
      </c>
      <c r="F46" s="256">
        <f t="shared" si="7"/>
        <v>10500</v>
      </c>
      <c r="G46" s="256">
        <f>SUM(G41:G45)</f>
        <v>10500</v>
      </c>
      <c r="H46" s="256">
        <f t="shared" si="7"/>
        <v>11772</v>
      </c>
      <c r="I46" s="256">
        <f t="shared" si="7"/>
        <v>27581</v>
      </c>
      <c r="J46" s="487">
        <f t="shared" si="7"/>
        <v>229447</v>
      </c>
      <c r="K46" s="487">
        <f t="shared" si="7"/>
        <v>209611</v>
      </c>
      <c r="L46" s="487">
        <f t="shared" si="7"/>
        <v>220975</v>
      </c>
    </row>
    <row r="47" spans="2:12" ht="4.5" customHeight="1">
      <c r="B47" s="237"/>
      <c r="C47" s="254"/>
      <c r="D47" s="254"/>
      <c r="E47" s="254"/>
      <c r="F47" s="254"/>
      <c r="G47" s="254"/>
      <c r="H47" s="254"/>
      <c r="I47" s="254"/>
      <c r="J47" s="495"/>
      <c r="K47" s="495"/>
      <c r="L47" s="495"/>
    </row>
    <row r="48" spans="2:12" ht="18.75">
      <c r="B48" s="261" t="s">
        <v>148</v>
      </c>
      <c r="C48" s="262">
        <f>SUM(C26,C38,C46)+3+N("Rounding Error Correction")</f>
        <v>4064789</v>
      </c>
      <c r="D48" s="262">
        <f>SUM(D26,D38,D46)+3+N("Rounding Error Correction")</f>
        <v>4287230</v>
      </c>
      <c r="E48" s="262">
        <f>SUM(E26,E38,E46)+0+N("Rounding Error Correction")</f>
        <v>4186540</v>
      </c>
      <c r="F48" s="262">
        <f>SUM(F26,F38,F46)+5+N("Rounding Error Correction")</f>
        <v>4041820</v>
      </c>
      <c r="G48" s="262">
        <f>SUM(G26,G38,G46)</f>
        <v>4021908</v>
      </c>
      <c r="H48" s="262">
        <f>SUM(H26,H38,H46)+5+N("Rounding Error Correction")</f>
        <v>4079657</v>
      </c>
      <c r="I48" s="262">
        <f>SUM(I26,I38,I46)</f>
        <v>4623314</v>
      </c>
      <c r="J48" s="500">
        <f>SUM(J26,J38,J46)</f>
        <v>6570397</v>
      </c>
      <c r="K48" s="500">
        <f>SUM(K26,K38,K46)</f>
        <v>5974229</v>
      </c>
      <c r="L48" s="500">
        <f>SUM(L26,L38,L46)</f>
        <v>4190852</v>
      </c>
    </row>
    <row r="49" spans="2:12" ht="4.5" customHeight="1">
      <c r="B49" s="626"/>
      <c r="C49" s="451"/>
      <c r="D49" s="451"/>
      <c r="E49" s="451"/>
      <c r="F49" s="451"/>
      <c r="G49" s="451"/>
      <c r="H49" s="451"/>
      <c r="I49" s="451"/>
      <c r="J49" s="493"/>
      <c r="K49" s="493"/>
      <c r="L49" s="493"/>
    </row>
    <row r="50" spans="2:12" ht="18.75">
      <c r="B50" s="263" t="s">
        <v>149</v>
      </c>
      <c r="C50" s="264"/>
      <c r="D50" s="264"/>
      <c r="E50" s="264"/>
      <c r="F50" s="264"/>
      <c r="G50" s="264"/>
      <c r="H50" s="264"/>
      <c r="I50" s="264"/>
      <c r="J50" s="501"/>
      <c r="K50" s="501"/>
      <c r="L50" s="501"/>
    </row>
    <row r="51" spans="2:12" ht="15.75">
      <c r="B51" s="271" t="s">
        <v>150</v>
      </c>
      <c r="C51" s="360"/>
      <c r="D51" s="360"/>
      <c r="E51" s="360"/>
      <c r="F51" s="360"/>
      <c r="G51" s="253"/>
      <c r="H51" s="360"/>
      <c r="I51" s="253"/>
      <c r="J51" s="492"/>
      <c r="K51" s="492"/>
      <c r="L51" s="492"/>
    </row>
    <row r="52" spans="2:12" ht="15">
      <c r="B52" s="361" t="s">
        <v>151</v>
      </c>
      <c r="C52" s="451">
        <v>0</v>
      </c>
      <c r="D52" s="451">
        <v>0</v>
      </c>
      <c r="E52" s="451">
        <v>22707</v>
      </c>
      <c r="F52" s="451">
        <v>0</v>
      </c>
      <c r="G52" s="451">
        <v>15885</v>
      </c>
      <c r="H52" s="451">
        <v>0</v>
      </c>
      <c r="I52" s="451">
        <v>18817</v>
      </c>
      <c r="J52" s="493">
        <v>17991</v>
      </c>
      <c r="K52" s="493">
        <v>17201</v>
      </c>
      <c r="L52" s="493">
        <v>16445</v>
      </c>
    </row>
    <row r="53" spans="2:12" ht="14.65" hidden="1" customHeight="1">
      <c r="B53" s="361" t="s">
        <v>152</v>
      </c>
      <c r="C53" s="451"/>
      <c r="D53" s="451">
        <v>0</v>
      </c>
      <c r="E53" s="451">
        <v>0</v>
      </c>
      <c r="F53" s="451">
        <v>0</v>
      </c>
      <c r="G53" s="451">
        <v>0</v>
      </c>
      <c r="H53" s="451">
        <v>0</v>
      </c>
      <c r="I53" s="451">
        <v>0</v>
      </c>
      <c r="J53" s="493">
        <v>700000</v>
      </c>
      <c r="K53" s="493">
        <v>548922</v>
      </c>
      <c r="L53" s="493">
        <v>0</v>
      </c>
    </row>
    <row r="54" spans="2:12" ht="15">
      <c r="B54" s="361" t="s">
        <v>153</v>
      </c>
      <c r="C54" s="451">
        <v>0</v>
      </c>
      <c r="D54" s="451">
        <v>0</v>
      </c>
      <c r="E54" s="451">
        <v>0</v>
      </c>
      <c r="F54" s="451">
        <v>0</v>
      </c>
      <c r="G54" s="451">
        <v>0</v>
      </c>
      <c r="H54" s="451">
        <v>0</v>
      </c>
      <c r="I54" s="451">
        <v>3001</v>
      </c>
      <c r="J54" s="493">
        <v>8667</v>
      </c>
      <c r="K54" s="493">
        <v>8154</v>
      </c>
      <c r="L54" s="493">
        <v>7668</v>
      </c>
    </row>
    <row r="55" spans="2:12" ht="15">
      <c r="B55" s="361" t="s">
        <v>154</v>
      </c>
      <c r="C55" s="451">
        <v>0</v>
      </c>
      <c r="D55" s="451">
        <v>0</v>
      </c>
      <c r="E55" s="451">
        <v>0</v>
      </c>
      <c r="F55" s="451">
        <v>0</v>
      </c>
      <c r="G55" s="451">
        <v>0</v>
      </c>
      <c r="H55" s="451">
        <v>0</v>
      </c>
      <c r="I55" s="451">
        <v>7572</v>
      </c>
      <c r="J55" s="493">
        <v>14698</v>
      </c>
      <c r="K55" s="493">
        <v>0</v>
      </c>
      <c r="L55" s="493">
        <v>0</v>
      </c>
    </row>
    <row r="56" spans="2:12" ht="14.65" hidden="1" customHeight="1">
      <c r="B56" s="361" t="s">
        <v>155</v>
      </c>
      <c r="C56" s="451"/>
      <c r="D56" s="451">
        <v>0</v>
      </c>
      <c r="E56" s="451">
        <v>0</v>
      </c>
      <c r="F56" s="451">
        <v>0</v>
      </c>
      <c r="G56" s="451">
        <v>0</v>
      </c>
      <c r="H56" s="451">
        <v>0</v>
      </c>
      <c r="I56" s="451">
        <v>0</v>
      </c>
      <c r="J56" s="493">
        <v>0</v>
      </c>
      <c r="K56" s="493">
        <v>688137</v>
      </c>
      <c r="L56" s="493">
        <v>862310</v>
      </c>
    </row>
    <row r="57" spans="2:12" ht="15">
      <c r="B57" s="234" t="s">
        <v>156</v>
      </c>
      <c r="C57" s="460"/>
      <c r="D57" s="460"/>
      <c r="E57" s="460"/>
      <c r="F57" s="460"/>
      <c r="G57" s="460"/>
      <c r="H57" s="460"/>
      <c r="I57" s="460"/>
      <c r="J57" s="493"/>
      <c r="K57" s="493"/>
      <c r="L57" s="493"/>
    </row>
    <row r="58" spans="2:12" ht="15">
      <c r="B58" s="450" t="s">
        <v>157</v>
      </c>
      <c r="C58" s="562">
        <v>310086</v>
      </c>
      <c r="D58" s="562">
        <v>413053</v>
      </c>
      <c r="E58" s="461">
        <v>451708</v>
      </c>
      <c r="F58" s="562">
        <v>219210</v>
      </c>
      <c r="G58" s="461">
        <v>281913</v>
      </c>
      <c r="H58" s="562">
        <v>230561</v>
      </c>
      <c r="I58" s="461">
        <v>284395</v>
      </c>
      <c r="J58" s="493">
        <v>1181015</v>
      </c>
      <c r="K58" s="493">
        <v>642630</v>
      </c>
      <c r="L58" s="493">
        <v>758243</v>
      </c>
    </row>
    <row r="59" spans="2:12" ht="15">
      <c r="B59" s="450" t="s">
        <v>158</v>
      </c>
      <c r="C59" s="562"/>
      <c r="D59" s="562"/>
      <c r="E59" s="461">
        <v>9206</v>
      </c>
      <c r="F59" s="562"/>
      <c r="G59" s="461">
        <v>7603</v>
      </c>
      <c r="H59" s="562"/>
      <c r="I59" s="461">
        <v>9935</v>
      </c>
      <c r="J59" s="493"/>
      <c r="K59" s="493"/>
      <c r="L59" s="493"/>
    </row>
    <row r="60" spans="2:12" ht="16.5">
      <c r="B60" s="449" t="s">
        <v>119</v>
      </c>
      <c r="C60" s="458">
        <v>0</v>
      </c>
      <c r="D60" s="458">
        <v>0</v>
      </c>
      <c r="E60" s="458">
        <f>-9206</f>
        <v>-9206</v>
      </c>
      <c r="F60" s="458">
        <v>0</v>
      </c>
      <c r="G60" s="458">
        <v>-7603</v>
      </c>
      <c r="H60" s="458">
        <v>0</v>
      </c>
      <c r="I60" s="458">
        <v>-9935</v>
      </c>
      <c r="J60" s="493"/>
      <c r="K60" s="493"/>
      <c r="L60" s="493"/>
    </row>
    <row r="61" spans="2:12" ht="15">
      <c r="B61" s="235" t="s">
        <v>120</v>
      </c>
      <c r="C61" s="462">
        <f>SUM(C58:C60)</f>
        <v>310086</v>
      </c>
      <c r="D61" s="462">
        <f>SUM(D58:D60)</f>
        <v>413053</v>
      </c>
      <c r="E61" s="462">
        <f t="shared" ref="E61:L61" si="8">SUM(E58:E60)</f>
        <v>451708</v>
      </c>
      <c r="F61" s="462">
        <f t="shared" si="8"/>
        <v>219210</v>
      </c>
      <c r="G61" s="462">
        <f>SUM(G58:G60)</f>
        <v>281913</v>
      </c>
      <c r="H61" s="462">
        <f t="shared" si="8"/>
        <v>230561</v>
      </c>
      <c r="I61" s="462">
        <f t="shared" si="8"/>
        <v>284395</v>
      </c>
      <c r="J61" s="502">
        <f t="shared" si="8"/>
        <v>1181015</v>
      </c>
      <c r="K61" s="502">
        <f t="shared" si="8"/>
        <v>642630</v>
      </c>
      <c r="L61" s="502">
        <f t="shared" si="8"/>
        <v>758243</v>
      </c>
    </row>
    <row r="62" spans="2:12" ht="15">
      <c r="B62" s="361" t="s">
        <v>159</v>
      </c>
      <c r="C62" s="451">
        <v>0</v>
      </c>
      <c r="D62" s="451">
        <v>193786</v>
      </c>
      <c r="E62" s="451">
        <v>193786</v>
      </c>
      <c r="F62" s="451">
        <v>193786</v>
      </c>
      <c r="G62" s="451">
        <v>0</v>
      </c>
      <c r="H62" s="627">
        <v>193786</v>
      </c>
      <c r="I62" s="451">
        <v>0</v>
      </c>
      <c r="J62" s="493">
        <v>0</v>
      </c>
      <c r="K62" s="493">
        <v>0</v>
      </c>
      <c r="L62" s="493">
        <v>0</v>
      </c>
    </row>
    <row r="63" spans="2:12" ht="15">
      <c r="B63" s="361" t="s">
        <v>160</v>
      </c>
      <c r="C63" s="451">
        <v>19755</v>
      </c>
      <c r="D63" s="451">
        <v>19755</v>
      </c>
      <c r="E63" s="451">
        <v>0</v>
      </c>
      <c r="F63" s="451">
        <v>19755</v>
      </c>
      <c r="G63" s="451">
        <v>0</v>
      </c>
      <c r="H63" s="451">
        <v>19244</v>
      </c>
      <c r="I63" s="451">
        <v>0</v>
      </c>
      <c r="J63" s="493">
        <v>0</v>
      </c>
      <c r="K63" s="493">
        <v>0</v>
      </c>
      <c r="L63" s="493">
        <v>0</v>
      </c>
    </row>
    <row r="64" spans="2:12" ht="15">
      <c r="B64" s="361" t="s">
        <v>161</v>
      </c>
      <c r="C64" s="451">
        <v>0</v>
      </c>
      <c r="D64" s="451">
        <v>0</v>
      </c>
      <c r="E64" s="451">
        <v>191940</v>
      </c>
      <c r="F64" s="451">
        <v>-8105</v>
      </c>
      <c r="G64" s="451">
        <v>237167</v>
      </c>
      <c r="H64" s="451">
        <v>-1418</v>
      </c>
      <c r="I64" s="451">
        <v>295060</v>
      </c>
      <c r="J64" s="493">
        <v>328523</v>
      </c>
      <c r="K64" s="493">
        <v>346244</v>
      </c>
      <c r="L64" s="493">
        <v>221770</v>
      </c>
    </row>
    <row r="65" spans="2:12" ht="15">
      <c r="B65" s="361" t="s">
        <v>162</v>
      </c>
      <c r="C65" s="451">
        <v>234041</v>
      </c>
      <c r="D65" s="451">
        <v>296870</v>
      </c>
      <c r="E65" s="451">
        <v>0</v>
      </c>
      <c r="F65" s="451">
        <v>345336</v>
      </c>
      <c r="G65" s="451">
        <v>0</v>
      </c>
      <c r="H65" s="451">
        <v>332945</v>
      </c>
      <c r="I65" s="451">
        <v>0</v>
      </c>
      <c r="J65" s="493">
        <v>0</v>
      </c>
      <c r="K65" s="493">
        <v>0</v>
      </c>
      <c r="L65" s="493">
        <v>0</v>
      </c>
    </row>
    <row r="66" spans="2:12" ht="15">
      <c r="B66" s="361" t="s">
        <v>163</v>
      </c>
      <c r="C66" s="451">
        <v>0</v>
      </c>
      <c r="D66" s="451">
        <v>0</v>
      </c>
      <c r="E66" s="451">
        <v>0</v>
      </c>
      <c r="F66" s="451">
        <v>0</v>
      </c>
      <c r="G66" s="451">
        <v>0</v>
      </c>
      <c r="H66" s="451">
        <v>0</v>
      </c>
      <c r="I66" s="451">
        <v>77500</v>
      </c>
      <c r="J66" s="493">
        <v>105500</v>
      </c>
      <c r="K66" s="493">
        <v>140500</v>
      </c>
      <c r="L66" s="493">
        <v>143000</v>
      </c>
    </row>
    <row r="67" spans="2:12" ht="15">
      <c r="B67" s="361" t="s">
        <v>164</v>
      </c>
      <c r="C67" s="451">
        <v>0</v>
      </c>
      <c r="D67" s="451">
        <v>0</v>
      </c>
      <c r="E67" s="451">
        <v>48476</v>
      </c>
      <c r="F67" s="451">
        <v>0</v>
      </c>
      <c r="G67" s="451">
        <v>43283</v>
      </c>
      <c r="H67" s="451">
        <v>0</v>
      </c>
      <c r="I67" s="451">
        <v>43884</v>
      </c>
      <c r="J67" s="493">
        <v>44827</v>
      </c>
      <c r="K67" s="493">
        <v>41624</v>
      </c>
      <c r="L67" s="493">
        <v>47321</v>
      </c>
    </row>
    <row r="68" spans="2:12" ht="15" hidden="1">
      <c r="B68" s="361" t="s">
        <v>165</v>
      </c>
      <c r="C68" s="451"/>
      <c r="D68" s="451">
        <v>0</v>
      </c>
      <c r="E68" s="451">
        <v>0</v>
      </c>
      <c r="F68" s="451">
        <v>0</v>
      </c>
      <c r="G68" s="451">
        <v>0</v>
      </c>
      <c r="H68" s="451">
        <v>0</v>
      </c>
      <c r="I68" s="451">
        <v>0</v>
      </c>
      <c r="J68" s="503">
        <v>3296</v>
      </c>
      <c r="K68" s="503">
        <v>0</v>
      </c>
      <c r="L68" s="503">
        <v>0</v>
      </c>
    </row>
    <row r="69" spans="2:12" ht="15">
      <c r="B69" s="361" t="s">
        <v>166</v>
      </c>
      <c r="C69" s="255">
        <v>0</v>
      </c>
      <c r="D69" s="255">
        <v>0</v>
      </c>
      <c r="E69" s="255">
        <v>0</v>
      </c>
      <c r="F69" s="255">
        <v>0</v>
      </c>
      <c r="G69" s="255">
        <v>0</v>
      </c>
      <c r="H69" s="255">
        <v>0</v>
      </c>
      <c r="I69" s="255">
        <v>202140</v>
      </c>
      <c r="J69" s="503"/>
      <c r="K69" s="503"/>
      <c r="L69" s="503"/>
    </row>
    <row r="70" spans="2:12" ht="15.75">
      <c r="B70" s="236" t="s">
        <v>167</v>
      </c>
      <c r="C70" s="256">
        <f t="shared" ref="C70:H70" si="9">SUM(C52:C56,C61:C68)</f>
        <v>563882</v>
      </c>
      <c r="D70" s="256">
        <f t="shared" si="9"/>
        <v>923464</v>
      </c>
      <c r="E70" s="256">
        <f t="shared" si="9"/>
        <v>908617</v>
      </c>
      <c r="F70" s="256">
        <f t="shared" si="9"/>
        <v>769982</v>
      </c>
      <c r="G70" s="256">
        <f t="shared" si="9"/>
        <v>578248</v>
      </c>
      <c r="H70" s="256">
        <f t="shared" si="9"/>
        <v>775118</v>
      </c>
      <c r="I70" s="256">
        <f>SUM(I52:I56,I61:I69)</f>
        <v>932369</v>
      </c>
      <c r="J70" s="487">
        <f>SUM(J52:J68)</f>
        <v>3585532</v>
      </c>
      <c r="K70" s="487">
        <f>SUM(K52:K68)</f>
        <v>3076042</v>
      </c>
      <c r="L70" s="487">
        <f>SUM(L52:L68)</f>
        <v>2815000</v>
      </c>
    </row>
    <row r="71" spans="2:12" ht="4.5" customHeight="1">
      <c r="B71" s="237"/>
      <c r="C71" s="254"/>
      <c r="D71" s="254"/>
      <c r="E71" s="254"/>
      <c r="F71" s="254"/>
      <c r="G71" s="254"/>
      <c r="H71" s="254"/>
      <c r="I71" s="254"/>
      <c r="J71" s="495"/>
      <c r="K71" s="495"/>
      <c r="L71" s="495"/>
    </row>
    <row r="72" spans="2:12" ht="15.75">
      <c r="B72" s="252" t="s">
        <v>168</v>
      </c>
      <c r="C72" s="252"/>
      <c r="D72" s="253"/>
      <c r="E72" s="253"/>
      <c r="F72" s="253"/>
      <c r="G72" s="253"/>
      <c r="H72" s="253"/>
      <c r="I72" s="253"/>
      <c r="J72" s="492"/>
      <c r="K72" s="492"/>
      <c r="L72" s="492"/>
    </row>
    <row r="73" spans="2:12" ht="15">
      <c r="B73" s="361" t="s">
        <v>169</v>
      </c>
      <c r="C73" s="451">
        <v>0</v>
      </c>
      <c r="D73" s="451">
        <v>0</v>
      </c>
      <c r="E73" s="451">
        <v>0</v>
      </c>
      <c r="F73" s="451">
        <v>0</v>
      </c>
      <c r="G73" s="451">
        <v>193786</v>
      </c>
      <c r="H73" s="451">
        <v>0</v>
      </c>
      <c r="I73" s="451">
        <v>193786</v>
      </c>
      <c r="J73" s="493">
        <v>193786</v>
      </c>
      <c r="K73" s="493">
        <v>193786</v>
      </c>
      <c r="L73" s="493">
        <v>193786</v>
      </c>
    </row>
    <row r="74" spans="2:12" ht="15">
      <c r="B74" s="361" t="s">
        <v>170</v>
      </c>
      <c r="C74" s="451">
        <f>241871</f>
        <v>241871</v>
      </c>
      <c r="D74" s="451">
        <v>275154</v>
      </c>
      <c r="E74" s="451">
        <v>304972</v>
      </c>
      <c r="F74" s="451">
        <v>377563</v>
      </c>
      <c r="G74" s="451">
        <v>0</v>
      </c>
      <c r="H74" s="451">
        <v>405376</v>
      </c>
      <c r="I74" s="451">
        <v>0</v>
      </c>
      <c r="J74" s="493"/>
      <c r="K74" s="493"/>
      <c r="L74" s="493"/>
    </row>
    <row r="75" spans="2:12" ht="15" hidden="1">
      <c r="B75" s="361" t="s">
        <v>152</v>
      </c>
      <c r="C75" s="451"/>
      <c r="D75" s="451">
        <v>0</v>
      </c>
      <c r="E75" s="451">
        <v>0</v>
      </c>
      <c r="F75" s="451">
        <v>0</v>
      </c>
      <c r="G75" s="451">
        <v>0</v>
      </c>
      <c r="H75" s="451">
        <v>0</v>
      </c>
      <c r="I75" s="451">
        <v>0</v>
      </c>
      <c r="J75" s="493">
        <v>0</v>
      </c>
      <c r="K75" s="493">
        <v>0</v>
      </c>
      <c r="L75" s="493">
        <v>733570</v>
      </c>
    </row>
    <row r="76" spans="2:12" ht="17.25">
      <c r="B76" s="361" t="s">
        <v>171</v>
      </c>
      <c r="C76" s="303">
        <v>0</v>
      </c>
      <c r="D76" s="303">
        <v>0</v>
      </c>
      <c r="E76" s="303">
        <v>0</v>
      </c>
      <c r="F76" s="303">
        <v>0</v>
      </c>
      <c r="G76" s="303">
        <v>399222</v>
      </c>
      <c r="H76" s="303">
        <v>0</v>
      </c>
      <c r="I76" s="303">
        <v>415107</v>
      </c>
      <c r="J76" s="493">
        <v>433924</v>
      </c>
      <c r="K76" s="493">
        <v>451915</v>
      </c>
      <c r="L76" s="493">
        <v>469115</v>
      </c>
    </row>
    <row r="77" spans="2:12" ht="15" hidden="1">
      <c r="B77" s="361" t="s">
        <v>172</v>
      </c>
      <c r="C77" s="451"/>
      <c r="D77" s="451">
        <v>0</v>
      </c>
      <c r="E77" s="451">
        <v>0</v>
      </c>
      <c r="F77" s="451">
        <v>0</v>
      </c>
      <c r="G77" s="451">
        <v>0</v>
      </c>
      <c r="H77" s="451">
        <v>0</v>
      </c>
      <c r="I77" s="451">
        <v>0</v>
      </c>
      <c r="J77" s="493">
        <v>1500</v>
      </c>
      <c r="K77" s="493">
        <v>10164</v>
      </c>
      <c r="L77" s="493">
        <v>18317</v>
      </c>
    </row>
    <row r="78" spans="2:12" ht="15" hidden="1">
      <c r="B78" s="361" t="s">
        <v>173</v>
      </c>
      <c r="C78" s="255"/>
      <c r="D78" s="255">
        <v>0</v>
      </c>
      <c r="E78" s="255">
        <v>0</v>
      </c>
      <c r="F78" s="255">
        <v>0</v>
      </c>
      <c r="G78" s="255">
        <v>0</v>
      </c>
      <c r="H78" s="255">
        <v>0</v>
      </c>
      <c r="I78" s="255">
        <v>0</v>
      </c>
      <c r="J78" s="503">
        <v>7571</v>
      </c>
      <c r="K78" s="503">
        <v>0</v>
      </c>
      <c r="L78" s="503">
        <v>0</v>
      </c>
    </row>
    <row r="79" spans="2:12" ht="15.75">
      <c r="B79" s="236" t="s">
        <v>174</v>
      </c>
      <c r="C79" s="256">
        <f>SUM(C73:C78)</f>
        <v>241871</v>
      </c>
      <c r="D79" s="256">
        <f>SUM(D73:D78)</f>
        <v>275154</v>
      </c>
      <c r="E79" s="256">
        <f>SUM(E73:E78)</f>
        <v>304972</v>
      </c>
      <c r="F79" s="256">
        <f>SUM(F73:F78)</f>
        <v>377563</v>
      </c>
      <c r="G79" s="256">
        <f>SUM(G73:G78)</f>
        <v>593008</v>
      </c>
      <c r="H79" s="256">
        <f t="shared" ref="H79:L79" si="10">SUM(H73:H78)</f>
        <v>405376</v>
      </c>
      <c r="I79" s="256">
        <f t="shared" si="10"/>
        <v>608893</v>
      </c>
      <c r="J79" s="487">
        <f t="shared" si="10"/>
        <v>636781</v>
      </c>
      <c r="K79" s="487">
        <f t="shared" si="10"/>
        <v>655865</v>
      </c>
      <c r="L79" s="487">
        <f t="shared" si="10"/>
        <v>1414788</v>
      </c>
    </row>
    <row r="80" spans="2:12" ht="4.5" customHeight="1">
      <c r="B80" s="235"/>
      <c r="C80" s="258"/>
      <c r="D80" s="258"/>
      <c r="E80" s="258"/>
      <c r="F80" s="258"/>
      <c r="G80" s="258"/>
      <c r="H80" s="258"/>
      <c r="I80" s="258"/>
      <c r="J80" s="498"/>
      <c r="K80" s="498"/>
      <c r="L80" s="498"/>
    </row>
    <row r="81" spans="2:12" ht="18.75">
      <c r="B81" s="261" t="s">
        <v>175</v>
      </c>
      <c r="C81" s="262">
        <f>SUM(C70,C79)+1+N("Rounding Error Correction")</f>
        <v>805754</v>
      </c>
      <c r="D81" s="262">
        <f>SUM(D70,D79)+2+N("Rounding Error Correction")</f>
        <v>1198620</v>
      </c>
      <c r="E81" s="262">
        <f>SUM(E70,E79)+0+N("Rounding Error Correction")</f>
        <v>1213589</v>
      </c>
      <c r="F81" s="262">
        <f>SUM(F70,F79)+2+N("Rounding Error Correction")</f>
        <v>1147547</v>
      </c>
      <c r="G81" s="262">
        <f>SUM(G70,G79)</f>
        <v>1171256</v>
      </c>
      <c r="H81" s="262">
        <f t="shared" ref="H81:L81" si="11">SUM(H70,H79)</f>
        <v>1180494</v>
      </c>
      <c r="I81" s="262">
        <f t="shared" si="11"/>
        <v>1541262</v>
      </c>
      <c r="J81" s="500">
        <f t="shared" si="11"/>
        <v>4222313</v>
      </c>
      <c r="K81" s="500">
        <f t="shared" si="11"/>
        <v>3731907</v>
      </c>
      <c r="L81" s="500">
        <f t="shared" si="11"/>
        <v>4229788</v>
      </c>
    </row>
    <row r="82" spans="2:12" ht="4.5" customHeight="1" thickBot="1">
      <c r="B82" s="235"/>
      <c r="C82" s="258"/>
      <c r="D82" s="258"/>
      <c r="E82" s="258"/>
      <c r="F82" s="258"/>
      <c r="G82" s="258"/>
      <c r="H82" s="258"/>
      <c r="I82" s="258"/>
      <c r="J82" s="498"/>
      <c r="K82" s="498"/>
      <c r="L82" s="498"/>
    </row>
    <row r="83" spans="2:12" ht="19.5" thickBot="1">
      <c r="B83" s="265" t="s">
        <v>176</v>
      </c>
      <c r="C83" s="266">
        <f t="shared" ref="C83" si="12">C48-C81</f>
        <v>3259035</v>
      </c>
      <c r="D83" s="266">
        <f t="shared" ref="D83:E83" si="13">D48-D81</f>
        <v>3088610</v>
      </c>
      <c r="E83" s="266">
        <f t="shared" si="13"/>
        <v>2972951</v>
      </c>
      <c r="F83" s="266">
        <f t="shared" ref="F83:L83" si="14">F48-F81</f>
        <v>2894273</v>
      </c>
      <c r="G83" s="266">
        <f>G48-G81</f>
        <v>2850652</v>
      </c>
      <c r="H83" s="266">
        <f t="shared" si="14"/>
        <v>2899163</v>
      </c>
      <c r="I83" s="266">
        <f t="shared" si="14"/>
        <v>3082052</v>
      </c>
      <c r="J83" s="504">
        <f t="shared" si="14"/>
        <v>2348084</v>
      </c>
      <c r="K83" s="504">
        <f t="shared" si="14"/>
        <v>2242322</v>
      </c>
      <c r="L83" s="504">
        <f t="shared" si="14"/>
        <v>-38936</v>
      </c>
    </row>
    <row r="84" spans="2:12" ht="21.75" thickBot="1">
      <c r="B84" s="267"/>
      <c r="C84" s="369" t="str">
        <f>C7</f>
        <v>Q2-'26</v>
      </c>
      <c r="D84" s="369" t="str">
        <f>D7</f>
        <v>Q1-'26</v>
      </c>
      <c r="E84" s="369" t="s">
        <v>12</v>
      </c>
      <c r="F84" s="369" t="str">
        <f>F7</f>
        <v>Q2-'25</v>
      </c>
      <c r="G84" s="251" t="s">
        <v>15</v>
      </c>
      <c r="H84" s="369" t="s">
        <v>177</v>
      </c>
      <c r="I84" s="287" t="s">
        <v>16</v>
      </c>
      <c r="J84" s="483" t="s">
        <v>17</v>
      </c>
      <c r="K84" s="483" t="s">
        <v>18</v>
      </c>
      <c r="L84" s="483" t="s">
        <v>19</v>
      </c>
    </row>
  </sheetData>
  <mergeCells count="27">
    <mergeCell ref="H18:H19"/>
    <mergeCell ref="H31:H32"/>
    <mergeCell ref="F58:F59"/>
    <mergeCell ref="H58:H59"/>
    <mergeCell ref="D31:D32"/>
    <mergeCell ref="D58:D59"/>
    <mergeCell ref="D18:D19"/>
    <mergeCell ref="F18:F19"/>
    <mergeCell ref="F31:F32"/>
    <mergeCell ref="D29:D30"/>
    <mergeCell ref="H29:H30"/>
    <mergeCell ref="F29:F30"/>
    <mergeCell ref="C2:I2"/>
    <mergeCell ref="C3:I3"/>
    <mergeCell ref="C4:I4"/>
    <mergeCell ref="D9:D10"/>
    <mergeCell ref="D13:D14"/>
    <mergeCell ref="H9:H10"/>
    <mergeCell ref="H13:H14"/>
    <mergeCell ref="F9:F10"/>
    <mergeCell ref="F13:F14"/>
    <mergeCell ref="C29:C30"/>
    <mergeCell ref="C31:C32"/>
    <mergeCell ref="C58:C59"/>
    <mergeCell ref="C9:C10"/>
    <mergeCell ref="C18:C19"/>
    <mergeCell ref="C13:C14"/>
  </mergeCells>
  <phoneticPr fontId="129" type="noConversion"/>
  <pageMargins left="0.7" right="0.7" top="0.75" bottom="0.75" header="0.3" footer="0.3"/>
  <pageSetup scale="65" orientation="portrait" r:id="rId1"/>
  <ignoredErrors>
    <ignoredError sqref="E81" formula="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A1BA4-63E1-4F92-B61D-853E21D8BE07}">
  <sheetPr codeName="Sheet5">
    <tabColor rgb="FFFF0000"/>
  </sheetPr>
  <dimension ref="B1:Q38"/>
  <sheetViews>
    <sheetView topLeftCell="A4" zoomScaleNormal="100" workbookViewId="0">
      <selection activeCell="B2" sqref="B2"/>
    </sheetView>
  </sheetViews>
  <sheetFormatPr defaultRowHeight="12.75"/>
  <cols>
    <col min="1" max="1" width="0.85546875" customWidth="1"/>
    <col min="2" max="2" width="39.7109375" customWidth="1"/>
    <col min="3" max="3" width="14.5703125" hidden="1" customWidth="1"/>
    <col min="4" max="4" width="14.28515625" bestFit="1" customWidth="1"/>
    <col min="5" max="6" width="14.28515625" customWidth="1"/>
    <col min="7" max="7" width="12.28515625" customWidth="1"/>
    <col min="8" max="8" width="14.28515625" customWidth="1"/>
    <col min="9" max="9" width="13.28515625" hidden="1" customWidth="1"/>
    <col min="10" max="11" width="12.5703125" customWidth="1"/>
    <col min="12" max="14" width="12.5703125" hidden="1" customWidth="1"/>
  </cols>
  <sheetData>
    <row r="1" spans="2:14" ht="4.5" customHeight="1">
      <c r="B1" s="556"/>
      <c r="C1" s="556"/>
      <c r="D1" s="556"/>
      <c r="E1" s="556"/>
      <c r="F1" s="556"/>
      <c r="G1" s="556"/>
      <c r="H1" s="556"/>
      <c r="I1" s="556"/>
      <c r="J1" s="556"/>
      <c r="K1" s="556"/>
      <c r="L1" s="556"/>
      <c r="M1" s="556"/>
      <c r="N1" s="556"/>
    </row>
    <row r="2" spans="2:14" ht="15.75">
      <c r="B2" s="230" t="s">
        <v>0</v>
      </c>
      <c r="C2" s="559" t="s">
        <v>1</v>
      </c>
      <c r="D2" s="559"/>
      <c r="E2" s="559"/>
      <c r="F2" s="559"/>
      <c r="G2" s="559"/>
      <c r="H2" s="559"/>
      <c r="I2" s="559"/>
      <c r="J2" s="559"/>
      <c r="K2" s="559"/>
      <c r="L2" s="559"/>
      <c r="M2" s="559"/>
      <c r="N2" s="559"/>
    </row>
    <row r="3" spans="2:14" ht="15.75">
      <c r="B3" s="230" t="s">
        <v>2</v>
      </c>
      <c r="C3" s="559" t="s">
        <v>3</v>
      </c>
      <c r="D3" s="559"/>
      <c r="E3" s="559"/>
      <c r="F3" s="559"/>
      <c r="G3" s="559"/>
      <c r="H3" s="559"/>
      <c r="I3" s="559"/>
      <c r="J3" s="559"/>
      <c r="K3" s="559"/>
      <c r="L3" s="559"/>
      <c r="M3" s="559"/>
      <c r="N3" s="559"/>
    </row>
    <row r="4" spans="2:14" ht="15.75">
      <c r="B4" s="556"/>
      <c r="C4" s="559" t="s">
        <v>4</v>
      </c>
      <c r="D4" s="559"/>
      <c r="E4" s="559"/>
      <c r="F4" s="559"/>
      <c r="G4" s="559"/>
      <c r="H4" s="559"/>
      <c r="I4" s="559"/>
      <c r="J4" s="559"/>
      <c r="K4" s="559"/>
      <c r="L4" s="559"/>
      <c r="M4" s="559"/>
      <c r="N4" s="559"/>
    </row>
    <row r="5" spans="2:14" ht="4.5" customHeight="1" thickBot="1">
      <c r="B5" s="285"/>
      <c r="C5" s="285"/>
      <c r="D5" s="285"/>
      <c r="E5" s="285"/>
      <c r="F5" s="285"/>
      <c r="G5" s="285"/>
      <c r="H5" s="285"/>
      <c r="I5" s="285"/>
      <c r="J5" s="285"/>
      <c r="K5" s="556"/>
      <c r="L5" s="556"/>
      <c r="M5" s="556"/>
      <c r="N5" s="556"/>
    </row>
    <row r="6" spans="2:14" ht="15.75" thickBot="1">
      <c r="B6" s="285"/>
      <c r="C6" s="471" t="s">
        <v>178</v>
      </c>
      <c r="D6" s="213" t="s">
        <v>5</v>
      </c>
      <c r="E6" s="213" t="s">
        <v>5</v>
      </c>
      <c r="F6" s="213" t="s">
        <v>5</v>
      </c>
      <c r="G6" s="213" t="s">
        <v>7</v>
      </c>
      <c r="H6" s="213" t="s">
        <v>5</v>
      </c>
      <c r="I6" s="213" t="s">
        <v>5</v>
      </c>
      <c r="J6" s="213" t="s">
        <v>7</v>
      </c>
      <c r="K6" s="213" t="s">
        <v>7</v>
      </c>
      <c r="L6" s="482" t="s">
        <v>7</v>
      </c>
      <c r="M6" s="482" t="s">
        <v>7</v>
      </c>
      <c r="N6" s="482" t="s">
        <v>7</v>
      </c>
    </row>
    <row r="7" spans="2:14" ht="21.75" thickBot="1">
      <c r="B7" s="286" t="s">
        <v>179</v>
      </c>
      <c r="C7" s="472" t="s">
        <v>180</v>
      </c>
      <c r="D7" s="369" t="s">
        <v>9</v>
      </c>
      <c r="E7" s="369" t="s">
        <v>10</v>
      </c>
      <c r="F7" s="369" t="s">
        <v>11</v>
      </c>
      <c r="G7" s="287" t="s">
        <v>12</v>
      </c>
      <c r="H7" s="369" t="s">
        <v>13</v>
      </c>
      <c r="I7" s="369" t="s">
        <v>181</v>
      </c>
      <c r="J7" s="287" t="s">
        <v>15</v>
      </c>
      <c r="K7" s="287" t="s">
        <v>16</v>
      </c>
      <c r="L7" s="483" t="s">
        <v>17</v>
      </c>
      <c r="M7" s="483" t="s">
        <v>18</v>
      </c>
      <c r="N7" s="483" t="s">
        <v>19</v>
      </c>
    </row>
    <row r="8" spans="2:14" ht="15.75">
      <c r="B8" s="288" t="s">
        <v>182</v>
      </c>
      <c r="C8" s="473">
        <f>D8*2</f>
        <v>9551380</v>
      </c>
      <c r="D8" s="289">
        <f>'1-T5Y IS'!C12</f>
        <v>4775690</v>
      </c>
      <c r="E8" s="289">
        <f>D8-F8</f>
        <v>2366008</v>
      </c>
      <c r="F8" s="289">
        <f>'1-T5Y IS'!G12</f>
        <v>2409682</v>
      </c>
      <c r="G8" s="289">
        <f>'1-T5Y IS'!I12</f>
        <v>9006049</v>
      </c>
      <c r="H8" s="289">
        <f>'1-T5Y IS'!J12</f>
        <v>4478641</v>
      </c>
      <c r="I8" s="289">
        <f>'1-T5Y IS'!K12</f>
        <v>4537159</v>
      </c>
      <c r="J8" s="289">
        <f>'1-T5Y IS'!L12</f>
        <v>9351166</v>
      </c>
      <c r="K8" s="289">
        <f>'1-T5Y IS'!M12</f>
        <v>11127105</v>
      </c>
      <c r="L8" s="484">
        <f>'1-T5Y IS'!N12</f>
        <v>11681336</v>
      </c>
      <c r="M8" s="484">
        <f>'1-T5Y IS'!O12</f>
        <v>10246051</v>
      </c>
      <c r="N8" s="484">
        <f>'1-T5Y IS'!P12</f>
        <v>9810201</v>
      </c>
    </row>
    <row r="9" spans="2:14" ht="15.75">
      <c r="B9" s="298" t="s">
        <v>183</v>
      </c>
      <c r="C9" s="474">
        <f>D9*2</f>
        <v>2071770</v>
      </c>
      <c r="D9" s="290">
        <f>'1-T5Y IS'!C68</f>
        <v>1035885</v>
      </c>
      <c r="E9" s="290">
        <f>D9-F9</f>
        <v>377548.80000000005</v>
      </c>
      <c r="F9" s="290">
        <f>'1-T5Y IS'!G68</f>
        <v>658336.19999999995</v>
      </c>
      <c r="G9" s="290">
        <f>'1-T5Y IS'!I68</f>
        <v>1693360</v>
      </c>
      <c r="H9" s="290">
        <f>'1-T5Y IS'!J68</f>
        <v>861558</v>
      </c>
      <c r="I9" s="290">
        <f>'1-T5Y IS'!K68</f>
        <v>699544.60000000009</v>
      </c>
      <c r="J9" s="290">
        <f>'1-T5Y IS'!L68</f>
        <v>1369004.4000000004</v>
      </c>
      <c r="K9" s="290">
        <f>'1-T5Y IS'!M68</f>
        <v>1716019.4000000004</v>
      </c>
      <c r="L9" s="484">
        <f>'1-T5Y IS'!N68</f>
        <v>1934944</v>
      </c>
      <c r="M9" s="484">
        <f>'1-T5Y IS'!O68</f>
        <v>1429017.1999999993</v>
      </c>
      <c r="N9" s="484">
        <f>'1-T5Y IS'!P68</f>
        <v>1013411.8000000007</v>
      </c>
    </row>
    <row r="10" spans="2:14" ht="15.75">
      <c r="B10" s="298" t="s">
        <v>184</v>
      </c>
      <c r="C10" s="475">
        <f>C9/C8</f>
        <v>0.21690792325297495</v>
      </c>
      <c r="D10" s="291">
        <f>'1-T5Y IS'!C69</f>
        <v>0.21690792325297495</v>
      </c>
      <c r="E10" s="291">
        <f>E9/E8</f>
        <v>0.15957207245284041</v>
      </c>
      <c r="F10" s="291">
        <f>'1-T5Y IS'!G69</f>
        <v>0.27320459712111389</v>
      </c>
      <c r="G10" s="291">
        <f>'1-T5Y IS'!I69</f>
        <v>0.1880247375958092</v>
      </c>
      <c r="H10" s="291">
        <f>'1-T5Y IS'!J69</f>
        <v>0.19237040879141687</v>
      </c>
      <c r="I10" s="291">
        <f>'1-T5Y IS'!K69</f>
        <v>0.1541811957658967</v>
      </c>
      <c r="J10" s="291">
        <f>'1-T5Y IS'!L69</f>
        <v>0.14639932603057207</v>
      </c>
      <c r="K10" s="291">
        <f>'1-T5Y IS'!M69</f>
        <v>0.15421975437456556</v>
      </c>
      <c r="L10" s="485">
        <f>'1-T5Y IS'!N69</f>
        <v>0.16564406674031121</v>
      </c>
      <c r="M10" s="485">
        <f>'1-T5Y IS'!O69</f>
        <v>0.13947004558146345</v>
      </c>
      <c r="N10" s="485">
        <f>'1-T5Y IS'!P69</f>
        <v>0.103301838565795</v>
      </c>
    </row>
    <row r="11" spans="2:14" ht="15.75">
      <c r="B11" s="298" t="s">
        <v>185</v>
      </c>
      <c r="C11" s="476">
        <f t="shared" ref="C11" si="0">D11*2</f>
        <v>935656</v>
      </c>
      <c r="D11" s="362">
        <f>'2-T5Y IS (Cont.)'!C70</f>
        <v>467828</v>
      </c>
      <c r="E11" s="362">
        <f>D11-F11</f>
        <v>192988.00000000006</v>
      </c>
      <c r="F11" s="362">
        <f>'2-T5Y IS (Cont.)'!G70</f>
        <v>274839.99999999994</v>
      </c>
      <c r="G11" s="362">
        <f>'2-T5Y IS (Cont.)'!I70</f>
        <v>122299</v>
      </c>
      <c r="H11" s="362">
        <f>'2-T5Y IS (Cont.)'!J70</f>
        <v>138098</v>
      </c>
      <c r="I11" s="300">
        <f>'2-T5Y IS (Cont.)'!K70</f>
        <v>-62637.999999999884</v>
      </c>
      <c r="J11" s="300">
        <f>'2-T5Y IS (Cont.)'!L70</f>
        <v>-149386.99999999953</v>
      </c>
      <c r="K11" s="290">
        <f>'2-T5Y IS (Cont.)'!M70</f>
        <v>99772.000000000466</v>
      </c>
      <c r="L11" s="484">
        <f>'2-T5Y IS (Cont.)'!N70</f>
        <v>1214423</v>
      </c>
      <c r="M11" s="484">
        <f>'2-T5Y IS (Cont.)'!O70</f>
        <v>2288207.9999999991</v>
      </c>
      <c r="N11" s="484">
        <f>'2-T5Y IS (Cont.)'!P70</f>
        <v>84468.000000000698</v>
      </c>
    </row>
    <row r="12" spans="2:14" ht="4.5" customHeight="1">
      <c r="B12" s="292"/>
      <c r="C12" s="292"/>
      <c r="D12" s="292"/>
      <c r="E12" s="292"/>
      <c r="F12" s="292"/>
      <c r="G12" s="292"/>
      <c r="H12" s="292"/>
      <c r="I12" s="292"/>
      <c r="J12" s="292"/>
      <c r="K12" s="489"/>
      <c r="L12" s="486"/>
      <c r="M12" s="486"/>
      <c r="N12" s="486"/>
    </row>
    <row r="13" spans="2:14" ht="15.75">
      <c r="B13" s="235" t="s">
        <v>186</v>
      </c>
      <c r="C13" s="477">
        <f>D13*2</f>
        <v>3570</v>
      </c>
      <c r="D13" s="293">
        <f>-'2-T5Y IS (Cont.)'!C61</f>
        <v>1785</v>
      </c>
      <c r="E13" s="293">
        <f>D13-F13</f>
        <v>-5287</v>
      </c>
      <c r="F13" s="293">
        <f>-'2-T5Y IS (Cont.)'!G61</f>
        <v>7072</v>
      </c>
      <c r="G13" s="293">
        <f>-'2-T5Y IS (Cont.)'!I61</f>
        <v>15331</v>
      </c>
      <c r="H13" s="293">
        <f>-'2-T5Y IS (Cont.)'!J61</f>
        <v>9887</v>
      </c>
      <c r="I13" s="293">
        <f>-'2-T5Y IS (Cont.)'!K61</f>
        <v>9669</v>
      </c>
      <c r="J13" s="293">
        <f>-'2-T5Y IS (Cont.)'!L61</f>
        <v>19142</v>
      </c>
      <c r="K13" s="490">
        <f>-'2-T5Y IS (Cont.)'!M61</f>
        <v>22060</v>
      </c>
      <c r="L13" s="487">
        <f>-'2-T5Y IS (Cont.)'!N61</f>
        <v>121245</v>
      </c>
      <c r="M13" s="487">
        <f>-'2-T5Y IS (Cont.)'!O61</f>
        <v>88472</v>
      </c>
      <c r="N13" s="487">
        <f>-'2-T5Y IS (Cont.)'!P61</f>
        <v>137472</v>
      </c>
    </row>
    <row r="14" spans="2:14" ht="15.75" hidden="1">
      <c r="B14" s="469" t="s">
        <v>187</v>
      </c>
      <c r="C14" s="478"/>
      <c r="D14" s="358"/>
      <c r="E14" s="358">
        <f t="shared" ref="E14:E26" si="1">D14-F14</f>
        <v>0</v>
      </c>
      <c r="F14" s="358"/>
      <c r="G14" s="358"/>
      <c r="H14" s="358"/>
      <c r="I14" s="358"/>
      <c r="J14" s="301">
        <v>0</v>
      </c>
      <c r="K14" s="491">
        <v>0</v>
      </c>
      <c r="L14" s="487">
        <v>1</v>
      </c>
      <c r="M14" s="487">
        <v>2</v>
      </c>
      <c r="N14" s="487">
        <v>3</v>
      </c>
    </row>
    <row r="15" spans="2:14" ht="15.75">
      <c r="B15" s="235" t="s">
        <v>188</v>
      </c>
      <c r="C15" s="477">
        <f>D15*2</f>
        <v>213176</v>
      </c>
      <c r="D15" s="293">
        <f>'2-T5Y IS (Cont.)'!C33+'1-T5Y IS'!C54</f>
        <v>106588</v>
      </c>
      <c r="E15" s="293">
        <f t="shared" si="1"/>
        <v>53295</v>
      </c>
      <c r="F15" s="293">
        <f>'2-T5Y IS (Cont.)'!G33+'1-T5Y IS'!G54</f>
        <v>53293</v>
      </c>
      <c r="G15" s="293">
        <f>'2-T5Y IS (Cont.)'!I33+'1-T5Y IS'!I54+'2-T5Y IS (Cont.)'!I34</f>
        <v>235573</v>
      </c>
      <c r="H15" s="293">
        <f>'2-T5Y IS (Cont.)'!J33+'1-T5Y IS'!J54+'2-T5Y IS (Cont.)'!J34</f>
        <v>116113</v>
      </c>
      <c r="I15" s="293">
        <f>'2-T5Y IS (Cont.)'!K33+'1-T5Y IS'!K54+'2-T5Y IS (Cont.)'!K34</f>
        <v>115715</v>
      </c>
      <c r="J15" s="293">
        <f>'2-T5Y IS (Cont.)'!L33+'1-T5Y IS'!L54+'2-T5Y IS (Cont.)'!L34</f>
        <v>243966</v>
      </c>
      <c r="K15" s="490">
        <f>'2-T5Y IS (Cont.)'!M33+'1-T5Y IS'!M54+'2-T5Y IS (Cont.)'!M34</f>
        <v>254968</v>
      </c>
      <c r="L15" s="487">
        <f>'2-T5Y IS (Cont.)'!N33</f>
        <v>59433</v>
      </c>
      <c r="M15" s="487">
        <f>'2-T5Y IS (Cont.)'!O33</f>
        <v>59486</v>
      </c>
      <c r="N15" s="487">
        <f>'2-T5Y IS (Cont.)'!P33</f>
        <v>59449</v>
      </c>
    </row>
    <row r="16" spans="2:14" ht="15.75">
      <c r="B16" s="469" t="s">
        <v>189</v>
      </c>
      <c r="C16" s="301">
        <v>0</v>
      </c>
      <c r="D16" s="301">
        <v>0</v>
      </c>
      <c r="E16" s="301">
        <f t="shared" si="1"/>
        <v>0</v>
      </c>
      <c r="F16" s="301">
        <v>0</v>
      </c>
      <c r="G16" s="301">
        <v>0</v>
      </c>
      <c r="H16" s="301">
        <v>0</v>
      </c>
      <c r="I16" s="301">
        <v>0</v>
      </c>
      <c r="J16" s="301">
        <v>0</v>
      </c>
      <c r="K16" s="491">
        <v>0</v>
      </c>
      <c r="L16" s="487">
        <v>0</v>
      </c>
      <c r="M16" s="487">
        <v>0</v>
      </c>
      <c r="N16" s="487">
        <v>0</v>
      </c>
    </row>
    <row r="17" spans="2:17" ht="15.75">
      <c r="B17" s="469" t="s">
        <v>190</v>
      </c>
      <c r="C17" s="301">
        <v>0</v>
      </c>
      <c r="D17" s="301">
        <v>0</v>
      </c>
      <c r="E17" s="301">
        <f t="shared" si="1"/>
        <v>0</v>
      </c>
      <c r="F17" s="301">
        <v>0</v>
      </c>
      <c r="G17" s="301">
        <v>0</v>
      </c>
      <c r="H17" s="301">
        <v>0</v>
      </c>
      <c r="I17" s="301">
        <v>0</v>
      </c>
      <c r="J17" s="301">
        <v>0</v>
      </c>
      <c r="K17" s="491">
        <v>0</v>
      </c>
      <c r="L17" s="487">
        <v>0</v>
      </c>
      <c r="M17" s="487">
        <v>0</v>
      </c>
      <c r="N17" s="487">
        <v>0</v>
      </c>
      <c r="O17" s="556"/>
      <c r="P17" s="556"/>
      <c r="Q17" s="556"/>
    </row>
    <row r="18" spans="2:17" ht="15.75">
      <c r="B18" s="469" t="s">
        <v>191</v>
      </c>
      <c r="C18" s="301">
        <f>D18*2</f>
        <v>35768</v>
      </c>
      <c r="D18" s="301">
        <f>'2024&amp;2023'!C119</f>
        <v>17884</v>
      </c>
      <c r="E18" s="301">
        <f t="shared" si="1"/>
        <v>8866</v>
      </c>
      <c r="F18" s="301">
        <f>'2024&amp;2023'!D119</f>
        <v>9018</v>
      </c>
      <c r="G18" s="301">
        <f>'2024&amp;2023'!E119</f>
        <v>0</v>
      </c>
      <c r="H18" s="301">
        <f>'2024&amp;2023'!F119</f>
        <v>13390</v>
      </c>
      <c r="I18" s="301">
        <f>'2024&amp;2023'!G119</f>
        <v>15941</v>
      </c>
      <c r="J18" s="301">
        <v>0</v>
      </c>
      <c r="K18" s="491">
        <v>0</v>
      </c>
      <c r="L18" s="487">
        <v>0</v>
      </c>
      <c r="M18" s="487">
        <v>0</v>
      </c>
      <c r="N18" s="487">
        <v>0</v>
      </c>
      <c r="O18" s="556"/>
      <c r="P18" s="556"/>
      <c r="Q18" s="556"/>
    </row>
    <row r="19" spans="2:17" ht="15.75">
      <c r="B19" s="235" t="s">
        <v>192</v>
      </c>
      <c r="C19" s="477">
        <v>0</v>
      </c>
      <c r="D19" s="293">
        <f>-'2-T5Y IS (Cont.)'!C63</f>
        <v>0</v>
      </c>
      <c r="E19" s="293">
        <f t="shared" si="1"/>
        <v>0</v>
      </c>
      <c r="F19" s="293">
        <f>-'2-T5Y IS (Cont.)'!G63</f>
        <v>0</v>
      </c>
      <c r="G19" s="293">
        <f>-'2-T5Y IS (Cont.)'!I63</f>
        <v>0</v>
      </c>
      <c r="H19" s="293">
        <f>-'2-T5Y IS (Cont.)'!J63</f>
        <v>-576</v>
      </c>
      <c r="I19" s="293">
        <f>-'2-T5Y IS (Cont.)'!K63</f>
        <v>0</v>
      </c>
      <c r="J19" s="293">
        <v>45648</v>
      </c>
      <c r="K19" s="490">
        <v>0</v>
      </c>
      <c r="L19" s="487">
        <v>0</v>
      </c>
      <c r="M19" s="487">
        <v>0</v>
      </c>
      <c r="N19" s="487">
        <v>0</v>
      </c>
      <c r="O19" s="556"/>
      <c r="P19" s="556"/>
      <c r="Q19" s="556"/>
    </row>
    <row r="20" spans="2:17" ht="15.75">
      <c r="B20" s="235" t="s">
        <v>193</v>
      </c>
      <c r="C20" s="477">
        <v>0</v>
      </c>
      <c r="D20" s="293">
        <f>-'2-T5Y IS (Cont.)'!C62</f>
        <v>0</v>
      </c>
      <c r="E20" s="293">
        <f t="shared" si="1"/>
        <v>0</v>
      </c>
      <c r="F20" s="293">
        <f>-'2-T5Y IS (Cont.)'!G62</f>
        <v>0</v>
      </c>
      <c r="G20" s="293">
        <f>-'2-T5Y IS (Cont.)'!I62</f>
        <v>0</v>
      </c>
      <c r="H20" s="293">
        <f>-'2-T5Y IS (Cont.)'!J62</f>
        <v>0</v>
      </c>
      <c r="I20" s="293">
        <f>-'2-T5Y IS (Cont.)'!K62</f>
        <v>-2666</v>
      </c>
      <c r="J20" s="293">
        <f>-'2-T5Y IS (Cont.)'!L62</f>
        <v>-2667</v>
      </c>
      <c r="K20" s="490">
        <f>-'2-T5Y IS (Cont.)'!M62</f>
        <v>0</v>
      </c>
      <c r="L20" s="487">
        <f>-'2-T5Y IS (Cont.)'!N62</f>
        <v>0</v>
      </c>
      <c r="M20" s="487">
        <f>-'2-T5Y IS (Cont.)'!O62</f>
        <v>-1500</v>
      </c>
      <c r="N20" s="487">
        <f>-'2-T5Y IS (Cont.)'!P62</f>
        <v>0</v>
      </c>
      <c r="O20" s="556"/>
      <c r="P20" s="556"/>
      <c r="Q20" s="556"/>
    </row>
    <row r="21" spans="2:17" ht="15.75" hidden="1">
      <c r="B21" s="235" t="s">
        <v>194</v>
      </c>
      <c r="C21" s="477"/>
      <c r="D21" s="293">
        <f>-'2-T5Y IS (Cont.)'!C65</f>
        <v>0</v>
      </c>
      <c r="E21" s="293">
        <f t="shared" si="1"/>
        <v>0</v>
      </c>
      <c r="F21" s="293">
        <f>-'2-T5Y IS (Cont.)'!G65</f>
        <v>0</v>
      </c>
      <c r="G21" s="293">
        <f>-'2-T5Y IS (Cont.)'!I65</f>
        <v>0</v>
      </c>
      <c r="H21" s="293">
        <f>-'2-T5Y IS (Cont.)'!J65</f>
        <v>0</v>
      </c>
      <c r="I21" s="293">
        <f>-'2-T5Y IS (Cont.)'!K65</f>
        <v>0</v>
      </c>
      <c r="J21" s="293">
        <f>-'2-T5Y IS (Cont.)'!L65</f>
        <v>0</v>
      </c>
      <c r="K21" s="490">
        <f>-'2-T5Y IS (Cont.)'!M65</f>
        <v>0</v>
      </c>
      <c r="L21" s="487">
        <f>-'2-T5Y IS (Cont.)'!N65</f>
        <v>0</v>
      </c>
      <c r="M21" s="487">
        <f>-'2-T5Y IS (Cont.)'!O65</f>
        <v>-1352277</v>
      </c>
      <c r="N21" s="487">
        <f>-'2-T5Y IS (Cont.)'!P65</f>
        <v>0</v>
      </c>
      <c r="O21" s="556"/>
      <c r="P21" s="556"/>
      <c r="Q21" s="556"/>
    </row>
    <row r="22" spans="2:17" ht="15.75" hidden="1">
      <c r="B22" s="235" t="s">
        <v>195</v>
      </c>
      <c r="C22" s="477"/>
      <c r="D22" s="293">
        <f>-'2-T5Y IS (Cont.)'!C67</f>
        <v>0</v>
      </c>
      <c r="E22" s="293">
        <f t="shared" si="1"/>
        <v>0</v>
      </c>
      <c r="F22" s="293">
        <f>-'2-T5Y IS (Cont.)'!G67</f>
        <v>0</v>
      </c>
      <c r="G22" s="293">
        <f>-'2-T5Y IS (Cont.)'!I67</f>
        <v>0</v>
      </c>
      <c r="H22" s="293">
        <f>-'2-T5Y IS (Cont.)'!J67</f>
        <v>0</v>
      </c>
      <c r="I22" s="293">
        <f>-'2-T5Y IS (Cont.)'!K67</f>
        <v>0</v>
      </c>
      <c r="J22" s="293">
        <f>-'2-T5Y IS (Cont.)'!L67</f>
        <v>0</v>
      </c>
      <c r="K22" s="490">
        <f>-'2-T5Y IS (Cont.)'!M67</f>
        <v>0</v>
      </c>
      <c r="L22" s="487">
        <f>-'2-T5Y IS (Cont.)'!N67</f>
        <v>-688137</v>
      </c>
      <c r="M22" s="487">
        <f>-'2-T5Y IS (Cont.)'!O67</f>
        <v>-862310</v>
      </c>
      <c r="N22" s="487">
        <f>-'2-T5Y IS (Cont.)'!P67</f>
        <v>0</v>
      </c>
      <c r="O22" s="556"/>
      <c r="P22" s="556"/>
      <c r="Q22" s="556"/>
    </row>
    <row r="23" spans="2:17" ht="15.75" hidden="1">
      <c r="B23" s="235" t="s">
        <v>196</v>
      </c>
      <c r="C23" s="477"/>
      <c r="D23" s="293">
        <f>-'2-T5Y IS (Cont.)'!C60</f>
        <v>0</v>
      </c>
      <c r="E23" s="293">
        <f t="shared" si="1"/>
        <v>0</v>
      </c>
      <c r="F23" s="293">
        <f>-'2-T5Y IS (Cont.)'!G60</f>
        <v>0</v>
      </c>
      <c r="G23" s="293">
        <f>-'2-T5Y IS (Cont.)'!I60</f>
        <v>0</v>
      </c>
      <c r="H23" s="293">
        <f>-'2-T5Y IS (Cont.)'!J60</f>
        <v>0</v>
      </c>
      <c r="I23" s="293">
        <f>-'2-T5Y IS (Cont.)'!K60</f>
        <v>0</v>
      </c>
      <c r="J23" s="293">
        <f>-'2-T5Y IS (Cont.)'!L60</f>
        <v>0</v>
      </c>
      <c r="K23" s="490">
        <f>-'2-T5Y IS (Cont.)'!M60</f>
        <v>0</v>
      </c>
      <c r="L23" s="487">
        <f>-'2-T5Y IS (Cont.)'!N60</f>
        <v>-108616</v>
      </c>
      <c r="M23" s="487">
        <f>-'2-T5Y IS (Cont.)'!O60</f>
        <v>-100887</v>
      </c>
      <c r="N23" s="487">
        <f>-'2-T5Y IS (Cont.)'!P60</f>
        <v>-49024</v>
      </c>
      <c r="O23" s="556"/>
      <c r="P23" s="556"/>
      <c r="Q23" s="556"/>
    </row>
    <row r="24" spans="2:17" ht="15.75" hidden="1">
      <c r="B24" s="235" t="s">
        <v>197</v>
      </c>
      <c r="C24" s="477"/>
      <c r="D24" s="293">
        <f>-'2-T5Y IS (Cont.)'!C59</f>
        <v>0</v>
      </c>
      <c r="E24" s="293">
        <f t="shared" si="1"/>
        <v>0</v>
      </c>
      <c r="F24" s="293">
        <f>-'2-T5Y IS (Cont.)'!G59</f>
        <v>0</v>
      </c>
      <c r="G24" s="293">
        <f>-'2-T5Y IS (Cont.)'!I59</f>
        <v>0</v>
      </c>
      <c r="H24" s="293">
        <f>-'2-T5Y IS (Cont.)'!J59</f>
        <v>0</v>
      </c>
      <c r="I24" s="293">
        <f>-'2-T5Y IS (Cont.)'!K59</f>
        <v>0</v>
      </c>
      <c r="J24" s="293">
        <f>-'2-T5Y IS (Cont.)'!L59</f>
        <v>0</v>
      </c>
      <c r="K24" s="490">
        <f>-'2-T5Y IS (Cont.)'!M59</f>
        <v>0</v>
      </c>
      <c r="L24" s="487">
        <f>-'2-T5Y IS (Cont.)'!N59</f>
        <v>-388325</v>
      </c>
      <c r="M24" s="487">
        <f>-'2-T5Y IS (Cont.)'!O59</f>
        <v>-279481</v>
      </c>
      <c r="N24" s="487">
        <f>-'2-T5Y IS (Cont.)'!P59</f>
        <v>-591937</v>
      </c>
      <c r="O24" s="556"/>
      <c r="P24" s="556"/>
      <c r="Q24" s="556"/>
    </row>
    <row r="25" spans="2:17" ht="15.75">
      <c r="B25" s="235" t="s">
        <v>198</v>
      </c>
      <c r="C25" s="477">
        <f>D25</f>
        <v>-133786</v>
      </c>
      <c r="D25" s="293">
        <f>-'2-T5Y IS (Cont.)'!C66</f>
        <v>-133786</v>
      </c>
      <c r="E25" s="293">
        <f t="shared" si="1"/>
        <v>-133786</v>
      </c>
      <c r="F25" s="293">
        <f>-'2-T5Y IS (Cont.)'!G66</f>
        <v>0</v>
      </c>
      <c r="G25" s="293">
        <f>-'2-T5Y IS (Cont.)'!I66</f>
        <v>0</v>
      </c>
      <c r="H25" s="293">
        <f>-'2-T5Y IS (Cont.)'!J66</f>
        <v>0</v>
      </c>
      <c r="I25" s="293">
        <f>-'2-T5Y IS (Cont.)'!K66</f>
        <v>0</v>
      </c>
      <c r="J25" s="293">
        <f>-'2-T5Y IS (Cont.)'!L66</f>
        <v>0</v>
      </c>
      <c r="K25" s="490">
        <f>-'2-T5Y IS (Cont.)'!M66</f>
        <v>0</v>
      </c>
      <c r="L25" s="487"/>
      <c r="M25" s="487"/>
      <c r="N25" s="487"/>
      <c r="O25" s="556"/>
      <c r="P25" s="556"/>
      <c r="Q25" s="556"/>
    </row>
    <row r="26" spans="2:17" ht="16.5" thickBot="1">
      <c r="B26" s="470" t="s">
        <v>199</v>
      </c>
      <c r="C26" s="301">
        <v>0</v>
      </c>
      <c r="D26" s="301"/>
      <c r="E26" s="301">
        <f t="shared" si="1"/>
        <v>0</v>
      </c>
      <c r="F26" s="301"/>
      <c r="G26" s="301"/>
      <c r="H26" s="301">
        <v>0</v>
      </c>
      <c r="I26" s="301">
        <v>0</v>
      </c>
      <c r="J26" s="301">
        <v>0</v>
      </c>
      <c r="K26" s="491">
        <v>0</v>
      </c>
      <c r="L26" s="487">
        <v>0</v>
      </c>
      <c r="M26" s="487">
        <v>0</v>
      </c>
      <c r="N26" s="487">
        <v>0</v>
      </c>
      <c r="O26" s="556"/>
      <c r="P26" s="556"/>
      <c r="Q26" s="556"/>
    </row>
    <row r="27" spans="2:17" ht="15.75">
      <c r="B27" s="294" t="s">
        <v>200</v>
      </c>
      <c r="C27" s="479">
        <f t="shared" ref="C27:D27" si="2">SUM(C11:C26)</f>
        <v>1054384</v>
      </c>
      <c r="D27" s="299">
        <f t="shared" si="2"/>
        <v>460299</v>
      </c>
      <c r="E27" s="299">
        <f t="shared" ref="E27" si="3">SUM(E11:E26)</f>
        <v>116076.00000000006</v>
      </c>
      <c r="F27" s="299">
        <f t="shared" ref="F27:G27" si="4">SUM(F11:F26)</f>
        <v>344222.99999999994</v>
      </c>
      <c r="G27" s="299">
        <f t="shared" si="4"/>
        <v>373203</v>
      </c>
      <c r="H27" s="299">
        <f t="shared" ref="H27:N27" si="5">SUM(H11:H26)</f>
        <v>276912</v>
      </c>
      <c r="I27" s="299">
        <f t="shared" si="5"/>
        <v>76021.000000000116</v>
      </c>
      <c r="J27" s="299">
        <f t="shared" si="5"/>
        <v>156702.00000000047</v>
      </c>
      <c r="K27" s="299">
        <f t="shared" si="5"/>
        <v>376800.00000000047</v>
      </c>
      <c r="L27" s="487">
        <f t="shared" si="5"/>
        <v>210024</v>
      </c>
      <c r="M27" s="487">
        <f t="shared" si="5"/>
        <v>-160287.00000000093</v>
      </c>
      <c r="N27" s="487">
        <f t="shared" si="5"/>
        <v>-359568.9999999993</v>
      </c>
      <c r="O27" s="556"/>
      <c r="P27" s="556"/>
      <c r="Q27" s="556"/>
    </row>
    <row r="28" spans="2:17" ht="21" customHeight="1" thickBot="1">
      <c r="B28" s="295" t="s">
        <v>201</v>
      </c>
      <c r="C28" s="480">
        <f t="shared" ref="C28:D28" si="6">IFERROR(C27/C8,"")</f>
        <v>0.11039074981835086</v>
      </c>
      <c r="D28" s="296">
        <f t="shared" si="6"/>
        <v>9.6383768628198224E-2</v>
      </c>
      <c r="E28" s="296">
        <f t="shared" ref="E28" si="7">IFERROR(E27/E8,"")</f>
        <v>4.9059851023327078E-2</v>
      </c>
      <c r="F28" s="296">
        <f t="shared" ref="F28:G28" si="8">IFERROR(F27/F8,"")</f>
        <v>0.14284996941505143</v>
      </c>
      <c r="G28" s="296">
        <f t="shared" si="8"/>
        <v>4.1439148288000653E-2</v>
      </c>
      <c r="H28" s="296">
        <f t="shared" ref="H28:N28" si="9">IFERROR(H27/H8,"")</f>
        <v>6.1829470145073027E-2</v>
      </c>
      <c r="I28" s="296">
        <f t="shared" si="9"/>
        <v>1.6755198572498808E-2</v>
      </c>
      <c r="J28" s="296">
        <f t="shared" si="9"/>
        <v>1.6757482435880239E-2</v>
      </c>
      <c r="K28" s="296">
        <f t="shared" si="9"/>
        <v>3.3863255536817571E-2</v>
      </c>
      <c r="L28" s="488">
        <f t="shared" si="9"/>
        <v>1.7979450295753843E-2</v>
      </c>
      <c r="M28" s="488">
        <f t="shared" si="9"/>
        <v>-1.5643783151186825E-2</v>
      </c>
      <c r="N28" s="488">
        <f t="shared" si="9"/>
        <v>-3.6652561960758938E-2</v>
      </c>
      <c r="O28" s="556"/>
      <c r="P28" s="556"/>
      <c r="Q28" s="556"/>
    </row>
    <row r="29" spans="2:17" ht="15">
      <c r="B29" s="566" t="s">
        <v>202</v>
      </c>
      <c r="C29" s="566"/>
      <c r="D29" s="566"/>
      <c r="E29" s="566"/>
      <c r="F29" s="566"/>
      <c r="G29" s="566"/>
      <c r="H29" s="566"/>
      <c r="I29" s="566"/>
      <c r="J29" s="566"/>
      <c r="K29" s="566"/>
      <c r="L29" s="567"/>
      <c r="M29" s="567"/>
      <c r="N29" s="567"/>
      <c r="O29" s="297"/>
      <c r="P29" s="297"/>
      <c r="Q29" s="297"/>
    </row>
    <row r="30" spans="2:17" ht="21">
      <c r="B30" s="567" t="s">
        <v>203</v>
      </c>
      <c r="C30" s="567"/>
      <c r="D30" s="567"/>
      <c r="E30" s="567"/>
      <c r="F30" s="567"/>
      <c r="G30" s="567"/>
      <c r="H30" s="567"/>
      <c r="I30" s="567"/>
      <c r="J30" s="567"/>
      <c r="K30" s="567"/>
      <c r="L30" s="567"/>
      <c r="M30" s="567"/>
      <c r="N30" s="567"/>
      <c r="O30" s="297"/>
      <c r="P30" s="297"/>
      <c r="Q30" s="297"/>
    </row>
    <row r="31" spans="2:17" ht="15">
      <c r="B31" s="567" t="s">
        <v>204</v>
      </c>
      <c r="C31" s="567"/>
      <c r="D31" s="567"/>
      <c r="E31" s="567"/>
      <c r="F31" s="567"/>
      <c r="G31" s="567"/>
      <c r="H31" s="567"/>
      <c r="I31" s="567"/>
      <c r="J31" s="567"/>
      <c r="K31" s="567"/>
      <c r="L31" s="567"/>
      <c r="M31" s="567"/>
      <c r="N31" s="567"/>
      <c r="O31" s="556"/>
      <c r="P31" s="556"/>
      <c r="Q31" s="556"/>
    </row>
    <row r="32" spans="2:17" ht="13.9" hidden="1" customHeight="1">
      <c r="B32" s="565" t="s">
        <v>205</v>
      </c>
      <c r="C32" s="565"/>
      <c r="D32" s="565"/>
      <c r="E32" s="565"/>
      <c r="F32" s="565"/>
      <c r="G32" s="565"/>
      <c r="H32" s="565"/>
      <c r="I32" s="565"/>
      <c r="J32" s="565"/>
      <c r="K32" s="565"/>
      <c r="L32" s="565"/>
      <c r="M32" s="565"/>
      <c r="N32" s="565"/>
      <c r="O32" s="556"/>
      <c r="P32" s="556"/>
      <c r="Q32" s="556"/>
    </row>
    <row r="33" spans="2:14" ht="13.35" customHeight="1">
      <c r="B33" s="304"/>
      <c r="C33" s="304"/>
      <c r="D33" s="304"/>
      <c r="E33" s="304"/>
      <c r="F33" s="304"/>
      <c r="G33" s="304"/>
      <c r="H33" s="304"/>
      <c r="I33" s="304"/>
      <c r="J33" s="304"/>
      <c r="K33" s="304"/>
      <c r="L33" s="304"/>
      <c r="M33" s="304"/>
      <c r="N33" s="304"/>
    </row>
    <row r="34" spans="2:14" ht="13.35" customHeight="1">
      <c r="B34" s="304"/>
      <c r="C34" s="304"/>
      <c r="D34" s="304"/>
      <c r="E34" s="304"/>
      <c r="F34" s="304"/>
      <c r="G34" s="304"/>
      <c r="H34" s="304"/>
      <c r="I34" s="304"/>
      <c r="J34" s="304"/>
      <c r="K34" s="304"/>
      <c r="L34" s="304"/>
      <c r="M34" s="304"/>
      <c r="N34" s="304"/>
    </row>
    <row r="36" spans="2:14">
      <c r="B36" s="556"/>
      <c r="C36" s="556"/>
      <c r="D36" s="556"/>
      <c r="E36" s="556"/>
      <c r="F36" s="353"/>
      <c r="G36" s="353"/>
      <c r="H36" s="556"/>
      <c r="I36" s="556"/>
      <c r="J36" s="353"/>
      <c r="K36" s="353"/>
      <c r="L36" s="556"/>
      <c r="M36" s="556"/>
      <c r="N36" s="556"/>
    </row>
    <row r="37" spans="2:14">
      <c r="B37" s="556"/>
      <c r="C37" s="556"/>
      <c r="D37" s="556"/>
      <c r="E37" s="556"/>
      <c r="F37" s="353"/>
      <c r="G37" s="353"/>
      <c r="H37" s="556"/>
      <c r="I37" s="556"/>
      <c r="J37" s="353"/>
      <c r="K37" s="353"/>
      <c r="L37" s="556"/>
      <c r="M37" s="556"/>
      <c r="N37" s="556"/>
    </row>
    <row r="38" spans="2:14">
      <c r="B38" s="556"/>
      <c r="C38" s="556"/>
      <c r="D38" s="556"/>
      <c r="E38" s="556"/>
      <c r="F38" s="556"/>
      <c r="G38" s="353"/>
      <c r="H38" s="556"/>
      <c r="I38" s="556"/>
      <c r="J38" s="353"/>
      <c r="K38" s="353"/>
      <c r="L38" s="556"/>
      <c r="M38" s="556"/>
      <c r="N38" s="556"/>
    </row>
  </sheetData>
  <mergeCells count="7">
    <mergeCell ref="C2:N2"/>
    <mergeCell ref="C3:N3"/>
    <mergeCell ref="C4:N4"/>
    <mergeCell ref="B32:N32"/>
    <mergeCell ref="B29:N29"/>
    <mergeCell ref="B31:N31"/>
    <mergeCell ref="B30:N30"/>
  </mergeCells>
  <phoneticPr fontId="8" type="noConversion"/>
  <conditionalFormatting sqref="C13:I13 J13:N24 F15:I24 C15:E27 F25:N27">
    <cfRule type="cellIs" dxfId="4" priority="1" operator="lessThan">
      <formula>0</formula>
    </cfRule>
  </conditionalFormatting>
  <pageMargins left="0.7" right="0.7" top="0.75" bottom="0.75" header="0.3" footer="0.3"/>
  <pageSetup scale="90" orientation="landscape" r:id="rId1"/>
  <ignoredErrors>
    <ignoredError sqref="D10:E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5B51-F133-4B77-B00E-2D74886813F6}">
  <sheetPr codeName="Sheet6">
    <tabColor theme="1"/>
  </sheetPr>
  <dimension ref="B1:K11"/>
  <sheetViews>
    <sheetView workbookViewId="0"/>
  </sheetViews>
  <sheetFormatPr defaultRowHeight="12.75"/>
  <cols>
    <col min="1" max="1" width="0.85546875" customWidth="1"/>
    <col min="2" max="4" width="12.5703125" customWidth="1"/>
    <col min="5" max="5" width="11.85546875" bestFit="1" customWidth="1"/>
    <col min="6" max="6" width="11.85546875" customWidth="1"/>
    <col min="7" max="10" width="11.28515625" bestFit="1" customWidth="1"/>
    <col min="11" max="11" width="10.7109375" hidden="1" customWidth="1"/>
  </cols>
  <sheetData>
    <row r="1" spans="2:11">
      <c r="B1" s="568" t="s">
        <v>206</v>
      </c>
      <c r="C1" s="568"/>
      <c r="D1" s="568"/>
      <c r="E1" s="568"/>
      <c r="F1" s="568"/>
      <c r="G1" s="568"/>
      <c r="H1" s="568"/>
      <c r="I1" s="568"/>
      <c r="J1" s="568"/>
      <c r="K1" s="568"/>
    </row>
    <row r="2" spans="2:11">
      <c r="B2" s="568"/>
      <c r="C2" s="568"/>
      <c r="D2" s="568"/>
      <c r="E2" s="568"/>
      <c r="F2" s="568"/>
      <c r="G2" s="568"/>
      <c r="H2" s="568"/>
      <c r="I2" s="568"/>
      <c r="J2" s="568"/>
      <c r="K2" s="568"/>
    </row>
    <row r="3" spans="2:11" ht="4.5" customHeight="1" thickBot="1">
      <c r="B3" s="556"/>
      <c r="C3" s="556"/>
      <c r="D3" s="556"/>
      <c r="E3" s="556"/>
      <c r="F3" s="556"/>
      <c r="G3" s="556"/>
      <c r="H3" s="556"/>
      <c r="I3" s="556"/>
      <c r="J3" s="556"/>
      <c r="K3" s="556"/>
    </row>
    <row r="4" spans="2:11" ht="16.5" thickBot="1">
      <c r="B4" s="272"/>
      <c r="C4" s="276" t="s">
        <v>207</v>
      </c>
      <c r="D4" s="276" t="s">
        <v>12</v>
      </c>
      <c r="E4" s="276" t="s">
        <v>208</v>
      </c>
      <c r="F4" s="276" t="s">
        <v>177</v>
      </c>
      <c r="G4" s="276" t="s">
        <v>15</v>
      </c>
      <c r="H4" s="276" t="s">
        <v>16</v>
      </c>
      <c r="I4" s="276" t="s">
        <v>17</v>
      </c>
      <c r="J4" s="276" t="s">
        <v>18</v>
      </c>
      <c r="K4" s="276" t="s">
        <v>19</v>
      </c>
    </row>
    <row r="5" spans="2:11" ht="16.5" thickBot="1">
      <c r="B5" s="275" t="s">
        <v>209</v>
      </c>
      <c r="C5" s="277">
        <f>'3-Balance Sheet'!D9+'3-Balance Sheet'!D11</f>
        <v>543005</v>
      </c>
      <c r="D5" s="277">
        <f>'3-Balance Sheet'!E9+'3-Balance Sheet'!E11</f>
        <v>567253</v>
      </c>
      <c r="E5" s="277">
        <f>'3-Balance Sheet'!F9+'3-Balance Sheet'!F11</f>
        <v>739103</v>
      </c>
      <c r="F5" s="277">
        <f>'3-Balance Sheet'!H9+'3-Balance Sheet'!H11</f>
        <v>641003</v>
      </c>
      <c r="G5" s="277">
        <f>'3-Balance Sheet'!G9+'3-Balance Sheet'!G11</f>
        <v>586933</v>
      </c>
      <c r="H5" s="277">
        <f>'3-Balance Sheet'!I9+'3-Balance Sheet'!I11</f>
        <v>519446</v>
      </c>
      <c r="I5" s="277">
        <f>'3-Balance Sheet'!J9+'3-Balance Sheet'!J11</f>
        <v>113938</v>
      </c>
      <c r="J5" s="277">
        <f>'3-Balance Sheet'!K9+'3-Balance Sheet'!K11</f>
        <v>49473</v>
      </c>
      <c r="K5" s="277">
        <f>'3-Balance Sheet'!L9+'3-Balance Sheet'!L11</f>
        <v>175518</v>
      </c>
    </row>
    <row r="6" spans="2:11" ht="4.5" customHeight="1" thickBot="1">
      <c r="B6" s="273"/>
      <c r="C6" s="273"/>
      <c r="D6" s="273"/>
      <c r="E6" s="273"/>
      <c r="F6" s="273"/>
      <c r="G6" s="281"/>
      <c r="H6" s="281"/>
      <c r="I6" s="281"/>
      <c r="J6" s="282"/>
      <c r="K6" s="282"/>
    </row>
    <row r="7" spans="2:11" ht="15.75">
      <c r="B7" s="274" t="s">
        <v>210</v>
      </c>
      <c r="C7" s="278">
        <f>'3-Balance Sheet'!D13</f>
        <v>1010922</v>
      </c>
      <c r="D7" s="278">
        <f>'3-Balance Sheet'!E13</f>
        <v>674696</v>
      </c>
      <c r="E7" s="278">
        <f>'3-Balance Sheet'!F13</f>
        <v>624234</v>
      </c>
      <c r="F7" s="278">
        <f>'3-Balance Sheet'!H13</f>
        <v>739879</v>
      </c>
      <c r="G7" s="278">
        <f>'3-Balance Sheet'!G13</f>
        <v>600833</v>
      </c>
      <c r="H7" s="278">
        <f>'3-Balance Sheet'!I13</f>
        <v>825739</v>
      </c>
      <c r="I7" s="278">
        <f>'3-Balance Sheet'!J13</f>
        <v>1162502</v>
      </c>
      <c r="J7" s="284">
        <f>'3-Balance Sheet'!K13</f>
        <v>1033535</v>
      </c>
      <c r="K7" s="284">
        <f>'3-Balance Sheet'!L13</f>
        <v>838596</v>
      </c>
    </row>
    <row r="8" spans="2:11" ht="15.75">
      <c r="B8" s="274" t="s">
        <v>211</v>
      </c>
      <c r="C8" s="278">
        <f>'3-Balance Sheet'!D22</f>
        <v>1202624</v>
      </c>
      <c r="D8" s="278">
        <f>'3-Balance Sheet'!E22</f>
        <v>1239901</v>
      </c>
      <c r="E8" s="278">
        <f>'3-Balance Sheet'!F22</f>
        <v>1050542</v>
      </c>
      <c r="F8" s="278">
        <f>'3-Balance Sheet'!H22</f>
        <v>909413</v>
      </c>
      <c r="G8" s="278">
        <f>'3-Balance Sheet'!G22</f>
        <v>1021535</v>
      </c>
      <c r="H8" s="278">
        <f>'3-Balance Sheet'!I22</f>
        <v>1051427</v>
      </c>
      <c r="I8" s="278">
        <f>'3-Balance Sheet'!J22</f>
        <v>1733922</v>
      </c>
      <c r="J8" s="284">
        <f>'3-Balance Sheet'!K22</f>
        <v>1107863</v>
      </c>
      <c r="K8" s="284">
        <f>'3-Balance Sheet'!L22</f>
        <v>632835</v>
      </c>
    </row>
    <row r="9" spans="2:11" ht="16.5" thickBot="1">
      <c r="B9" s="274" t="s">
        <v>212</v>
      </c>
      <c r="C9" s="278">
        <f>'3-Balance Sheet'!D58</f>
        <v>413053</v>
      </c>
      <c r="D9" s="278">
        <f>'3-Balance Sheet'!E58</f>
        <v>451708</v>
      </c>
      <c r="E9" s="278">
        <f>'3-Balance Sheet'!F58</f>
        <v>219210</v>
      </c>
      <c r="F9" s="278">
        <f>'3-Balance Sheet'!H58</f>
        <v>230561</v>
      </c>
      <c r="G9" s="278">
        <f>'3-Balance Sheet'!G58</f>
        <v>281913</v>
      </c>
      <c r="H9" s="278">
        <f>'3-Balance Sheet'!I58</f>
        <v>284395</v>
      </c>
      <c r="I9" s="278">
        <f>'3-Balance Sheet'!J58</f>
        <v>1181015</v>
      </c>
      <c r="J9" s="284">
        <f>'3-Balance Sheet'!K58</f>
        <v>642630</v>
      </c>
      <c r="K9" s="284">
        <f>'3-Balance Sheet'!L58</f>
        <v>758243</v>
      </c>
    </row>
    <row r="10" spans="2:11" ht="16.5" thickBot="1">
      <c r="B10" s="279" t="s">
        <v>213</v>
      </c>
      <c r="C10" s="280">
        <f t="shared" ref="C10:D10" si="0">C7+C8-C9</f>
        <v>1800493</v>
      </c>
      <c r="D10" s="280">
        <f t="shared" si="0"/>
        <v>1462889</v>
      </c>
      <c r="E10" s="280">
        <f t="shared" ref="E10:K10" si="1">E7+E8-E9</f>
        <v>1455566</v>
      </c>
      <c r="F10" s="280">
        <f t="shared" si="1"/>
        <v>1418731</v>
      </c>
      <c r="G10" s="280">
        <f t="shared" si="1"/>
        <v>1340455</v>
      </c>
      <c r="H10" s="280">
        <f t="shared" si="1"/>
        <v>1592771</v>
      </c>
      <c r="I10" s="280">
        <f t="shared" si="1"/>
        <v>1715409</v>
      </c>
      <c r="J10" s="280">
        <f t="shared" si="1"/>
        <v>1498768</v>
      </c>
      <c r="K10" s="280">
        <f t="shared" si="1"/>
        <v>713188</v>
      </c>
    </row>
    <row r="11" spans="2:11">
      <c r="B11" s="569" t="s">
        <v>214</v>
      </c>
      <c r="C11" s="569"/>
      <c r="D11" s="569"/>
      <c r="E11" s="569"/>
      <c r="F11" s="569"/>
      <c r="G11" s="569"/>
      <c r="H11" s="569"/>
      <c r="I11" s="569"/>
      <c r="J11" s="569"/>
      <c r="K11" s="569"/>
    </row>
  </sheetData>
  <mergeCells count="2">
    <mergeCell ref="B1:K2"/>
    <mergeCell ref="B11:K11"/>
  </mergeCells>
  <phoneticPr fontId="8" type="noConversion"/>
  <pageMargins left="0.7" right="0.7" top="0.75" bottom="0.75" header="0.3" footer="0.3"/>
  <pageSetup scale="10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7D36C-17B5-4833-B51F-7F9E7857F48B}">
  <sheetPr codeName="Sheet21">
    <tabColor rgb="FF00B0F0"/>
  </sheetPr>
  <dimension ref="B1:O47"/>
  <sheetViews>
    <sheetView zoomScaleNormal="100" workbookViewId="0">
      <selection activeCell="B2" sqref="B2"/>
    </sheetView>
  </sheetViews>
  <sheetFormatPr defaultColWidth="8.7109375" defaultRowHeight="15"/>
  <cols>
    <col min="1" max="1" width="0.7109375" style="372" customWidth="1"/>
    <col min="2" max="2" width="45.85546875" style="372" customWidth="1"/>
    <col min="3" max="3" width="10.85546875" style="372" customWidth="1"/>
    <col min="4" max="12" width="11.7109375" style="372" customWidth="1"/>
    <col min="13" max="15" width="11.7109375" style="372" hidden="1" customWidth="1"/>
    <col min="16" max="16384" width="8.7109375" style="372"/>
  </cols>
  <sheetData>
    <row r="1" spans="2:15" ht="4.5" customHeight="1"/>
    <row r="2" spans="2:15">
      <c r="B2" s="371" t="s">
        <v>0</v>
      </c>
      <c r="C2" s="574" t="s">
        <v>1</v>
      </c>
      <c r="D2" s="574"/>
      <c r="E2" s="574"/>
      <c r="F2" s="574"/>
      <c r="G2" s="574"/>
      <c r="H2" s="574"/>
      <c r="I2" s="574"/>
      <c r="J2" s="574"/>
      <c r="K2" s="574"/>
      <c r="L2" s="574"/>
      <c r="M2" s="574"/>
      <c r="N2" s="574"/>
      <c r="O2" s="574"/>
    </row>
    <row r="3" spans="2:15">
      <c r="B3" s="371" t="s">
        <v>215</v>
      </c>
      <c r="C3" s="574" t="s">
        <v>3</v>
      </c>
      <c r="D3" s="574"/>
      <c r="E3" s="574"/>
      <c r="F3" s="574"/>
      <c r="G3" s="574"/>
      <c r="H3" s="574"/>
      <c r="I3" s="574"/>
      <c r="J3" s="574"/>
      <c r="K3" s="574"/>
      <c r="L3" s="574"/>
      <c r="M3" s="574"/>
      <c r="N3" s="574"/>
      <c r="O3" s="574"/>
    </row>
    <row r="4" spans="2:15">
      <c r="B4" s="373"/>
      <c r="C4" s="574" t="s">
        <v>216</v>
      </c>
      <c r="D4" s="574"/>
      <c r="E4" s="574"/>
      <c r="F4" s="574"/>
      <c r="G4" s="574"/>
      <c r="H4" s="574"/>
      <c r="I4" s="574"/>
      <c r="J4" s="574"/>
      <c r="K4" s="574"/>
      <c r="L4" s="574"/>
      <c r="M4" s="574"/>
      <c r="N4" s="574"/>
      <c r="O4" s="574"/>
    </row>
    <row r="5" spans="2:15" ht="4.5" customHeight="1" thickBot="1">
      <c r="B5" s="374"/>
      <c r="C5" s="374"/>
      <c r="D5" s="374"/>
    </row>
    <row r="6" spans="2:15" ht="15.75" thickBot="1">
      <c r="B6" s="374"/>
      <c r="C6" s="375" t="s">
        <v>217</v>
      </c>
      <c r="D6" s="376" t="s">
        <v>5</v>
      </c>
      <c r="E6" s="376" t="s">
        <v>5</v>
      </c>
      <c r="F6" s="376" t="s">
        <v>5</v>
      </c>
      <c r="G6" s="376" t="s">
        <v>5</v>
      </c>
      <c r="H6" s="376" t="s">
        <v>7</v>
      </c>
      <c r="I6" s="377" t="s">
        <v>5</v>
      </c>
      <c r="J6" s="376" t="s">
        <v>7</v>
      </c>
      <c r="K6" s="377" t="s">
        <v>5</v>
      </c>
      <c r="L6" s="376" t="s">
        <v>7</v>
      </c>
      <c r="M6" s="544" t="s">
        <v>7</v>
      </c>
      <c r="N6" s="544" t="s">
        <v>7</v>
      </c>
      <c r="O6" s="544" t="s">
        <v>7</v>
      </c>
    </row>
    <row r="7" spans="2:15" ht="16.5" thickBot="1">
      <c r="B7" s="374"/>
      <c r="C7" s="378" t="s">
        <v>218</v>
      </c>
      <c r="D7" s="379" t="s">
        <v>219</v>
      </c>
      <c r="E7" s="379" t="s">
        <v>220</v>
      </c>
      <c r="F7" s="379" t="s">
        <v>221</v>
      </c>
      <c r="G7" s="379" t="s">
        <v>222</v>
      </c>
      <c r="H7" s="379" t="s">
        <v>223</v>
      </c>
      <c r="I7" s="380">
        <v>45838</v>
      </c>
      <c r="J7" s="379" t="s">
        <v>224</v>
      </c>
      <c r="K7" s="380">
        <v>45473</v>
      </c>
      <c r="L7" s="379" t="s">
        <v>225</v>
      </c>
      <c r="M7" s="545" t="s">
        <v>226</v>
      </c>
      <c r="N7" s="545" t="s">
        <v>227</v>
      </c>
      <c r="O7" s="545" t="s">
        <v>228</v>
      </c>
    </row>
    <row r="8" spans="2:15" ht="18.75">
      <c r="B8" s="381" t="s">
        <v>229</v>
      </c>
      <c r="C8" s="382"/>
      <c r="D8" s="383"/>
      <c r="E8" s="383"/>
      <c r="F8" s="383"/>
      <c r="G8" s="383"/>
      <c r="H8" s="384"/>
      <c r="I8" s="385"/>
      <c r="J8" s="384"/>
      <c r="K8" s="385"/>
      <c r="L8" s="384"/>
      <c r="M8" s="546"/>
      <c r="N8" s="546"/>
      <c r="O8" s="546"/>
    </row>
    <row r="9" spans="2:15" ht="4.5" customHeight="1">
      <c r="B9" s="386"/>
      <c r="C9" s="387"/>
      <c r="D9" s="388"/>
      <c r="E9" s="388"/>
      <c r="F9" s="388"/>
      <c r="G9" s="388"/>
      <c r="H9" s="389"/>
      <c r="I9" s="390"/>
      <c r="J9" s="389"/>
      <c r="K9" s="390"/>
      <c r="L9" s="389"/>
      <c r="M9" s="546"/>
      <c r="N9" s="546"/>
      <c r="O9" s="546"/>
    </row>
    <row r="10" spans="2:15" ht="15.75">
      <c r="B10" s="391" t="s">
        <v>230</v>
      </c>
      <c r="C10" s="392"/>
      <c r="D10" s="393">
        <f>SUM('3-Balance Sheet'!C9:C11)</f>
        <v>739924</v>
      </c>
      <c r="E10" s="393">
        <v>0</v>
      </c>
      <c r="F10" s="393">
        <v>0</v>
      </c>
      <c r="G10" s="393">
        <f>SUM('3-Balance Sheet'!D9:D11)</f>
        <v>543005</v>
      </c>
      <c r="H10" s="393">
        <f>SUM('3-Balance Sheet'!E9:E11)</f>
        <v>638976</v>
      </c>
      <c r="I10" s="393">
        <f>SUM('3-Balance Sheet'!F9:F11)</f>
        <v>739103</v>
      </c>
      <c r="J10" s="393">
        <f>SUM('3-Balance Sheet'!G9:G11)</f>
        <v>608732</v>
      </c>
      <c r="K10" s="393">
        <f>SUM('3-Balance Sheet'!H9:H11)</f>
        <v>641003</v>
      </c>
      <c r="L10" s="393">
        <f>SUM('3-Balance Sheet'!I9:I11)</f>
        <v>606665</v>
      </c>
      <c r="M10" s="547">
        <f>'3-Balance Sheet'!J9+'3-Balance Sheet'!J11</f>
        <v>113938</v>
      </c>
      <c r="N10" s="547">
        <f>'3-Balance Sheet'!K9+'3-Balance Sheet'!K11</f>
        <v>49473</v>
      </c>
      <c r="O10" s="547">
        <f>'3-Balance Sheet'!L9+'3-Balance Sheet'!L11</f>
        <v>175518</v>
      </c>
    </row>
    <row r="11" spans="2:15" ht="4.5" customHeight="1">
      <c r="B11" s="386"/>
      <c r="C11" s="394"/>
      <c r="D11" s="395"/>
      <c r="E11" s="395"/>
      <c r="F11" s="395"/>
      <c r="G11" s="395"/>
      <c r="H11" s="396"/>
      <c r="I11" s="397"/>
      <c r="J11" s="396"/>
      <c r="K11" s="397"/>
      <c r="L11" s="396"/>
      <c r="M11" s="548"/>
      <c r="N11" s="548"/>
      <c r="O11" s="548"/>
    </row>
    <row r="12" spans="2:15" ht="15.75">
      <c r="B12" s="398" t="s">
        <v>112</v>
      </c>
      <c r="C12" s="399"/>
      <c r="D12" s="395"/>
      <c r="E12" s="395"/>
      <c r="F12" s="395"/>
      <c r="G12" s="395"/>
      <c r="H12" s="396"/>
      <c r="I12" s="397"/>
      <c r="J12" s="396"/>
      <c r="K12" s="397"/>
      <c r="L12" s="396"/>
      <c r="M12" s="548"/>
      <c r="N12" s="548"/>
      <c r="O12" s="548"/>
    </row>
    <row r="13" spans="2:15">
      <c r="B13" s="400" t="s">
        <v>231</v>
      </c>
      <c r="C13" s="401"/>
      <c r="D13" s="395">
        <f>SUM('3-Balance Sheet'!C13:C15)</f>
        <v>779487</v>
      </c>
      <c r="E13" s="395">
        <v>0</v>
      </c>
      <c r="F13" s="395">
        <v>0</v>
      </c>
      <c r="G13" s="395">
        <f>SUM('3-Balance Sheet'!D13:D15)</f>
        <v>1010922</v>
      </c>
      <c r="H13" s="396">
        <f>SUM('3-Balance Sheet'!E13:E15)</f>
        <v>688870</v>
      </c>
      <c r="I13" s="397">
        <f>SUM('3-Balance Sheet'!F13:F15)</f>
        <v>624234</v>
      </c>
      <c r="J13" s="396">
        <f>SUM('3-Balance Sheet'!G13:G15)</f>
        <v>608466</v>
      </c>
      <c r="K13" s="397">
        <f>SUM('3-Balance Sheet'!H13:H15)</f>
        <v>739879</v>
      </c>
      <c r="L13" s="396">
        <f>SUM('3-Balance Sheet'!I13:I15)</f>
        <v>917593</v>
      </c>
      <c r="M13" s="548">
        <f>'3-Balance Sheet'!J13</f>
        <v>1162502</v>
      </c>
      <c r="N13" s="548">
        <f>'3-Balance Sheet'!K13</f>
        <v>1033535</v>
      </c>
      <c r="O13" s="548">
        <f>'3-Balance Sheet'!L13</f>
        <v>838596</v>
      </c>
    </row>
    <row r="14" spans="2:15" ht="17.25">
      <c r="B14" s="400" t="s">
        <v>232</v>
      </c>
      <c r="C14" s="402"/>
      <c r="D14" s="403">
        <f>SUM('3-Balance Sheet'!C22:C23)</f>
        <v>1098507</v>
      </c>
      <c r="E14" s="403">
        <v>0</v>
      </c>
      <c r="F14" s="403">
        <v>0</v>
      </c>
      <c r="G14" s="403">
        <f>SUM('3-Balance Sheet'!D22:D23)</f>
        <v>1202624</v>
      </c>
      <c r="H14" s="404">
        <f>SUM('3-Balance Sheet'!E22:E23)</f>
        <v>1239901</v>
      </c>
      <c r="I14" s="405">
        <f>SUM('3-Balance Sheet'!F22:F23)</f>
        <v>1050542</v>
      </c>
      <c r="J14" s="404">
        <f>SUM('3-Balance Sheet'!G22:G23)</f>
        <v>1021535</v>
      </c>
      <c r="K14" s="405">
        <f>SUM('3-Balance Sheet'!H22:H23)</f>
        <v>909413</v>
      </c>
      <c r="L14" s="404">
        <f>SUM('3-Balance Sheet'!I22:I23)</f>
        <v>1096561</v>
      </c>
      <c r="M14" s="549">
        <f>'3-Balance Sheet'!J22</f>
        <v>1733922</v>
      </c>
      <c r="N14" s="549">
        <f>'3-Balance Sheet'!K22</f>
        <v>1107863</v>
      </c>
      <c r="O14" s="549">
        <f>'3-Balance Sheet'!L22</f>
        <v>632835</v>
      </c>
    </row>
    <row r="15" spans="2:15" ht="15.75">
      <c r="B15" s="406" t="s">
        <v>233</v>
      </c>
      <c r="C15" s="407"/>
      <c r="D15" s="408">
        <f t="shared" ref="D15:F15" si="0">SUM(D13:D14)</f>
        <v>1877994</v>
      </c>
      <c r="E15" s="408">
        <f t="shared" si="0"/>
        <v>0</v>
      </c>
      <c r="F15" s="408">
        <f t="shared" si="0"/>
        <v>0</v>
      </c>
      <c r="G15" s="408">
        <f t="shared" ref="G15:O15" si="1">SUM(G13:G14)</f>
        <v>2213546</v>
      </c>
      <c r="H15" s="409">
        <f t="shared" ref="H15:L15" si="2">SUM(H13:H14)</f>
        <v>1928771</v>
      </c>
      <c r="I15" s="410">
        <f t="shared" si="2"/>
        <v>1674776</v>
      </c>
      <c r="J15" s="409">
        <f t="shared" si="2"/>
        <v>1630001</v>
      </c>
      <c r="K15" s="410">
        <f t="shared" si="2"/>
        <v>1649292</v>
      </c>
      <c r="L15" s="409">
        <f t="shared" si="2"/>
        <v>2014154</v>
      </c>
      <c r="M15" s="547">
        <f t="shared" si="1"/>
        <v>2896424</v>
      </c>
      <c r="N15" s="547">
        <f t="shared" si="1"/>
        <v>2141398</v>
      </c>
      <c r="O15" s="547">
        <f t="shared" si="1"/>
        <v>1471431</v>
      </c>
    </row>
    <row r="16" spans="2:15" ht="4.5" customHeight="1">
      <c r="B16" s="400"/>
      <c r="C16" s="401"/>
      <c r="D16" s="395"/>
      <c r="E16" s="395"/>
      <c r="F16" s="395"/>
      <c r="G16" s="395"/>
      <c r="H16" s="396"/>
      <c r="I16" s="397"/>
      <c r="J16" s="396"/>
      <c r="K16" s="397"/>
      <c r="L16" s="396"/>
      <c r="M16" s="548"/>
      <c r="N16" s="548"/>
      <c r="O16" s="548"/>
    </row>
    <row r="17" spans="2:15" ht="15.75">
      <c r="B17" s="398" t="s">
        <v>150</v>
      </c>
      <c r="C17" s="399"/>
      <c r="D17" s="395"/>
      <c r="E17" s="395"/>
      <c r="F17" s="395"/>
      <c r="G17" s="395"/>
      <c r="H17" s="396"/>
      <c r="I17" s="397"/>
      <c r="J17" s="396"/>
      <c r="K17" s="397"/>
      <c r="L17" s="396"/>
      <c r="M17" s="548"/>
      <c r="N17" s="548"/>
      <c r="O17" s="548"/>
    </row>
    <row r="18" spans="2:15" ht="17.25">
      <c r="B18" s="400" t="s">
        <v>234</v>
      </c>
      <c r="C18" s="402"/>
      <c r="D18" s="403">
        <f>SUM('3-Balance Sheet'!C58:C60)</f>
        <v>310086</v>
      </c>
      <c r="E18" s="403">
        <v>0</v>
      </c>
      <c r="F18" s="403">
        <v>0</v>
      </c>
      <c r="G18" s="403">
        <f>SUM('3-Balance Sheet'!D58:D60)</f>
        <v>413053</v>
      </c>
      <c r="H18" s="404">
        <f>SUM('3-Balance Sheet'!E58:E60)</f>
        <v>451708</v>
      </c>
      <c r="I18" s="405">
        <f>SUM('3-Balance Sheet'!F58:F60)</f>
        <v>219210</v>
      </c>
      <c r="J18" s="404">
        <f>SUM('3-Balance Sheet'!G58:G60)</f>
        <v>281913</v>
      </c>
      <c r="K18" s="405">
        <f>SUM('3-Balance Sheet'!H58:H60)</f>
        <v>230561</v>
      </c>
      <c r="L18" s="404">
        <f>SUM('3-Balance Sheet'!I58:I60)</f>
        <v>284395</v>
      </c>
      <c r="M18" s="549">
        <f>'3-Balance Sheet'!J58</f>
        <v>1181015</v>
      </c>
      <c r="N18" s="549">
        <f>'3-Balance Sheet'!K58</f>
        <v>642630</v>
      </c>
      <c r="O18" s="549">
        <f>'3-Balance Sheet'!L58</f>
        <v>758243</v>
      </c>
    </row>
    <row r="19" spans="2:15" ht="15.75">
      <c r="B19" s="406" t="s">
        <v>235</v>
      </c>
      <c r="C19" s="411"/>
      <c r="D19" s="412">
        <f t="shared" ref="D19:F19" si="3">SUM(D18)</f>
        <v>310086</v>
      </c>
      <c r="E19" s="412">
        <f t="shared" si="3"/>
        <v>0</v>
      </c>
      <c r="F19" s="412">
        <f t="shared" si="3"/>
        <v>0</v>
      </c>
      <c r="G19" s="412">
        <f t="shared" ref="G19" si="4">SUM(G18)</f>
        <v>413053</v>
      </c>
      <c r="H19" s="409">
        <f t="shared" ref="H19:L19" si="5">SUM(H18)</f>
        <v>451708</v>
      </c>
      <c r="I19" s="410">
        <f t="shared" si="5"/>
        <v>219210</v>
      </c>
      <c r="J19" s="409">
        <f t="shared" si="5"/>
        <v>281913</v>
      </c>
      <c r="K19" s="410">
        <f t="shared" si="5"/>
        <v>230561</v>
      </c>
      <c r="L19" s="409">
        <f t="shared" si="5"/>
        <v>284395</v>
      </c>
      <c r="M19" s="547">
        <f t="shared" ref="M19" si="6">SUM(M18)</f>
        <v>1181015</v>
      </c>
      <c r="N19" s="547">
        <f t="shared" ref="N19" si="7">SUM(N18)</f>
        <v>642630</v>
      </c>
      <c r="O19" s="547">
        <f t="shared" ref="O19" si="8">SUM(O18)</f>
        <v>758243</v>
      </c>
    </row>
    <row r="20" spans="2:15" ht="4.5" customHeight="1" thickBot="1">
      <c r="B20" s="400"/>
      <c r="C20" s="401"/>
      <c r="D20" s="395"/>
      <c r="E20" s="395"/>
      <c r="F20" s="395"/>
      <c r="G20" s="395"/>
      <c r="H20" s="396"/>
      <c r="I20" s="397"/>
      <c r="J20" s="396"/>
      <c r="K20" s="397"/>
      <c r="L20" s="396"/>
      <c r="M20" s="548"/>
      <c r="N20" s="548"/>
      <c r="O20" s="548"/>
    </row>
    <row r="21" spans="2:15" ht="16.5" thickBot="1">
      <c r="B21" s="413" t="s">
        <v>236</v>
      </c>
      <c r="C21" s="414"/>
      <c r="D21" s="415">
        <f t="shared" ref="D21:F21" si="9">D15-D19</f>
        <v>1567908</v>
      </c>
      <c r="E21" s="415">
        <f t="shared" si="9"/>
        <v>0</v>
      </c>
      <c r="F21" s="415">
        <f t="shared" si="9"/>
        <v>0</v>
      </c>
      <c r="G21" s="415">
        <f t="shared" ref="G21" si="10">G15-G19</f>
        <v>1800493</v>
      </c>
      <c r="H21" s="415">
        <f t="shared" ref="H21:O21" si="11">H15-H19</f>
        <v>1477063</v>
      </c>
      <c r="I21" s="416">
        <f t="shared" si="11"/>
        <v>1455566</v>
      </c>
      <c r="J21" s="415">
        <f t="shared" si="11"/>
        <v>1348088</v>
      </c>
      <c r="K21" s="416">
        <f t="shared" ref="K21" si="12">K15-K19</f>
        <v>1418731</v>
      </c>
      <c r="L21" s="415">
        <f t="shared" si="11"/>
        <v>1729759</v>
      </c>
      <c r="M21" s="547">
        <f t="shared" si="11"/>
        <v>1715409</v>
      </c>
      <c r="N21" s="547">
        <f t="shared" si="11"/>
        <v>1498768</v>
      </c>
      <c r="O21" s="547">
        <f t="shared" si="11"/>
        <v>713188</v>
      </c>
    </row>
    <row r="22" spans="2:15" ht="19.5" thickBot="1">
      <c r="B22" s="417" t="s">
        <v>237</v>
      </c>
      <c r="C22" s="418"/>
      <c r="D22" s="419">
        <f t="shared" ref="D22:F22" si="13">IFERROR(D15/D19,"")</f>
        <v>6.0563650084170195</v>
      </c>
      <c r="E22" s="419" t="str">
        <f t="shared" si="13"/>
        <v/>
      </c>
      <c r="F22" s="419" t="str">
        <f t="shared" si="13"/>
        <v/>
      </c>
      <c r="G22" s="419">
        <f>IFERROR(G15/G19,"")</f>
        <v>5.3589878296489797</v>
      </c>
      <c r="H22" s="419">
        <f t="shared" ref="H22:O22" si="14">H15/H19</f>
        <v>4.2699509417588351</v>
      </c>
      <c r="I22" s="420">
        <f t="shared" si="14"/>
        <v>7.6400529172939189</v>
      </c>
      <c r="J22" s="419">
        <f t="shared" si="14"/>
        <v>5.781929176731829</v>
      </c>
      <c r="K22" s="420">
        <f t="shared" ref="K22" si="15">K15/K19</f>
        <v>7.1533867393010961</v>
      </c>
      <c r="L22" s="419">
        <f t="shared" si="14"/>
        <v>7.0822412489671054</v>
      </c>
      <c r="M22" s="550">
        <f t="shared" si="14"/>
        <v>2.4524870556258813</v>
      </c>
      <c r="N22" s="550">
        <f t="shared" si="14"/>
        <v>3.3322409473569552</v>
      </c>
      <c r="O22" s="550">
        <f t="shared" si="14"/>
        <v>1.9405797349926079</v>
      </c>
    </row>
    <row r="23" spans="2:15" ht="16.5" thickBot="1">
      <c r="B23" s="421"/>
      <c r="C23" s="378" t="s">
        <v>218</v>
      </c>
      <c r="D23" s="379" t="str">
        <f>D7</f>
        <v>June-'26</v>
      </c>
      <c r="E23" s="379" t="str">
        <f>E7</f>
        <v>May-'26</v>
      </c>
      <c r="F23" s="379" t="str">
        <f>F7</f>
        <v>Apr-'26</v>
      </c>
      <c r="G23" s="379" t="str">
        <f t="shared" ref="G23:J23" si="16">G7</f>
        <v>Mar-'26</v>
      </c>
      <c r="H23" s="379" t="str">
        <f t="shared" si="16"/>
        <v>Dec-'25</v>
      </c>
      <c r="I23" s="380">
        <v>45838</v>
      </c>
      <c r="J23" s="379" t="str">
        <f t="shared" si="16"/>
        <v>Dec-'24</v>
      </c>
      <c r="K23" s="380">
        <f>K7</f>
        <v>45473</v>
      </c>
      <c r="L23" s="379" t="str">
        <f>L7</f>
        <v>Dec-'23</v>
      </c>
      <c r="M23" s="545" t="s">
        <v>238</v>
      </c>
      <c r="N23" s="545" t="s">
        <v>239</v>
      </c>
      <c r="O23" s="545" t="s">
        <v>225</v>
      </c>
    </row>
    <row r="24" spans="2:15" ht="17.45" customHeight="1" thickBot="1">
      <c r="B24" s="422"/>
      <c r="C24" s="375" t="s">
        <v>217</v>
      </c>
      <c r="D24" s="422"/>
      <c r="E24" s="422"/>
      <c r="F24" s="422"/>
      <c r="G24" s="422"/>
      <c r="H24" s="422"/>
      <c r="I24" s="422"/>
      <c r="J24" s="422"/>
      <c r="K24" s="422"/>
      <c r="L24" s="422"/>
    </row>
    <row r="25" spans="2:15" ht="15.75">
      <c r="B25" s="423"/>
      <c r="C25" s="424"/>
      <c r="L25" s="425"/>
      <c r="M25" s="425"/>
      <c r="N25" s="425"/>
      <c r="O25" s="425"/>
    </row>
    <row r="26" spans="2:15" ht="15.75">
      <c r="B26" s="423"/>
      <c r="C26" s="424"/>
      <c r="H26" s="577"/>
      <c r="I26" s="553"/>
      <c r="K26" s="553"/>
      <c r="L26" s="425"/>
      <c r="M26" s="425"/>
      <c r="N26" s="425"/>
      <c r="O26" s="425"/>
    </row>
    <row r="27" spans="2:15" ht="15.75">
      <c r="B27" s="426"/>
      <c r="C27" s="427"/>
      <c r="H27" s="577"/>
      <c r="I27" s="553"/>
      <c r="K27" s="553"/>
    </row>
    <row r="29" spans="2:15" ht="15.75">
      <c r="B29" s="374"/>
      <c r="C29" s="428"/>
      <c r="D29" s="429"/>
      <c r="E29" s="428"/>
      <c r="F29" s="428"/>
      <c r="G29" s="428"/>
      <c r="H29" s="428"/>
      <c r="I29" s="428"/>
      <c r="J29" s="428"/>
      <c r="K29" s="428"/>
      <c r="L29" s="428"/>
      <c r="M29" s="428"/>
      <c r="N29" s="428"/>
      <c r="O29" s="428"/>
    </row>
    <row r="30" spans="2:15" ht="15.75">
      <c r="B30" s="374"/>
      <c r="C30" s="430"/>
      <c r="D30" s="429"/>
      <c r="E30" s="430"/>
      <c r="F30" s="430"/>
      <c r="G30" s="430"/>
      <c r="H30" s="430"/>
      <c r="I30" s="430"/>
      <c r="J30" s="430"/>
      <c r="K30" s="430"/>
      <c r="L30" s="430"/>
      <c r="M30" s="430"/>
      <c r="N30" s="430"/>
      <c r="O30" s="430"/>
    </row>
    <row r="31" spans="2:15" ht="18.75">
      <c r="B31" s="578"/>
      <c r="C31" s="578"/>
      <c r="D31" s="431"/>
      <c r="E31" s="431"/>
      <c r="F31" s="431"/>
      <c r="G31" s="431"/>
      <c r="H31" s="431"/>
      <c r="I31" s="431"/>
      <c r="J31" s="431"/>
      <c r="K31" s="431"/>
      <c r="L31" s="431"/>
      <c r="M31" s="431"/>
      <c r="N31" s="431"/>
      <c r="O31" s="431"/>
    </row>
    <row r="32" spans="2:15" ht="18.75">
      <c r="B32" s="554"/>
      <c r="C32" s="552"/>
      <c r="D32" s="431"/>
      <c r="E32" s="431"/>
      <c r="F32" s="431"/>
      <c r="G32" s="431"/>
      <c r="H32" s="431"/>
      <c r="I32" s="431"/>
      <c r="J32" s="431"/>
      <c r="K32" s="431"/>
      <c r="L32" s="431"/>
      <c r="M32" s="431"/>
      <c r="N32" s="431"/>
      <c r="O32" s="431"/>
    </row>
    <row r="33" spans="2:15">
      <c r="B33" s="579"/>
      <c r="C33" s="579"/>
      <c r="D33" s="432"/>
      <c r="E33" s="432"/>
      <c r="F33" s="432"/>
      <c r="G33" s="431"/>
      <c r="H33" s="432"/>
      <c r="I33" s="432"/>
      <c r="J33" s="432"/>
      <c r="K33" s="432"/>
      <c r="L33" s="432"/>
      <c r="M33" s="432"/>
      <c r="N33" s="432"/>
      <c r="O33" s="432"/>
    </row>
    <row r="34" spans="2:15" ht="18.75">
      <c r="B34" s="554"/>
      <c r="C34" s="433"/>
      <c r="D34" s="431"/>
      <c r="E34" s="431"/>
      <c r="F34" s="431"/>
      <c r="G34" s="431"/>
      <c r="H34" s="431"/>
      <c r="I34" s="431"/>
      <c r="J34" s="431"/>
      <c r="K34" s="431"/>
      <c r="L34" s="431"/>
      <c r="M34" s="431"/>
      <c r="N34" s="431"/>
      <c r="O34" s="431"/>
    </row>
    <row r="35" spans="2:15" ht="15.75">
      <c r="B35" s="575"/>
      <c r="C35" s="575"/>
      <c r="D35" s="431"/>
      <c r="E35" s="431"/>
      <c r="F35" s="431"/>
      <c r="G35" s="431"/>
      <c r="H35" s="431"/>
      <c r="I35" s="431"/>
      <c r="J35" s="431"/>
      <c r="K35" s="431"/>
      <c r="L35" s="431"/>
      <c r="M35" s="431"/>
      <c r="N35" s="431"/>
      <c r="O35" s="431"/>
    </row>
    <row r="36" spans="2:15">
      <c r="B36" s="576"/>
      <c r="C36" s="576"/>
      <c r="D36" s="431"/>
      <c r="E36" s="431"/>
      <c r="F36" s="431"/>
      <c r="G36" s="431"/>
      <c r="H36" s="431"/>
      <c r="I36" s="431"/>
      <c r="J36" s="431"/>
      <c r="K36" s="431"/>
      <c r="L36" s="431"/>
      <c r="M36" s="431"/>
      <c r="N36" s="431"/>
      <c r="O36" s="431"/>
    </row>
    <row r="37" spans="2:15" ht="17.25">
      <c r="B37" s="576"/>
      <c r="C37" s="576"/>
      <c r="D37" s="434"/>
      <c r="E37" s="434"/>
      <c r="F37" s="434"/>
      <c r="G37" s="434"/>
      <c r="H37" s="435"/>
      <c r="I37" s="435"/>
      <c r="J37" s="435"/>
      <c r="K37" s="435"/>
      <c r="L37" s="435"/>
      <c r="M37" s="435"/>
      <c r="N37" s="435"/>
      <c r="O37" s="435"/>
    </row>
    <row r="38" spans="2:15" ht="15.75">
      <c r="B38" s="570"/>
      <c r="C38" s="570"/>
      <c r="D38" s="436"/>
      <c r="E38" s="436"/>
      <c r="F38" s="436"/>
      <c r="G38" s="436"/>
      <c r="H38" s="436"/>
      <c r="I38" s="436"/>
      <c r="J38" s="436"/>
      <c r="K38" s="436"/>
      <c r="L38" s="436"/>
      <c r="M38" s="436"/>
      <c r="N38" s="436"/>
      <c r="O38" s="436"/>
    </row>
    <row r="39" spans="2:15">
      <c r="B39" s="552"/>
      <c r="C39" s="433"/>
      <c r="D39" s="431"/>
      <c r="E39" s="431"/>
      <c r="F39" s="431"/>
      <c r="G39" s="431"/>
      <c r="H39" s="431"/>
      <c r="I39" s="431"/>
      <c r="J39" s="431"/>
      <c r="K39" s="431"/>
      <c r="L39" s="431"/>
      <c r="M39" s="431"/>
      <c r="N39" s="431"/>
      <c r="O39" s="431"/>
    </row>
    <row r="40" spans="2:15" ht="15.75">
      <c r="B40" s="575"/>
      <c r="C40" s="575"/>
      <c r="D40" s="431"/>
      <c r="E40" s="431"/>
      <c r="F40" s="431"/>
      <c r="G40" s="431"/>
      <c r="H40" s="431"/>
      <c r="I40" s="431"/>
      <c r="J40" s="431"/>
      <c r="K40" s="431"/>
      <c r="L40" s="431"/>
      <c r="M40" s="431"/>
      <c r="N40" s="431"/>
      <c r="O40" s="431"/>
    </row>
    <row r="41" spans="2:15" ht="17.25">
      <c r="B41" s="576"/>
      <c r="C41" s="576"/>
      <c r="D41" s="434"/>
      <c r="E41" s="434"/>
      <c r="F41" s="434"/>
      <c r="G41" s="434"/>
      <c r="H41" s="435"/>
      <c r="I41" s="435"/>
      <c r="J41" s="435"/>
      <c r="K41" s="435"/>
      <c r="L41" s="435"/>
      <c r="M41" s="435"/>
      <c r="N41" s="435"/>
      <c r="O41" s="435"/>
    </row>
    <row r="42" spans="2:15" ht="15.75">
      <c r="B42" s="570"/>
      <c r="C42" s="570"/>
      <c r="D42" s="436"/>
      <c r="E42" s="436"/>
      <c r="F42" s="436"/>
      <c r="G42" s="436"/>
      <c r="H42" s="436"/>
      <c r="I42" s="436"/>
      <c r="J42" s="436"/>
      <c r="K42" s="436"/>
      <c r="L42" s="436"/>
      <c r="M42" s="436"/>
      <c r="N42" s="436"/>
      <c r="O42" s="436"/>
    </row>
    <row r="43" spans="2:15">
      <c r="B43" s="552"/>
      <c r="C43" s="433"/>
      <c r="D43" s="431"/>
      <c r="E43" s="431"/>
      <c r="F43" s="431"/>
      <c r="G43" s="431"/>
      <c r="H43" s="431"/>
      <c r="I43" s="431"/>
      <c r="J43" s="431"/>
      <c r="K43" s="431"/>
      <c r="L43" s="431"/>
      <c r="M43" s="431"/>
      <c r="N43" s="431"/>
      <c r="O43" s="431"/>
    </row>
    <row r="44" spans="2:15" ht="15.75">
      <c r="B44" s="571"/>
      <c r="C44" s="571"/>
      <c r="D44" s="436"/>
      <c r="E44" s="436"/>
      <c r="F44" s="436"/>
      <c r="G44" s="436"/>
      <c r="H44" s="436"/>
      <c r="I44" s="436"/>
      <c r="J44" s="436"/>
      <c r="K44" s="436"/>
      <c r="L44" s="436"/>
      <c r="M44" s="436"/>
      <c r="N44" s="436"/>
      <c r="O44" s="436"/>
    </row>
    <row r="45" spans="2:15" ht="18.75">
      <c r="B45" s="572"/>
      <c r="C45" s="573"/>
      <c r="D45" s="437"/>
      <c r="E45" s="438"/>
      <c r="F45" s="438"/>
      <c r="G45" s="438"/>
      <c r="H45" s="438"/>
      <c r="I45" s="438"/>
      <c r="J45" s="439"/>
      <c r="K45" s="438"/>
      <c r="L45" s="438"/>
      <c r="M45" s="438"/>
      <c r="N45" s="438"/>
      <c r="O45" s="438"/>
    </row>
    <row r="46" spans="2:15" ht="15.75">
      <c r="B46" s="552"/>
      <c r="C46" s="440"/>
      <c r="D46" s="429"/>
      <c r="E46" s="430"/>
      <c r="F46" s="430"/>
      <c r="G46" s="430"/>
      <c r="H46" s="430"/>
      <c r="I46" s="430"/>
      <c r="J46" s="430"/>
      <c r="K46" s="430"/>
      <c r="L46" s="430"/>
      <c r="M46" s="430"/>
      <c r="N46" s="430"/>
      <c r="O46" s="430"/>
    </row>
    <row r="47" spans="2:15">
      <c r="D47" s="429"/>
    </row>
  </sheetData>
  <mergeCells count="15">
    <mergeCell ref="B42:C42"/>
    <mergeCell ref="B44:C44"/>
    <mergeCell ref="B45:C45"/>
    <mergeCell ref="C2:O2"/>
    <mergeCell ref="C3:O3"/>
    <mergeCell ref="C4:O4"/>
    <mergeCell ref="B35:C35"/>
    <mergeCell ref="B36:C36"/>
    <mergeCell ref="B37:C37"/>
    <mergeCell ref="B38:C38"/>
    <mergeCell ref="B40:C40"/>
    <mergeCell ref="B41:C41"/>
    <mergeCell ref="H26:H27"/>
    <mergeCell ref="B31:C31"/>
    <mergeCell ref="B33:C33"/>
  </mergeCells>
  <pageMargins left="0.7" right="0.7" top="0.75" bottom="0.75" header="0.3" footer="0.3"/>
  <pageSetup scale="7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F15D-234F-4A80-BCD9-806BE82CB756}">
  <sheetPr codeName="Sheet7"/>
  <dimension ref="A1:V374"/>
  <sheetViews>
    <sheetView workbookViewId="0"/>
  </sheetViews>
  <sheetFormatPr defaultColWidth="8.85546875" defaultRowHeight="15"/>
  <cols>
    <col min="1" max="1" width="15.85546875" style="307" customWidth="1"/>
    <col min="2" max="8" width="12.85546875" style="307" customWidth="1"/>
    <col min="9" max="12" width="8.85546875" style="307"/>
    <col min="13" max="13" width="16.85546875" style="307" bestFit="1" customWidth="1"/>
    <col min="14" max="14" width="2.7109375" style="307" customWidth="1"/>
    <col min="15" max="17" width="11.28515625" style="307" bestFit="1" customWidth="1"/>
    <col min="18" max="18" width="11.85546875" style="307" bestFit="1" customWidth="1"/>
    <col min="19" max="16384" width="8.85546875" style="307"/>
  </cols>
  <sheetData>
    <row r="1" spans="1:22">
      <c r="M1" s="308"/>
      <c r="N1" s="308"/>
      <c r="O1" s="308"/>
      <c r="P1" s="308"/>
      <c r="Q1" s="308"/>
      <c r="R1" s="308"/>
      <c r="S1" s="308"/>
      <c r="T1" s="308"/>
      <c r="U1" s="308"/>
      <c r="V1" s="308"/>
    </row>
    <row r="2" spans="1:22">
      <c r="B2" s="307" t="s">
        <v>15</v>
      </c>
      <c r="C2" s="316" t="s">
        <v>240</v>
      </c>
      <c r="D2" s="316" t="s">
        <v>241</v>
      </c>
      <c r="E2" s="316" t="s">
        <v>242</v>
      </c>
      <c r="F2" s="316" t="s">
        <v>243</v>
      </c>
      <c r="G2" s="316" t="s">
        <v>244</v>
      </c>
      <c r="H2" s="316" t="s">
        <v>245</v>
      </c>
      <c r="M2" s="308"/>
      <c r="N2" s="308"/>
      <c r="O2" s="308">
        <v>1271667</v>
      </c>
      <c r="P2" s="308"/>
      <c r="Q2" s="308">
        <v>601238</v>
      </c>
      <c r="R2" s="308"/>
      <c r="S2" s="308"/>
      <c r="T2" s="308"/>
      <c r="U2" s="308"/>
      <c r="V2" s="308"/>
    </row>
    <row r="3" spans="1:22">
      <c r="M3" s="308"/>
      <c r="N3" s="308"/>
      <c r="O3" s="308"/>
      <c r="P3" s="308"/>
      <c r="Q3" s="308">
        <v>475329</v>
      </c>
      <c r="R3" s="308"/>
      <c r="S3" s="308"/>
      <c r="T3" s="308"/>
      <c r="U3" s="308"/>
      <c r="V3" s="308"/>
    </row>
    <row r="4" spans="1:22">
      <c r="B4" s="307" t="s">
        <v>246</v>
      </c>
      <c r="M4" s="308"/>
      <c r="N4" s="308"/>
      <c r="O4" s="308"/>
      <c r="P4" s="308"/>
      <c r="Q4" s="308">
        <v>148011</v>
      </c>
      <c r="R4" s="308"/>
      <c r="S4" s="308"/>
      <c r="T4" s="308"/>
      <c r="U4" s="308"/>
      <c r="V4" s="308"/>
    </row>
    <row r="5" spans="1:22">
      <c r="M5" s="308"/>
      <c r="N5" s="308"/>
      <c r="O5" s="308"/>
      <c r="P5" s="308"/>
      <c r="Q5" s="308">
        <f>SUM(Q2:Q4)</f>
        <v>1224578</v>
      </c>
      <c r="R5" s="308">
        <f>O2-Q5</f>
        <v>47089</v>
      </c>
      <c r="S5" s="308"/>
      <c r="T5" s="308"/>
      <c r="U5" s="308"/>
      <c r="V5" s="308"/>
    </row>
    <row r="6" spans="1:22">
      <c r="B6" s="307" t="s">
        <v>247</v>
      </c>
      <c r="D6" s="308"/>
      <c r="E6" s="308"/>
      <c r="F6" s="308"/>
      <c r="G6" s="308"/>
      <c r="H6" s="308"/>
      <c r="I6" s="308"/>
      <c r="M6" s="308"/>
      <c r="N6" s="308"/>
      <c r="O6" s="308"/>
      <c r="P6" s="308"/>
      <c r="Q6" s="308"/>
      <c r="R6" s="308"/>
      <c r="S6" s="308"/>
      <c r="T6" s="308"/>
      <c r="U6" s="308"/>
      <c r="V6" s="308"/>
    </row>
    <row r="7" spans="1:22">
      <c r="A7" s="307" t="s">
        <v>248</v>
      </c>
      <c r="B7" s="307" t="s">
        <v>29</v>
      </c>
      <c r="C7" s="309">
        <f t="shared" ref="C7:C15" si="0">SUM(D7:F7)</f>
        <v>3635090</v>
      </c>
      <c r="D7" s="308">
        <v>1914909</v>
      </c>
      <c r="E7" s="308">
        <v>-382</v>
      </c>
      <c r="F7" s="308">
        <v>1720563</v>
      </c>
      <c r="G7" s="308"/>
      <c r="H7" s="308">
        <f t="shared" ref="H7:H15" si="1">SUM(D7:F7)</f>
        <v>3635090</v>
      </c>
      <c r="I7" s="308"/>
      <c r="M7" s="308"/>
      <c r="N7" s="308"/>
      <c r="O7" s="308">
        <v>4651591</v>
      </c>
      <c r="P7" s="308">
        <v>4592992</v>
      </c>
      <c r="Q7" s="308"/>
      <c r="R7" s="308"/>
      <c r="S7" s="308"/>
      <c r="T7" s="308"/>
      <c r="U7" s="308"/>
      <c r="V7" s="308"/>
    </row>
    <row r="8" spans="1:22">
      <c r="A8" s="307" t="s">
        <v>248</v>
      </c>
      <c r="B8" s="315" t="s">
        <v>249</v>
      </c>
      <c r="C8" s="309">
        <f t="shared" si="0"/>
        <v>6960</v>
      </c>
      <c r="D8" s="308">
        <v>5661</v>
      </c>
      <c r="E8" s="308">
        <v>0</v>
      </c>
      <c r="F8" s="308">
        <v>1299</v>
      </c>
      <c r="G8" s="308"/>
      <c r="H8" s="308">
        <f t="shared" si="1"/>
        <v>6960</v>
      </c>
      <c r="I8" s="308"/>
      <c r="M8" s="308"/>
      <c r="N8" s="308"/>
      <c r="O8" s="308">
        <v>4050352</v>
      </c>
      <c r="P8" s="308">
        <v>59870</v>
      </c>
      <c r="Q8" s="308"/>
      <c r="R8" s="308"/>
      <c r="S8" s="308"/>
      <c r="T8" s="308"/>
      <c r="U8" s="308"/>
      <c r="V8" s="308"/>
    </row>
    <row r="9" spans="1:22">
      <c r="A9" s="307" t="s">
        <v>248</v>
      </c>
      <c r="B9" s="315" t="s">
        <v>34</v>
      </c>
      <c r="C9" s="309">
        <f t="shared" si="0"/>
        <v>180668</v>
      </c>
      <c r="D9" s="308">
        <v>95916</v>
      </c>
      <c r="E9" s="308"/>
      <c r="F9" s="308">
        <v>84752</v>
      </c>
      <c r="G9" s="308"/>
      <c r="H9" s="308">
        <f t="shared" si="1"/>
        <v>180668</v>
      </c>
      <c r="I9" s="308"/>
      <c r="M9" s="308"/>
      <c r="N9" s="308"/>
      <c r="O9" s="308">
        <f>O7-O8</f>
        <v>601239</v>
      </c>
      <c r="P9" s="308">
        <f>SUM(P7:P8)</f>
        <v>4652862</v>
      </c>
      <c r="Q9" s="308">
        <f>O7-P9</f>
        <v>-1271</v>
      </c>
      <c r="R9" s="308"/>
      <c r="S9" s="308"/>
      <c r="T9" s="308"/>
      <c r="U9" s="308"/>
      <c r="V9" s="308"/>
    </row>
    <row r="10" spans="1:22">
      <c r="A10" s="307" t="s">
        <v>248</v>
      </c>
      <c r="B10" s="307" t="s">
        <v>35</v>
      </c>
      <c r="C10" s="309">
        <f t="shared" si="0"/>
        <v>94917</v>
      </c>
      <c r="D10" s="308">
        <v>76717</v>
      </c>
      <c r="E10" s="308">
        <v>1873</v>
      </c>
      <c r="F10" s="308">
        <v>16327</v>
      </c>
      <c r="G10" s="308"/>
      <c r="H10" s="308">
        <f t="shared" si="1"/>
        <v>94917</v>
      </c>
      <c r="I10" s="308"/>
      <c r="M10" s="308"/>
      <c r="N10" s="308"/>
      <c r="O10" s="308"/>
      <c r="P10" s="308"/>
      <c r="Q10" s="308"/>
      <c r="R10" s="308"/>
      <c r="S10" s="308"/>
      <c r="T10" s="308"/>
      <c r="U10" s="308"/>
      <c r="V10" s="308"/>
    </row>
    <row r="11" spans="1:22">
      <c r="A11" s="307" t="s">
        <v>248</v>
      </c>
      <c r="B11" s="307" t="s">
        <v>250</v>
      </c>
      <c r="C11" s="309">
        <f t="shared" si="0"/>
        <v>206347</v>
      </c>
      <c r="D11" s="308">
        <v>138195</v>
      </c>
      <c r="E11" s="308">
        <v>4832</v>
      </c>
      <c r="F11" s="308">
        <v>63320</v>
      </c>
      <c r="G11" s="308"/>
      <c r="H11" s="308">
        <f t="shared" si="1"/>
        <v>206347</v>
      </c>
      <c r="I11" s="308"/>
      <c r="M11" s="308"/>
      <c r="N11" s="308"/>
      <c r="O11" s="308"/>
      <c r="P11" s="308"/>
      <c r="Q11" s="308"/>
      <c r="R11" s="308">
        <v>530396</v>
      </c>
      <c r="S11" s="308"/>
      <c r="T11" s="308"/>
      <c r="U11" s="308"/>
      <c r="V11" s="308"/>
    </row>
    <row r="12" spans="1:22">
      <c r="A12" s="307" t="s">
        <v>248</v>
      </c>
      <c r="B12" s="307" t="s">
        <v>251</v>
      </c>
      <c r="C12" s="309">
        <f t="shared" si="0"/>
        <v>121477</v>
      </c>
      <c r="D12" s="308"/>
      <c r="E12" s="308">
        <v>0</v>
      </c>
      <c r="F12" s="308">
        <v>121477</v>
      </c>
      <c r="G12" s="308"/>
      <c r="H12" s="308">
        <f t="shared" si="1"/>
        <v>121477</v>
      </c>
      <c r="I12" s="308"/>
      <c r="M12" s="308"/>
      <c r="N12" s="308"/>
      <c r="O12" s="308">
        <v>4076396</v>
      </c>
      <c r="P12" s="308"/>
      <c r="Q12" s="308"/>
      <c r="R12" s="308">
        <v>320852</v>
      </c>
      <c r="S12" s="308"/>
      <c r="T12" s="308"/>
      <c r="U12" s="308"/>
      <c r="V12" s="308"/>
    </row>
    <row r="13" spans="1:22">
      <c r="A13" s="307" t="s">
        <v>248</v>
      </c>
      <c r="B13" s="307" t="s">
        <v>252</v>
      </c>
      <c r="C13" s="309">
        <f t="shared" si="0"/>
        <v>69426</v>
      </c>
      <c r="D13" s="308">
        <v>69426</v>
      </c>
      <c r="E13" s="308">
        <v>0</v>
      </c>
      <c r="F13" s="308">
        <v>0</v>
      </c>
      <c r="G13" s="308"/>
      <c r="H13" s="308">
        <f t="shared" si="1"/>
        <v>69426</v>
      </c>
      <c r="I13" s="308"/>
      <c r="M13" s="308"/>
      <c r="N13" s="308"/>
      <c r="O13" s="308">
        <v>3347128</v>
      </c>
      <c r="P13" s="308"/>
      <c r="Q13" s="308"/>
      <c r="R13" s="308">
        <v>136816</v>
      </c>
      <c r="S13" s="308"/>
      <c r="T13" s="308"/>
      <c r="U13" s="308"/>
      <c r="V13" s="308"/>
    </row>
    <row r="14" spans="1:22">
      <c r="A14" s="307" t="s">
        <v>253</v>
      </c>
      <c r="B14" s="307" t="s">
        <v>254</v>
      </c>
      <c r="C14" s="309">
        <f t="shared" si="0"/>
        <v>134079</v>
      </c>
      <c r="D14" s="308">
        <v>105961</v>
      </c>
      <c r="E14" s="308">
        <v>0</v>
      </c>
      <c r="F14" s="308">
        <v>28118</v>
      </c>
      <c r="G14" s="308"/>
      <c r="H14" s="308">
        <f t="shared" si="1"/>
        <v>134079</v>
      </c>
      <c r="I14" s="308"/>
      <c r="M14" s="308"/>
      <c r="N14" s="308"/>
      <c r="O14" s="308">
        <v>389727</v>
      </c>
      <c r="P14" s="308"/>
      <c r="Q14" s="308"/>
      <c r="R14" s="308">
        <f>SUM(R11:R13)</f>
        <v>988064</v>
      </c>
      <c r="S14" s="308"/>
      <c r="T14" s="308"/>
      <c r="U14" s="308"/>
      <c r="V14" s="308"/>
    </row>
    <row r="15" spans="1:22">
      <c r="B15" s="307" t="s">
        <v>255</v>
      </c>
      <c r="C15" s="309">
        <f t="shared" si="0"/>
        <v>4448964</v>
      </c>
      <c r="D15" s="308">
        <f>SUM(D7:D14)</f>
        <v>2406785</v>
      </c>
      <c r="E15" s="308">
        <f>SUM(E7:E14)</f>
        <v>6323</v>
      </c>
      <c r="F15" s="308">
        <f>SUM(F7:F14)</f>
        <v>2035856</v>
      </c>
      <c r="G15" s="308"/>
      <c r="H15" s="308">
        <f t="shared" si="1"/>
        <v>4448964</v>
      </c>
      <c r="I15" s="308"/>
      <c r="M15" s="308"/>
      <c r="N15" s="308"/>
      <c r="O15" s="308">
        <v>172398</v>
      </c>
      <c r="P15" s="308"/>
      <c r="Q15" s="308"/>
      <c r="R15" s="308">
        <v>-34148</v>
      </c>
      <c r="S15" s="308"/>
      <c r="T15" s="308"/>
      <c r="U15" s="308"/>
      <c r="V15" s="308"/>
    </row>
    <row r="16" spans="1:22">
      <c r="C16" s="309"/>
      <c r="D16" s="308"/>
      <c r="E16" s="308"/>
      <c r="F16" s="308"/>
      <c r="G16" s="308"/>
      <c r="H16" s="308"/>
      <c r="I16" s="308"/>
      <c r="M16" s="308"/>
      <c r="N16" s="308"/>
      <c r="O16" s="308">
        <v>-59870</v>
      </c>
      <c r="P16" s="308"/>
      <c r="Q16" s="308"/>
      <c r="R16" s="308">
        <f>R14+R15</f>
        <v>953916</v>
      </c>
      <c r="S16" s="308"/>
      <c r="T16" s="308"/>
      <c r="U16" s="308"/>
      <c r="V16" s="308"/>
    </row>
    <row r="17" spans="1:22">
      <c r="B17" s="307" t="s">
        <v>256</v>
      </c>
      <c r="C17" s="309"/>
      <c r="D17" s="308"/>
      <c r="E17" s="308"/>
      <c r="F17" s="308"/>
      <c r="G17" s="308"/>
      <c r="H17" s="308"/>
      <c r="I17" s="308"/>
      <c r="M17" s="308"/>
      <c r="N17" s="308"/>
      <c r="O17" s="308">
        <v>-54667</v>
      </c>
      <c r="P17" s="308">
        <v>537739</v>
      </c>
      <c r="Q17" s="308"/>
      <c r="R17" s="308">
        <v>-1110653</v>
      </c>
      <c r="S17" s="308"/>
      <c r="T17" s="308"/>
      <c r="U17" s="308"/>
      <c r="V17" s="308"/>
    </row>
    <row r="18" spans="1:22">
      <c r="A18" s="307" t="s">
        <v>256</v>
      </c>
      <c r="B18" s="307" t="s">
        <v>257</v>
      </c>
      <c r="C18" s="309">
        <f>SUM(D18:F18)</f>
        <v>1171096</v>
      </c>
      <c r="D18" s="308">
        <v>723248</v>
      </c>
      <c r="E18" s="308">
        <v>139496</v>
      </c>
      <c r="F18" s="308">
        <v>308352</v>
      </c>
      <c r="G18" s="308"/>
      <c r="H18" s="308">
        <f>SUM(D18:F18)</f>
        <v>1171096</v>
      </c>
      <c r="I18" s="308"/>
      <c r="M18" s="308"/>
      <c r="N18" s="308"/>
      <c r="O18" s="308">
        <v>276</v>
      </c>
      <c r="P18" s="308">
        <v>-382</v>
      </c>
      <c r="Q18" s="308"/>
      <c r="R18" s="308">
        <f>SUM(R16:R17)</f>
        <v>-156737</v>
      </c>
      <c r="S18" s="308"/>
      <c r="T18" s="308"/>
      <c r="U18" s="308"/>
      <c r="V18" s="308"/>
    </row>
    <row r="19" spans="1:22">
      <c r="A19" s="307" t="s">
        <v>256</v>
      </c>
      <c r="B19" s="307" t="s">
        <v>258</v>
      </c>
      <c r="C19" s="309">
        <f>SUM(D19:F19)</f>
        <v>638970</v>
      </c>
      <c r="D19" s="308">
        <v>236265</v>
      </c>
      <c r="E19" s="308">
        <v>82781</v>
      </c>
      <c r="F19" s="308">
        <v>319924</v>
      </c>
      <c r="G19" s="308"/>
      <c r="H19" s="308">
        <f>SUM(D19:F19)</f>
        <v>638970</v>
      </c>
      <c r="I19" s="308"/>
      <c r="M19" s="308"/>
      <c r="N19" s="308"/>
      <c r="O19" s="308"/>
      <c r="P19" s="308">
        <f>P17+P18</f>
        <v>537357</v>
      </c>
      <c r="Q19" s="308"/>
      <c r="R19" s="308"/>
      <c r="S19" s="308"/>
      <c r="T19" s="308"/>
      <c r="U19" s="308"/>
      <c r="V19" s="308"/>
    </row>
    <row r="20" spans="1:22">
      <c r="A20" s="307" t="s">
        <v>256</v>
      </c>
      <c r="B20" s="307" t="s">
        <v>259</v>
      </c>
      <c r="C20" s="309">
        <f>SUM(D20:F20)</f>
        <v>-32017</v>
      </c>
      <c r="D20" s="308">
        <v>0</v>
      </c>
      <c r="E20" s="308">
        <v>-32017</v>
      </c>
      <c r="F20" s="308">
        <v>0</v>
      </c>
      <c r="G20" s="308"/>
      <c r="H20" s="308">
        <f>SUM(D20:F20)</f>
        <v>-32017</v>
      </c>
      <c r="I20" s="308"/>
      <c r="M20" s="308"/>
      <c r="N20" s="308"/>
      <c r="O20" s="308">
        <f>SUM(O12:O18)</f>
        <v>7871388</v>
      </c>
      <c r="P20" s="308"/>
      <c r="Q20" s="308"/>
      <c r="R20" s="308"/>
      <c r="S20" s="308"/>
      <c r="T20" s="308"/>
      <c r="U20" s="308"/>
      <c r="V20" s="308"/>
    </row>
    <row r="21" spans="1:22">
      <c r="B21" s="307" t="s">
        <v>260</v>
      </c>
      <c r="C21" s="309">
        <f>SUM(D21:F21)</f>
        <v>1778049</v>
      </c>
      <c r="D21" s="308">
        <f>SUM(D18:D20)</f>
        <v>959513</v>
      </c>
      <c r="E21" s="308">
        <f>SUM(E18:E20)</f>
        <v>190260</v>
      </c>
      <c r="F21" s="308">
        <f>SUM(F18:F20)</f>
        <v>628276</v>
      </c>
      <c r="G21" s="308"/>
      <c r="H21" s="308">
        <f>SUM(D21:F21)</f>
        <v>1778049</v>
      </c>
      <c r="I21" s="308"/>
      <c r="M21" s="308"/>
      <c r="N21" s="308"/>
      <c r="O21" s="308"/>
      <c r="P21" s="308"/>
      <c r="Q21" s="308"/>
      <c r="R21" s="308"/>
      <c r="S21" s="308"/>
      <c r="T21" s="308"/>
      <c r="U21" s="308"/>
      <c r="V21" s="308"/>
    </row>
    <row r="22" spans="1:22">
      <c r="C22" s="309"/>
      <c r="D22" s="308"/>
      <c r="E22" s="308"/>
      <c r="F22" s="308"/>
      <c r="G22" s="308"/>
      <c r="H22" s="308"/>
      <c r="I22" s="308"/>
      <c r="M22" s="308"/>
      <c r="N22" s="308"/>
      <c r="O22" s="308">
        <v>7709431</v>
      </c>
      <c r="P22" s="308"/>
      <c r="Q22" s="308"/>
      <c r="R22" s="308"/>
      <c r="S22" s="308"/>
      <c r="T22" s="308"/>
      <c r="U22" s="308"/>
      <c r="V22" s="308"/>
    </row>
    <row r="23" spans="1:22">
      <c r="B23" s="307" t="s">
        <v>261</v>
      </c>
      <c r="C23" s="309"/>
      <c r="E23" s="308"/>
      <c r="F23" s="308"/>
      <c r="G23" s="308"/>
      <c r="H23" s="308"/>
      <c r="I23" s="308"/>
      <c r="M23" s="308"/>
      <c r="N23" s="308"/>
      <c r="O23" s="308">
        <f>O22-O20</f>
        <v>-161957</v>
      </c>
      <c r="P23" s="308"/>
      <c r="Q23" s="308">
        <v>133332</v>
      </c>
      <c r="R23" s="308">
        <v>15954</v>
      </c>
      <c r="S23" s="308"/>
      <c r="T23" s="308"/>
      <c r="U23" s="308"/>
      <c r="V23" s="308"/>
    </row>
    <row r="24" spans="1:22">
      <c r="A24" s="307" t="s">
        <v>253</v>
      </c>
      <c r="B24" s="314" t="s">
        <v>262</v>
      </c>
      <c r="C24" s="309">
        <f t="shared" ref="C24:C39" si="2">SUM(D24:F24)</f>
        <v>166470</v>
      </c>
      <c r="D24" s="308">
        <v>96101</v>
      </c>
      <c r="E24" s="308">
        <v>3757</v>
      </c>
      <c r="F24" s="308">
        <v>66612</v>
      </c>
      <c r="G24" s="308"/>
      <c r="H24" s="308">
        <f t="shared" ref="H24:H39" si="3">SUM(D24:F24)</f>
        <v>166470</v>
      </c>
      <c r="I24" s="308"/>
      <c r="M24" s="308"/>
      <c r="N24" s="308"/>
      <c r="O24" s="308"/>
      <c r="P24" s="308"/>
      <c r="Q24" s="308">
        <v>117147</v>
      </c>
      <c r="R24" s="308">
        <v>131716</v>
      </c>
      <c r="S24" s="308"/>
      <c r="T24" s="308"/>
      <c r="U24" s="308"/>
      <c r="V24" s="308"/>
    </row>
    <row r="25" spans="1:22">
      <c r="A25" s="307" t="s">
        <v>253</v>
      </c>
      <c r="B25" s="314" t="s">
        <v>263</v>
      </c>
      <c r="C25" s="309">
        <f t="shared" si="2"/>
        <v>4385</v>
      </c>
      <c r="D25" s="308">
        <v>4385</v>
      </c>
      <c r="E25" s="308">
        <v>0</v>
      </c>
      <c r="F25" s="308">
        <v>0</v>
      </c>
      <c r="G25" s="308"/>
      <c r="H25" s="308">
        <f t="shared" si="3"/>
        <v>4385</v>
      </c>
      <c r="I25" s="308"/>
      <c r="M25" s="308"/>
      <c r="N25" s="308"/>
      <c r="O25" s="308">
        <f>-1-(O23/O20)</f>
        <v>-0.97942459449337271</v>
      </c>
      <c r="P25" s="308"/>
      <c r="Q25" s="308">
        <v>34059</v>
      </c>
      <c r="R25" s="308"/>
      <c r="S25" s="308"/>
      <c r="T25" s="308"/>
      <c r="U25" s="308"/>
      <c r="V25" s="308"/>
    </row>
    <row r="26" spans="1:22">
      <c r="A26" s="307" t="s">
        <v>256</v>
      </c>
      <c r="B26" s="307" t="s">
        <v>264</v>
      </c>
      <c r="C26" s="309">
        <f t="shared" si="2"/>
        <v>29974</v>
      </c>
      <c r="D26" s="308">
        <v>19408</v>
      </c>
      <c r="E26" s="308">
        <v>3472</v>
      </c>
      <c r="F26" s="308">
        <v>7094</v>
      </c>
      <c r="G26" s="308"/>
      <c r="H26" s="308">
        <f t="shared" si="3"/>
        <v>29974</v>
      </c>
      <c r="I26" s="308"/>
      <c r="M26" s="308"/>
      <c r="N26" s="308"/>
      <c r="O26" s="308"/>
      <c r="P26" s="308"/>
      <c r="Q26" s="308">
        <v>15954</v>
      </c>
      <c r="R26" s="308"/>
      <c r="S26" s="308"/>
      <c r="T26" s="308"/>
      <c r="U26" s="308"/>
      <c r="V26" s="308"/>
    </row>
    <row r="27" spans="1:22">
      <c r="B27" s="307" t="s">
        <v>265</v>
      </c>
      <c r="C27" s="309">
        <f t="shared" si="2"/>
        <v>0</v>
      </c>
      <c r="D27" s="308">
        <v>0</v>
      </c>
      <c r="E27" s="308">
        <v>0</v>
      </c>
      <c r="F27" s="308">
        <v>0</v>
      </c>
      <c r="G27" s="308"/>
      <c r="H27" s="308">
        <f t="shared" si="3"/>
        <v>0</v>
      </c>
      <c r="I27" s="308"/>
      <c r="M27" s="308"/>
      <c r="N27" s="308"/>
      <c r="O27" s="308"/>
      <c r="P27" s="308"/>
      <c r="Q27" s="308">
        <v>1011807</v>
      </c>
      <c r="R27" s="308"/>
      <c r="S27" s="308"/>
      <c r="T27" s="308"/>
      <c r="U27" s="308"/>
      <c r="V27" s="308"/>
    </row>
    <row r="28" spans="1:22">
      <c r="A28" s="307" t="s">
        <v>256</v>
      </c>
      <c r="B28" s="313" t="s">
        <v>266</v>
      </c>
      <c r="C28" s="312">
        <f t="shared" si="2"/>
        <v>355893</v>
      </c>
      <c r="D28" s="311">
        <v>183496</v>
      </c>
      <c r="E28" s="311">
        <v>63575</v>
      </c>
      <c r="F28" s="311">
        <v>108822</v>
      </c>
      <c r="G28" s="308"/>
      <c r="H28" s="308">
        <f t="shared" si="3"/>
        <v>355893</v>
      </c>
      <c r="I28" s="308"/>
      <c r="M28" s="308"/>
      <c r="N28" s="308"/>
      <c r="O28" s="308"/>
      <c r="P28" s="308"/>
      <c r="Q28" s="308"/>
      <c r="R28" s="308"/>
      <c r="S28" s="308"/>
      <c r="T28" s="308"/>
      <c r="U28" s="308"/>
      <c r="V28" s="308"/>
    </row>
    <row r="29" spans="1:22">
      <c r="A29" s="307" t="s">
        <v>256</v>
      </c>
      <c r="B29" s="307" t="s">
        <v>267</v>
      </c>
      <c r="C29" s="309">
        <f t="shared" si="2"/>
        <v>177233</v>
      </c>
      <c r="D29" s="308">
        <v>77804</v>
      </c>
      <c r="E29" s="308">
        <v>23956</v>
      </c>
      <c r="F29" s="308">
        <v>75473</v>
      </c>
      <c r="G29" s="308"/>
      <c r="H29" s="308">
        <f t="shared" si="3"/>
        <v>177233</v>
      </c>
      <c r="I29" s="308"/>
      <c r="M29" s="308"/>
      <c r="N29" s="308"/>
      <c r="O29" s="308"/>
      <c r="P29" s="308"/>
      <c r="Q29" s="308"/>
      <c r="R29" s="308"/>
      <c r="S29" s="308"/>
      <c r="T29" s="308"/>
      <c r="U29" s="308"/>
      <c r="V29" s="308"/>
    </row>
    <row r="30" spans="1:22">
      <c r="A30" s="307" t="s">
        <v>256</v>
      </c>
      <c r="B30" s="313" t="s">
        <v>268</v>
      </c>
      <c r="C30" s="312">
        <f t="shared" si="2"/>
        <v>44374</v>
      </c>
      <c r="D30" s="311">
        <v>15905</v>
      </c>
      <c r="E30" s="311">
        <v>11410</v>
      </c>
      <c r="F30" s="311">
        <v>17059</v>
      </c>
      <c r="G30" s="308"/>
      <c r="H30" s="308">
        <f t="shared" si="3"/>
        <v>44374</v>
      </c>
      <c r="I30" s="308"/>
      <c r="M30" s="308"/>
      <c r="N30" s="308"/>
      <c r="O30" s="308"/>
      <c r="P30" s="308"/>
      <c r="Q30" s="308">
        <f>SUM(Q23:Q29)</f>
        <v>1312299</v>
      </c>
      <c r="R30" s="308"/>
      <c r="S30" s="308"/>
      <c r="T30" s="308"/>
      <c r="U30" s="308"/>
      <c r="V30" s="308"/>
    </row>
    <row r="31" spans="1:22">
      <c r="A31" s="307" t="s">
        <v>253</v>
      </c>
      <c r="B31" s="310" t="s">
        <v>269</v>
      </c>
      <c r="C31" s="309">
        <f t="shared" si="2"/>
        <v>53729</v>
      </c>
      <c r="D31" s="308">
        <v>27996</v>
      </c>
      <c r="E31" s="308">
        <v>3167</v>
      </c>
      <c r="F31" s="308">
        <v>22566</v>
      </c>
      <c r="G31" s="308"/>
      <c r="H31" s="308">
        <f t="shared" si="3"/>
        <v>53729</v>
      </c>
      <c r="I31" s="308"/>
      <c r="M31" s="308"/>
      <c r="N31" s="308"/>
      <c r="O31" s="308"/>
      <c r="P31" s="308"/>
      <c r="Q31" s="308"/>
      <c r="R31" s="308"/>
      <c r="S31" s="308"/>
      <c r="T31" s="308"/>
      <c r="U31" s="308"/>
      <c r="V31" s="308"/>
    </row>
    <row r="32" spans="1:22">
      <c r="A32" s="307" t="s">
        <v>253</v>
      </c>
      <c r="B32" s="310" t="s">
        <v>270</v>
      </c>
      <c r="C32" s="309">
        <f t="shared" si="2"/>
        <v>44005</v>
      </c>
      <c r="D32" s="308">
        <v>10274</v>
      </c>
      <c r="E32" s="308">
        <v>6807</v>
      </c>
      <c r="F32" s="308">
        <v>26924</v>
      </c>
      <c r="G32" s="308"/>
      <c r="H32" s="308">
        <f t="shared" si="3"/>
        <v>44005</v>
      </c>
      <c r="I32" s="308"/>
      <c r="M32" s="308"/>
      <c r="N32" s="308"/>
      <c r="O32" s="308"/>
      <c r="P32" s="308"/>
      <c r="Q32" s="308">
        <v>1405438</v>
      </c>
      <c r="R32" s="308"/>
      <c r="S32" s="308"/>
      <c r="T32" s="308"/>
      <c r="U32" s="308"/>
      <c r="V32" s="308"/>
    </row>
    <row r="33" spans="1:22">
      <c r="A33" s="307" t="s">
        <v>253</v>
      </c>
      <c r="B33" s="310" t="s">
        <v>271</v>
      </c>
      <c r="C33" s="309">
        <f t="shared" si="2"/>
        <v>315</v>
      </c>
      <c r="D33" s="308">
        <v>315</v>
      </c>
      <c r="E33" s="308">
        <v>0</v>
      </c>
      <c r="F33" s="308">
        <v>0</v>
      </c>
      <c r="G33" s="308"/>
      <c r="H33" s="308">
        <f t="shared" si="3"/>
        <v>315</v>
      </c>
      <c r="I33" s="308"/>
      <c r="M33" s="308"/>
      <c r="N33" s="308"/>
      <c r="O33" s="308"/>
      <c r="P33" s="308"/>
      <c r="Q33" s="308">
        <f>Q32-Q30</f>
        <v>93139</v>
      </c>
      <c r="R33" s="308"/>
      <c r="S33" s="308"/>
      <c r="T33" s="308"/>
      <c r="U33" s="308"/>
      <c r="V33" s="308"/>
    </row>
    <row r="34" spans="1:22">
      <c r="A34" s="307" t="s">
        <v>253</v>
      </c>
      <c r="B34" s="307" t="s">
        <v>272</v>
      </c>
      <c r="C34" s="309">
        <f t="shared" si="2"/>
        <v>126000</v>
      </c>
      <c r="D34" s="308">
        <v>0</v>
      </c>
      <c r="E34" s="308">
        <v>30000</v>
      </c>
      <c r="F34" s="308">
        <v>96000</v>
      </c>
      <c r="G34" s="308"/>
      <c r="H34" s="308">
        <f t="shared" si="3"/>
        <v>126000</v>
      </c>
      <c r="I34" s="308"/>
      <c r="M34" s="308"/>
      <c r="N34" s="308"/>
      <c r="O34" s="308"/>
      <c r="P34" s="308"/>
      <c r="R34" s="308"/>
      <c r="S34" s="308"/>
      <c r="T34" s="308"/>
      <c r="U34" s="308"/>
      <c r="V34" s="308"/>
    </row>
    <row r="35" spans="1:22">
      <c r="A35" s="307" t="s">
        <v>253</v>
      </c>
      <c r="B35" s="307" t="s">
        <v>273</v>
      </c>
      <c r="C35" s="309">
        <f t="shared" si="2"/>
        <v>137971</v>
      </c>
      <c r="D35" s="308">
        <v>67316</v>
      </c>
      <c r="E35" s="308">
        <v>22352</v>
      </c>
      <c r="F35" s="308">
        <v>48303</v>
      </c>
      <c r="G35" s="308"/>
      <c r="H35" s="308">
        <f t="shared" si="3"/>
        <v>137971</v>
      </c>
      <c r="I35" s="308"/>
      <c r="M35" s="308"/>
      <c r="N35" s="308"/>
      <c r="O35" s="308"/>
      <c r="P35" s="308"/>
      <c r="Q35" s="307">
        <f>Q33/Q32</f>
        <v>6.6270443804707146E-2</v>
      </c>
      <c r="R35" s="308"/>
      <c r="S35" s="308"/>
      <c r="T35" s="308"/>
      <c r="U35" s="308"/>
      <c r="V35" s="308"/>
    </row>
    <row r="36" spans="1:22">
      <c r="A36" s="307" t="s">
        <v>253</v>
      </c>
      <c r="B36" s="310" t="s">
        <v>61</v>
      </c>
      <c r="C36" s="309">
        <f t="shared" si="2"/>
        <v>2960</v>
      </c>
      <c r="D36" s="308">
        <v>2960</v>
      </c>
      <c r="E36" s="308">
        <v>0</v>
      </c>
      <c r="F36" s="308">
        <v>0</v>
      </c>
      <c r="G36" s="308"/>
      <c r="H36" s="308">
        <f t="shared" si="3"/>
        <v>2960</v>
      </c>
      <c r="I36" s="308"/>
      <c r="M36" s="308"/>
      <c r="N36" s="308"/>
      <c r="O36" s="308"/>
      <c r="P36" s="308"/>
      <c r="R36" s="308"/>
      <c r="S36" s="308"/>
      <c r="T36" s="308"/>
      <c r="U36" s="308"/>
      <c r="V36" s="308"/>
    </row>
    <row r="37" spans="1:22">
      <c r="A37" s="307" t="s">
        <v>253</v>
      </c>
      <c r="B37" s="307" t="s">
        <v>274</v>
      </c>
      <c r="C37" s="309">
        <f t="shared" si="2"/>
        <v>238879</v>
      </c>
      <c r="D37" s="308">
        <v>110041</v>
      </c>
      <c r="E37" s="308">
        <v>24643</v>
      </c>
      <c r="F37" s="308">
        <v>104195</v>
      </c>
      <c r="G37" s="308"/>
      <c r="H37" s="308">
        <f t="shared" si="3"/>
        <v>238879</v>
      </c>
      <c r="I37" s="308"/>
    </row>
    <row r="38" spans="1:22">
      <c r="A38" s="307" t="s">
        <v>275</v>
      </c>
      <c r="B38" s="307" t="s">
        <v>276</v>
      </c>
      <c r="C38" s="309">
        <f t="shared" si="2"/>
        <v>83397</v>
      </c>
      <c r="D38" s="308">
        <v>68402</v>
      </c>
      <c r="E38" s="308">
        <v>0</v>
      </c>
      <c r="F38" s="308">
        <v>14995</v>
      </c>
      <c r="G38" s="308"/>
      <c r="H38" s="308">
        <f t="shared" si="3"/>
        <v>83397</v>
      </c>
      <c r="I38" s="308"/>
    </row>
    <row r="39" spans="1:22">
      <c r="B39" s="307" t="s">
        <v>277</v>
      </c>
      <c r="C39" s="309">
        <f t="shared" si="2"/>
        <v>1465585</v>
      </c>
      <c r="D39" s="308">
        <f>SUM(D24:D38)</f>
        <v>684403</v>
      </c>
      <c r="E39" s="308">
        <f>SUM(E24:E38)</f>
        <v>193139</v>
      </c>
      <c r="F39" s="308">
        <f>SUM(F24:F38)</f>
        <v>588043</v>
      </c>
      <c r="G39" s="308"/>
      <c r="H39" s="308">
        <f t="shared" si="3"/>
        <v>1465585</v>
      </c>
      <c r="I39" s="308"/>
    </row>
    <row r="40" spans="1:22">
      <c r="C40" s="309"/>
      <c r="D40" s="308"/>
      <c r="E40" s="308"/>
      <c r="F40" s="308"/>
      <c r="G40" s="308"/>
      <c r="H40" s="308"/>
      <c r="I40" s="308"/>
    </row>
    <row r="41" spans="1:22">
      <c r="B41" s="307" t="s">
        <v>278</v>
      </c>
      <c r="C41" s="309">
        <f>SUM(D41:F41)</f>
        <v>7692598</v>
      </c>
      <c r="D41" s="308">
        <f>D15+D21+D39</f>
        <v>4050701</v>
      </c>
      <c r="E41" s="308">
        <f>E15+E21+E39</f>
        <v>389722</v>
      </c>
      <c r="F41" s="308">
        <f>F15+F21+F39</f>
        <v>3252175</v>
      </c>
      <c r="G41" s="308">
        <v>172398</v>
      </c>
      <c r="H41" s="308">
        <f>SUM(D41:F41)</f>
        <v>7692598</v>
      </c>
      <c r="I41" s="308"/>
    </row>
    <row r="42" spans="1:22">
      <c r="C42" s="309"/>
      <c r="D42" s="308"/>
      <c r="E42" s="308"/>
      <c r="F42" s="308"/>
      <c r="G42" s="308"/>
      <c r="H42" s="308"/>
      <c r="I42" s="308"/>
    </row>
    <row r="43" spans="1:22">
      <c r="B43" s="307" t="s">
        <v>279</v>
      </c>
      <c r="C43" s="309">
        <f>SUM(D43:F43)</f>
        <v>8916843</v>
      </c>
      <c r="D43" s="308">
        <v>4651591</v>
      </c>
      <c r="E43" s="308">
        <v>537739</v>
      </c>
      <c r="F43" s="308">
        <v>3727513</v>
      </c>
      <c r="G43" s="308"/>
      <c r="H43" s="308">
        <f>SUM(D43:F43)</f>
        <v>8916843</v>
      </c>
      <c r="I43" s="308"/>
    </row>
    <row r="44" spans="1:22">
      <c r="C44" s="309"/>
      <c r="D44" s="308"/>
      <c r="E44" s="308"/>
      <c r="F44" s="308"/>
      <c r="G44" s="308"/>
      <c r="H44" s="308"/>
      <c r="I44" s="308"/>
    </row>
    <row r="45" spans="1:22">
      <c r="B45" s="307" t="s">
        <v>280</v>
      </c>
      <c r="C45" s="309">
        <f>SUM(D45:F45)</f>
        <v>1224245</v>
      </c>
      <c r="D45" s="308">
        <f>D43-D41</f>
        <v>600890</v>
      </c>
      <c r="E45" s="308">
        <f>E43-E41</f>
        <v>148017</v>
      </c>
      <c r="F45" s="308">
        <f>F43-F41</f>
        <v>475338</v>
      </c>
      <c r="G45" s="308"/>
      <c r="H45" s="308">
        <f>SUM(D45:F45)</f>
        <v>1224245</v>
      </c>
      <c r="I45" s="308"/>
    </row>
    <row r="46" spans="1:22">
      <c r="C46" s="309"/>
      <c r="D46" s="308"/>
      <c r="E46" s="308"/>
      <c r="F46" s="308"/>
      <c r="G46" s="308"/>
      <c r="H46" s="308"/>
      <c r="I46" s="308"/>
    </row>
    <row r="47" spans="1:22">
      <c r="B47" s="307" t="s">
        <v>281</v>
      </c>
      <c r="C47" s="309">
        <f>SUM(D47:F47)</f>
        <v>313472</v>
      </c>
      <c r="D47" s="308">
        <v>68571</v>
      </c>
      <c r="E47" s="308">
        <v>0</v>
      </c>
      <c r="F47" s="308">
        <v>244901</v>
      </c>
      <c r="G47" s="308"/>
      <c r="H47" s="308">
        <f>SUM(D47:F47)</f>
        <v>313472</v>
      </c>
      <c r="I47" s="308"/>
    </row>
    <row r="48" spans="1:22">
      <c r="B48" s="307" t="s">
        <v>282</v>
      </c>
      <c r="C48" s="309">
        <f>SUM(D48:F48)</f>
        <v>226313</v>
      </c>
      <c r="D48" s="308">
        <v>73583</v>
      </c>
      <c r="E48" s="308">
        <v>0</v>
      </c>
      <c r="F48" s="308">
        <v>152730</v>
      </c>
      <c r="G48" s="308"/>
      <c r="H48" s="308">
        <f>SUM(D48:F48)</f>
        <v>226313</v>
      </c>
      <c r="I48" s="308"/>
    </row>
    <row r="49" spans="2:9">
      <c r="D49" s="308"/>
      <c r="E49" s="308"/>
      <c r="F49" s="308"/>
      <c r="G49" s="308"/>
      <c r="H49" s="308"/>
      <c r="I49" s="308"/>
    </row>
    <row r="50" spans="2:9">
      <c r="B50" s="307" t="s">
        <v>283</v>
      </c>
      <c r="C50" s="308">
        <f>SUM(D50:G50)</f>
        <v>7985649</v>
      </c>
      <c r="D50" s="308">
        <v>4076396</v>
      </c>
      <c r="E50" s="308">
        <v>389727</v>
      </c>
      <c r="F50" s="308">
        <v>3347128</v>
      </c>
      <c r="G50" s="308">
        <f>172398</f>
        <v>172398</v>
      </c>
      <c r="H50" s="308">
        <f>SUM(D50:G50)</f>
        <v>7985649</v>
      </c>
      <c r="I50" s="308"/>
    </row>
    <row r="51" spans="2:9">
      <c r="D51" s="308"/>
      <c r="E51" s="308"/>
      <c r="F51" s="308"/>
      <c r="G51" s="308"/>
      <c r="H51" s="308"/>
      <c r="I51" s="308"/>
    </row>
    <row r="52" spans="2:9">
      <c r="D52" s="308"/>
      <c r="E52" s="308"/>
      <c r="F52" s="308"/>
      <c r="G52" s="308"/>
      <c r="H52" s="308"/>
      <c r="I52" s="308"/>
    </row>
    <row r="53" spans="2:9">
      <c r="B53" s="307" t="s">
        <v>284</v>
      </c>
      <c r="D53" s="308"/>
      <c r="E53" s="308"/>
      <c r="F53" s="308"/>
      <c r="G53" s="308"/>
      <c r="H53" s="308"/>
      <c r="I53" s="308"/>
    </row>
    <row r="54" spans="2:9">
      <c r="D54" s="308"/>
      <c r="E54" s="308"/>
      <c r="F54" s="308"/>
      <c r="G54" s="308"/>
      <c r="H54" s="308"/>
      <c r="I54" s="308"/>
    </row>
    <row r="55" spans="2:9">
      <c r="D55" s="308"/>
      <c r="E55" s="308"/>
      <c r="F55" s="308"/>
      <c r="G55" s="308"/>
      <c r="H55" s="308"/>
      <c r="I55" s="308"/>
    </row>
    <row r="56" spans="2:9">
      <c r="D56" s="308">
        <v>4050352</v>
      </c>
      <c r="E56" s="308">
        <v>389727</v>
      </c>
      <c r="F56" s="308">
        <v>3252184</v>
      </c>
      <c r="G56" s="308"/>
      <c r="H56" s="308"/>
      <c r="I56" s="308"/>
    </row>
    <row r="57" spans="2:9">
      <c r="D57" s="308">
        <f>D56-D41</f>
        <v>-349</v>
      </c>
      <c r="E57" s="308">
        <f>E56-E41</f>
        <v>5</v>
      </c>
      <c r="F57" s="308">
        <f>F56-F41</f>
        <v>9</v>
      </c>
      <c r="G57" s="308"/>
      <c r="H57" s="308"/>
      <c r="I57" s="308"/>
    </row>
    <row r="58" spans="2:9">
      <c r="D58" s="308"/>
      <c r="E58" s="308"/>
      <c r="F58" s="308"/>
      <c r="G58" s="308"/>
      <c r="H58" s="308"/>
      <c r="I58" s="308"/>
    </row>
    <row r="59" spans="2:9">
      <c r="D59" s="308"/>
      <c r="E59" s="308"/>
      <c r="F59" s="308"/>
      <c r="G59" s="308"/>
      <c r="H59" s="308"/>
      <c r="I59" s="308"/>
    </row>
    <row r="60" spans="2:9">
      <c r="D60" s="308"/>
      <c r="E60" s="308"/>
      <c r="F60" s="308"/>
      <c r="G60" s="308"/>
      <c r="H60" s="308"/>
      <c r="I60" s="308"/>
    </row>
    <row r="61" spans="2:9">
      <c r="D61" s="308"/>
      <c r="E61" s="308"/>
      <c r="F61" s="308"/>
      <c r="G61" s="308"/>
      <c r="H61" s="308"/>
      <c r="I61" s="308"/>
    </row>
    <row r="62" spans="2:9">
      <c r="D62" s="308"/>
      <c r="E62" s="308"/>
      <c r="F62" s="308"/>
      <c r="G62" s="308"/>
      <c r="H62" s="308"/>
      <c r="I62" s="308"/>
    </row>
    <row r="63" spans="2:9">
      <c r="D63" s="308"/>
      <c r="E63" s="308"/>
      <c r="F63" s="308"/>
      <c r="G63" s="308"/>
      <c r="H63" s="308"/>
      <c r="I63" s="308"/>
    </row>
    <row r="64" spans="2:9">
      <c r="D64" s="308"/>
      <c r="E64" s="308"/>
      <c r="F64" s="308"/>
      <c r="G64" s="308"/>
      <c r="H64" s="308"/>
      <c r="I64" s="308"/>
    </row>
    <row r="65" spans="4:9">
      <c r="D65" s="308"/>
      <c r="E65" s="308"/>
      <c r="F65" s="308"/>
      <c r="G65" s="308"/>
      <c r="H65" s="308"/>
      <c r="I65" s="308"/>
    </row>
    <row r="66" spans="4:9">
      <c r="D66" s="308"/>
      <c r="E66" s="308"/>
      <c r="F66" s="308"/>
      <c r="G66" s="308"/>
      <c r="H66" s="308"/>
      <c r="I66" s="308"/>
    </row>
    <row r="67" spans="4:9">
      <c r="D67" s="308"/>
      <c r="E67" s="308"/>
      <c r="F67" s="308"/>
      <c r="G67" s="308"/>
      <c r="H67" s="308"/>
      <c r="I67" s="308"/>
    </row>
    <row r="68" spans="4:9">
      <c r="D68" s="308"/>
      <c r="E68" s="308"/>
      <c r="F68" s="308"/>
      <c r="G68" s="308"/>
      <c r="H68" s="308"/>
      <c r="I68" s="308"/>
    </row>
    <row r="69" spans="4:9">
      <c r="D69" s="308"/>
      <c r="E69" s="308"/>
      <c r="F69" s="308"/>
      <c r="G69" s="308"/>
      <c r="H69" s="308"/>
      <c r="I69" s="308"/>
    </row>
    <row r="70" spans="4:9">
      <c r="D70" s="308"/>
      <c r="E70" s="308"/>
      <c r="F70" s="308"/>
      <c r="G70" s="308"/>
      <c r="H70" s="308"/>
      <c r="I70" s="308"/>
    </row>
    <row r="71" spans="4:9">
      <c r="D71" s="308"/>
      <c r="E71" s="308"/>
      <c r="F71" s="308"/>
      <c r="G71" s="308"/>
      <c r="H71" s="308"/>
      <c r="I71" s="308"/>
    </row>
    <row r="72" spans="4:9">
      <c r="D72" s="308"/>
      <c r="E72" s="308"/>
      <c r="F72" s="308"/>
      <c r="G72" s="308"/>
      <c r="H72" s="308"/>
      <c r="I72" s="308"/>
    </row>
    <row r="73" spans="4:9">
      <c r="D73" s="308"/>
      <c r="E73" s="308"/>
      <c r="F73" s="308"/>
      <c r="G73" s="308"/>
      <c r="H73" s="308"/>
      <c r="I73" s="308"/>
    </row>
    <row r="74" spans="4:9">
      <c r="D74" s="308"/>
      <c r="E74" s="308"/>
      <c r="F74" s="308"/>
      <c r="G74" s="308"/>
      <c r="H74" s="308"/>
      <c r="I74" s="308"/>
    </row>
    <row r="75" spans="4:9">
      <c r="D75" s="308"/>
      <c r="E75" s="308"/>
      <c r="F75" s="308"/>
      <c r="G75" s="308"/>
      <c r="H75" s="308"/>
      <c r="I75" s="308"/>
    </row>
    <row r="76" spans="4:9">
      <c r="D76" s="308"/>
      <c r="E76" s="308"/>
      <c r="F76" s="308"/>
      <c r="G76" s="308"/>
      <c r="H76" s="308"/>
      <c r="I76" s="308"/>
    </row>
    <row r="77" spans="4:9">
      <c r="D77" s="308"/>
      <c r="E77" s="308"/>
      <c r="F77" s="308"/>
      <c r="G77" s="308"/>
      <c r="H77" s="308"/>
      <c r="I77" s="308"/>
    </row>
    <row r="78" spans="4:9">
      <c r="D78" s="308"/>
      <c r="E78" s="308"/>
      <c r="F78" s="308"/>
      <c r="G78" s="308"/>
      <c r="H78" s="308"/>
      <c r="I78" s="308"/>
    </row>
    <row r="79" spans="4:9">
      <c r="D79" s="308"/>
      <c r="E79" s="308"/>
      <c r="F79" s="308"/>
      <c r="G79" s="308"/>
      <c r="H79" s="308"/>
      <c r="I79" s="308"/>
    </row>
    <row r="80" spans="4:9">
      <c r="D80" s="308"/>
      <c r="E80" s="308"/>
      <c r="F80" s="308"/>
      <c r="G80" s="308"/>
      <c r="H80" s="308"/>
      <c r="I80" s="308"/>
    </row>
    <row r="81" spans="4:9">
      <c r="D81" s="308"/>
      <c r="E81" s="308"/>
      <c r="F81" s="308"/>
      <c r="G81" s="308"/>
      <c r="H81" s="308"/>
      <c r="I81" s="308"/>
    </row>
    <row r="82" spans="4:9">
      <c r="D82" s="308"/>
      <c r="E82" s="308"/>
      <c r="F82" s="308"/>
      <c r="G82" s="308"/>
      <c r="H82" s="308"/>
      <c r="I82" s="308"/>
    </row>
    <row r="83" spans="4:9">
      <c r="D83" s="308"/>
      <c r="E83" s="308"/>
      <c r="F83" s="308"/>
      <c r="G83" s="308"/>
      <c r="H83" s="308"/>
      <c r="I83" s="308"/>
    </row>
    <row r="84" spans="4:9">
      <c r="D84" s="308"/>
      <c r="E84" s="308"/>
      <c r="F84" s="308"/>
      <c r="G84" s="308"/>
      <c r="H84" s="308"/>
      <c r="I84" s="308"/>
    </row>
    <row r="85" spans="4:9">
      <c r="D85" s="308"/>
      <c r="E85" s="308"/>
      <c r="F85" s="308"/>
      <c r="G85" s="308"/>
      <c r="H85" s="308"/>
      <c r="I85" s="308"/>
    </row>
    <row r="86" spans="4:9">
      <c r="D86" s="308"/>
      <c r="E86" s="308"/>
      <c r="F86" s="308"/>
      <c r="G86" s="308"/>
      <c r="H86" s="308"/>
      <c r="I86" s="308"/>
    </row>
    <row r="87" spans="4:9">
      <c r="D87" s="308"/>
      <c r="E87" s="308"/>
      <c r="F87" s="308"/>
      <c r="G87" s="308"/>
      <c r="H87" s="308"/>
      <c r="I87" s="308"/>
    </row>
    <row r="88" spans="4:9">
      <c r="D88" s="308"/>
      <c r="E88" s="308"/>
      <c r="F88" s="308"/>
      <c r="G88" s="308"/>
      <c r="H88" s="308"/>
      <c r="I88" s="308"/>
    </row>
    <row r="89" spans="4:9">
      <c r="D89" s="308"/>
      <c r="E89" s="308"/>
      <c r="F89" s="308"/>
      <c r="G89" s="308"/>
      <c r="H89" s="308"/>
      <c r="I89" s="308"/>
    </row>
    <row r="90" spans="4:9">
      <c r="D90" s="308"/>
      <c r="E90" s="308"/>
      <c r="F90" s="308"/>
      <c r="G90" s="308"/>
      <c r="H90" s="308"/>
      <c r="I90" s="308"/>
    </row>
    <row r="91" spans="4:9">
      <c r="D91" s="308"/>
      <c r="E91" s="308"/>
      <c r="F91" s="308"/>
      <c r="G91" s="308"/>
      <c r="H91" s="308"/>
      <c r="I91" s="308"/>
    </row>
    <row r="92" spans="4:9">
      <c r="D92" s="308"/>
      <c r="E92" s="308"/>
      <c r="F92" s="308"/>
      <c r="G92" s="308"/>
      <c r="H92" s="308"/>
      <c r="I92" s="308"/>
    </row>
    <row r="93" spans="4:9">
      <c r="D93" s="308"/>
      <c r="E93" s="308"/>
      <c r="F93" s="308"/>
      <c r="G93" s="308"/>
      <c r="H93" s="308"/>
      <c r="I93" s="308"/>
    </row>
    <row r="94" spans="4:9">
      <c r="D94" s="308"/>
      <c r="E94" s="308"/>
      <c r="F94" s="308"/>
      <c r="G94" s="308"/>
      <c r="H94" s="308"/>
      <c r="I94" s="308"/>
    </row>
    <row r="95" spans="4:9">
      <c r="D95" s="308"/>
      <c r="E95" s="308"/>
      <c r="F95" s="308"/>
      <c r="G95" s="308"/>
      <c r="H95" s="308"/>
      <c r="I95" s="308"/>
    </row>
    <row r="96" spans="4:9">
      <c r="D96" s="308"/>
      <c r="E96" s="308"/>
      <c r="F96" s="308"/>
      <c r="G96" s="308"/>
      <c r="H96" s="308"/>
      <c r="I96" s="308"/>
    </row>
    <row r="97" spans="4:9">
      <c r="D97" s="308"/>
      <c r="E97" s="308"/>
      <c r="F97" s="308"/>
      <c r="G97" s="308"/>
      <c r="H97" s="308"/>
      <c r="I97" s="308"/>
    </row>
    <row r="98" spans="4:9">
      <c r="D98" s="308"/>
      <c r="E98" s="308"/>
      <c r="F98" s="308"/>
      <c r="G98" s="308"/>
      <c r="H98" s="308"/>
      <c r="I98" s="308"/>
    </row>
    <row r="99" spans="4:9">
      <c r="D99" s="308"/>
      <c r="E99" s="308"/>
      <c r="F99" s="308"/>
      <c r="G99" s="308"/>
      <c r="H99" s="308"/>
      <c r="I99" s="308"/>
    </row>
    <row r="100" spans="4:9">
      <c r="D100" s="308"/>
      <c r="E100" s="308"/>
      <c r="F100" s="308"/>
      <c r="G100" s="308"/>
      <c r="H100" s="308"/>
      <c r="I100" s="308"/>
    </row>
    <row r="101" spans="4:9">
      <c r="D101" s="308"/>
      <c r="E101" s="308"/>
      <c r="F101" s="308"/>
      <c r="G101" s="308"/>
      <c r="H101" s="308"/>
      <c r="I101" s="308"/>
    </row>
    <row r="102" spans="4:9">
      <c r="D102" s="308"/>
      <c r="E102" s="308"/>
      <c r="F102" s="308"/>
      <c r="G102" s="308"/>
      <c r="H102" s="308"/>
      <c r="I102" s="308"/>
    </row>
    <row r="103" spans="4:9">
      <c r="D103" s="308"/>
      <c r="E103" s="308"/>
      <c r="F103" s="308"/>
      <c r="G103" s="308"/>
      <c r="H103" s="308"/>
      <c r="I103" s="308"/>
    </row>
    <row r="104" spans="4:9">
      <c r="D104" s="308"/>
      <c r="E104" s="308"/>
      <c r="F104" s="308"/>
      <c r="G104" s="308"/>
      <c r="H104" s="308"/>
      <c r="I104" s="308"/>
    </row>
    <row r="105" spans="4:9">
      <c r="D105" s="308"/>
      <c r="E105" s="308"/>
      <c r="F105" s="308"/>
      <c r="G105" s="308"/>
      <c r="H105" s="308"/>
      <c r="I105" s="308"/>
    </row>
    <row r="106" spans="4:9">
      <c r="D106" s="308"/>
      <c r="E106" s="308"/>
      <c r="F106" s="308"/>
      <c r="G106" s="308"/>
      <c r="H106" s="308"/>
      <c r="I106" s="308"/>
    </row>
    <row r="107" spans="4:9">
      <c r="D107" s="308"/>
      <c r="E107" s="308"/>
      <c r="F107" s="308"/>
      <c r="G107" s="308"/>
      <c r="H107" s="308"/>
      <c r="I107" s="308"/>
    </row>
    <row r="108" spans="4:9">
      <c r="D108" s="308"/>
      <c r="E108" s="308"/>
      <c r="F108" s="308"/>
      <c r="G108" s="308"/>
      <c r="H108" s="308"/>
      <c r="I108" s="308"/>
    </row>
    <row r="109" spans="4:9">
      <c r="D109" s="308"/>
      <c r="E109" s="308"/>
      <c r="F109" s="308"/>
      <c r="G109" s="308"/>
      <c r="H109" s="308"/>
      <c r="I109" s="308"/>
    </row>
    <row r="110" spans="4:9">
      <c r="D110" s="308"/>
      <c r="E110" s="308"/>
      <c r="F110" s="308"/>
      <c r="G110" s="308"/>
      <c r="H110" s="308"/>
      <c r="I110" s="308"/>
    </row>
    <row r="111" spans="4:9">
      <c r="D111" s="308"/>
      <c r="E111" s="308"/>
      <c r="F111" s="308"/>
      <c r="G111" s="308"/>
      <c r="H111" s="308"/>
      <c r="I111" s="308"/>
    </row>
    <row r="112" spans="4:9">
      <c r="D112" s="308"/>
      <c r="E112" s="308"/>
      <c r="F112" s="308"/>
      <c r="G112" s="308"/>
      <c r="H112" s="308"/>
      <c r="I112" s="308"/>
    </row>
    <row r="113" spans="4:9">
      <c r="D113" s="308"/>
      <c r="E113" s="308"/>
      <c r="F113" s="308"/>
      <c r="G113" s="308"/>
      <c r="H113" s="308"/>
      <c r="I113" s="308"/>
    </row>
    <row r="114" spans="4:9">
      <c r="D114" s="308"/>
      <c r="E114" s="308"/>
      <c r="F114" s="308"/>
      <c r="G114" s="308"/>
      <c r="H114" s="308"/>
      <c r="I114" s="308"/>
    </row>
    <row r="115" spans="4:9">
      <c r="D115" s="308"/>
      <c r="E115" s="308"/>
      <c r="F115" s="308"/>
      <c r="G115" s="308"/>
      <c r="H115" s="308"/>
      <c r="I115" s="308"/>
    </row>
    <row r="116" spans="4:9">
      <c r="D116" s="308"/>
      <c r="E116" s="308"/>
      <c r="F116" s="308"/>
      <c r="G116" s="308"/>
      <c r="H116" s="308"/>
      <c r="I116" s="308"/>
    </row>
    <row r="117" spans="4:9">
      <c r="D117" s="308"/>
      <c r="E117" s="308"/>
      <c r="F117" s="308"/>
      <c r="G117" s="308"/>
      <c r="H117" s="308"/>
      <c r="I117" s="308"/>
    </row>
    <row r="118" spans="4:9">
      <c r="D118" s="308"/>
      <c r="E118" s="308"/>
      <c r="F118" s="308"/>
      <c r="G118" s="308"/>
      <c r="H118" s="308"/>
      <c r="I118" s="308"/>
    </row>
    <row r="119" spans="4:9">
      <c r="D119" s="308"/>
      <c r="E119" s="308"/>
      <c r="F119" s="308"/>
      <c r="G119" s="308"/>
      <c r="H119" s="308"/>
      <c r="I119" s="308"/>
    </row>
    <row r="120" spans="4:9">
      <c r="D120" s="308"/>
      <c r="E120" s="308"/>
      <c r="F120" s="308"/>
      <c r="G120" s="308"/>
      <c r="H120" s="308"/>
      <c r="I120" s="308"/>
    </row>
    <row r="121" spans="4:9">
      <c r="D121" s="308"/>
      <c r="E121" s="308"/>
      <c r="F121" s="308"/>
      <c r="G121" s="308"/>
      <c r="H121" s="308"/>
      <c r="I121" s="308"/>
    </row>
    <row r="122" spans="4:9">
      <c r="D122" s="308"/>
      <c r="E122" s="308"/>
      <c r="F122" s="308"/>
      <c r="G122" s="308"/>
      <c r="H122" s="308"/>
      <c r="I122" s="308"/>
    </row>
    <row r="123" spans="4:9">
      <c r="D123" s="308"/>
      <c r="E123" s="308"/>
      <c r="F123" s="308"/>
      <c r="G123" s="308"/>
      <c r="H123" s="308"/>
      <c r="I123" s="308"/>
    </row>
    <row r="124" spans="4:9">
      <c r="D124" s="308"/>
      <c r="E124" s="308"/>
      <c r="F124" s="308"/>
      <c r="G124" s="308"/>
      <c r="H124" s="308"/>
      <c r="I124" s="308"/>
    </row>
    <row r="125" spans="4:9">
      <c r="D125" s="308"/>
      <c r="E125" s="308"/>
      <c r="F125" s="308"/>
      <c r="G125" s="308"/>
      <c r="H125" s="308"/>
      <c r="I125" s="308"/>
    </row>
    <row r="126" spans="4:9">
      <c r="D126" s="308"/>
      <c r="E126" s="308"/>
      <c r="F126" s="308"/>
      <c r="G126" s="308"/>
      <c r="H126" s="308"/>
      <c r="I126" s="308"/>
    </row>
    <row r="127" spans="4:9">
      <c r="D127" s="308"/>
      <c r="E127" s="308"/>
      <c r="F127" s="308"/>
      <c r="G127" s="308"/>
      <c r="H127" s="308"/>
      <c r="I127" s="308"/>
    </row>
    <row r="128" spans="4:9">
      <c r="D128" s="308"/>
      <c r="E128" s="308"/>
      <c r="F128" s="308"/>
      <c r="G128" s="308"/>
      <c r="H128" s="308"/>
      <c r="I128" s="308"/>
    </row>
    <row r="129" spans="4:9">
      <c r="D129" s="308"/>
      <c r="E129" s="308"/>
      <c r="F129" s="308"/>
      <c r="G129" s="308"/>
      <c r="H129" s="308"/>
      <c r="I129" s="308"/>
    </row>
    <row r="130" spans="4:9">
      <c r="D130" s="308"/>
      <c r="E130" s="308"/>
      <c r="F130" s="308"/>
      <c r="G130" s="308"/>
      <c r="H130" s="308"/>
      <c r="I130" s="308"/>
    </row>
    <row r="131" spans="4:9">
      <c r="D131" s="308"/>
      <c r="E131" s="308"/>
      <c r="F131" s="308"/>
      <c r="G131" s="308"/>
      <c r="H131" s="308"/>
      <c r="I131" s="308"/>
    </row>
    <row r="132" spans="4:9">
      <c r="D132" s="308"/>
      <c r="E132" s="308"/>
      <c r="F132" s="308"/>
      <c r="G132" s="308"/>
      <c r="H132" s="308"/>
      <c r="I132" s="308"/>
    </row>
    <row r="133" spans="4:9">
      <c r="D133" s="308"/>
      <c r="E133" s="308"/>
      <c r="F133" s="308"/>
      <c r="G133" s="308"/>
      <c r="H133" s="308"/>
      <c r="I133" s="308"/>
    </row>
    <row r="134" spans="4:9">
      <c r="D134" s="308"/>
      <c r="E134" s="308"/>
      <c r="F134" s="308"/>
      <c r="G134" s="308"/>
      <c r="H134" s="308"/>
      <c r="I134" s="308"/>
    </row>
    <row r="135" spans="4:9">
      <c r="D135" s="308"/>
      <c r="E135" s="308"/>
      <c r="F135" s="308"/>
      <c r="G135" s="308"/>
      <c r="H135" s="308"/>
      <c r="I135" s="308"/>
    </row>
    <row r="136" spans="4:9">
      <c r="D136" s="308"/>
      <c r="E136" s="308"/>
      <c r="F136" s="308"/>
      <c r="G136" s="308"/>
      <c r="H136" s="308"/>
      <c r="I136" s="308"/>
    </row>
    <row r="137" spans="4:9">
      <c r="D137" s="308"/>
      <c r="E137" s="308"/>
      <c r="F137" s="308"/>
      <c r="G137" s="308"/>
      <c r="H137" s="308"/>
      <c r="I137" s="308"/>
    </row>
    <row r="138" spans="4:9">
      <c r="D138" s="308"/>
      <c r="E138" s="308"/>
      <c r="F138" s="308"/>
      <c r="G138" s="308"/>
      <c r="H138" s="308"/>
      <c r="I138" s="308"/>
    </row>
    <row r="139" spans="4:9">
      <c r="D139" s="308"/>
      <c r="E139" s="308"/>
      <c r="F139" s="308"/>
      <c r="G139" s="308"/>
      <c r="H139" s="308"/>
      <c r="I139" s="308"/>
    </row>
    <row r="140" spans="4:9">
      <c r="D140" s="308"/>
      <c r="E140" s="308"/>
      <c r="F140" s="308"/>
      <c r="G140" s="308"/>
      <c r="H140" s="308"/>
      <c r="I140" s="308"/>
    </row>
    <row r="141" spans="4:9">
      <c r="D141" s="308"/>
      <c r="E141" s="308"/>
      <c r="F141" s="308"/>
      <c r="G141" s="308"/>
      <c r="H141" s="308"/>
      <c r="I141" s="308"/>
    </row>
    <row r="142" spans="4:9">
      <c r="D142" s="308"/>
      <c r="E142" s="308"/>
      <c r="F142" s="308"/>
      <c r="G142" s="308"/>
      <c r="H142" s="308"/>
      <c r="I142" s="308"/>
    </row>
    <row r="143" spans="4:9">
      <c r="D143" s="308"/>
      <c r="E143" s="308"/>
      <c r="F143" s="308"/>
      <c r="G143" s="308"/>
      <c r="H143" s="308"/>
      <c r="I143" s="308"/>
    </row>
    <row r="144" spans="4:9">
      <c r="D144" s="308"/>
      <c r="E144" s="308"/>
      <c r="F144" s="308"/>
      <c r="G144" s="308"/>
      <c r="H144" s="308"/>
      <c r="I144" s="308"/>
    </row>
    <row r="145" spans="4:9">
      <c r="D145" s="308"/>
      <c r="E145" s="308"/>
      <c r="F145" s="308"/>
      <c r="G145" s="308"/>
      <c r="H145" s="308"/>
      <c r="I145" s="308"/>
    </row>
    <row r="146" spans="4:9">
      <c r="D146" s="308"/>
      <c r="E146" s="308"/>
      <c r="F146" s="308"/>
      <c r="G146" s="308"/>
      <c r="H146" s="308"/>
      <c r="I146" s="308"/>
    </row>
    <row r="147" spans="4:9">
      <c r="D147" s="308"/>
      <c r="E147" s="308"/>
      <c r="F147" s="308"/>
      <c r="G147" s="308"/>
      <c r="H147" s="308"/>
      <c r="I147" s="308"/>
    </row>
    <row r="148" spans="4:9">
      <c r="D148" s="308"/>
      <c r="E148" s="308"/>
      <c r="F148" s="308"/>
      <c r="G148" s="308"/>
      <c r="H148" s="308"/>
      <c r="I148" s="308"/>
    </row>
    <row r="149" spans="4:9">
      <c r="D149" s="308"/>
      <c r="E149" s="308"/>
      <c r="F149" s="308"/>
      <c r="G149" s="308"/>
      <c r="H149" s="308"/>
      <c r="I149" s="308"/>
    </row>
    <row r="150" spans="4:9">
      <c r="D150" s="308"/>
      <c r="E150" s="308"/>
      <c r="F150" s="308"/>
      <c r="G150" s="308"/>
      <c r="H150" s="308"/>
      <c r="I150" s="308"/>
    </row>
    <row r="151" spans="4:9">
      <c r="D151" s="308"/>
      <c r="E151" s="308"/>
      <c r="F151" s="308"/>
      <c r="G151" s="308"/>
      <c r="H151" s="308"/>
      <c r="I151" s="308"/>
    </row>
    <row r="152" spans="4:9">
      <c r="D152" s="308"/>
      <c r="E152" s="308"/>
      <c r="F152" s="308"/>
      <c r="G152" s="308"/>
      <c r="H152" s="308"/>
      <c r="I152" s="308"/>
    </row>
    <row r="153" spans="4:9">
      <c r="D153" s="308"/>
      <c r="E153" s="308"/>
      <c r="F153" s="308"/>
      <c r="G153" s="308"/>
      <c r="H153" s="308"/>
      <c r="I153" s="308"/>
    </row>
    <row r="154" spans="4:9">
      <c r="D154" s="308"/>
      <c r="E154" s="308"/>
      <c r="F154" s="308"/>
      <c r="G154" s="308"/>
      <c r="H154" s="308"/>
      <c r="I154" s="308"/>
    </row>
    <row r="155" spans="4:9">
      <c r="D155" s="308"/>
      <c r="E155" s="308"/>
      <c r="F155" s="308"/>
      <c r="G155" s="308"/>
      <c r="H155" s="308"/>
      <c r="I155" s="308"/>
    </row>
    <row r="156" spans="4:9">
      <c r="D156" s="308"/>
      <c r="E156" s="308"/>
      <c r="F156" s="308"/>
      <c r="G156" s="308"/>
      <c r="H156" s="308"/>
      <c r="I156" s="308"/>
    </row>
    <row r="157" spans="4:9">
      <c r="D157" s="308"/>
      <c r="E157" s="308"/>
      <c r="F157" s="308"/>
      <c r="G157" s="308"/>
      <c r="H157" s="308"/>
      <c r="I157" s="308"/>
    </row>
    <row r="158" spans="4:9">
      <c r="D158" s="308"/>
      <c r="E158" s="308"/>
      <c r="F158" s="308"/>
      <c r="G158" s="308"/>
      <c r="H158" s="308"/>
      <c r="I158" s="308"/>
    </row>
    <row r="159" spans="4:9">
      <c r="D159" s="308"/>
      <c r="E159" s="308"/>
      <c r="F159" s="308"/>
      <c r="G159" s="308"/>
      <c r="H159" s="308"/>
      <c r="I159" s="308"/>
    </row>
    <row r="160" spans="4:9">
      <c r="D160" s="308"/>
      <c r="E160" s="308"/>
      <c r="F160" s="308"/>
      <c r="G160" s="308"/>
      <c r="H160" s="308"/>
      <c r="I160" s="308"/>
    </row>
    <row r="161" spans="4:9">
      <c r="D161" s="308"/>
      <c r="E161" s="308"/>
      <c r="F161" s="308"/>
      <c r="G161" s="308"/>
      <c r="H161" s="308"/>
      <c r="I161" s="308"/>
    </row>
    <row r="162" spans="4:9">
      <c r="D162" s="308"/>
      <c r="E162" s="308"/>
      <c r="F162" s="308"/>
      <c r="G162" s="308"/>
      <c r="H162" s="308"/>
      <c r="I162" s="308"/>
    </row>
    <row r="163" spans="4:9">
      <c r="D163" s="308"/>
      <c r="E163" s="308"/>
      <c r="F163" s="308"/>
      <c r="G163" s="308"/>
      <c r="H163" s="308"/>
      <c r="I163" s="308"/>
    </row>
    <row r="164" spans="4:9">
      <c r="D164" s="308"/>
      <c r="E164" s="308"/>
      <c r="F164" s="308"/>
      <c r="G164" s="308"/>
      <c r="H164" s="308"/>
      <c r="I164" s="308"/>
    </row>
    <row r="165" spans="4:9">
      <c r="D165" s="308"/>
      <c r="E165" s="308"/>
      <c r="F165" s="308"/>
      <c r="G165" s="308"/>
      <c r="H165" s="308"/>
      <c r="I165" s="308"/>
    </row>
    <row r="166" spans="4:9">
      <c r="D166" s="308"/>
      <c r="E166" s="308"/>
      <c r="F166" s="308"/>
      <c r="G166" s="308"/>
      <c r="H166" s="308"/>
      <c r="I166" s="308"/>
    </row>
    <row r="167" spans="4:9">
      <c r="D167" s="308"/>
      <c r="E167" s="308"/>
      <c r="F167" s="308"/>
      <c r="G167" s="308"/>
      <c r="H167" s="308"/>
      <c r="I167" s="308"/>
    </row>
    <row r="168" spans="4:9">
      <c r="D168" s="308"/>
      <c r="E168" s="308"/>
      <c r="F168" s="308"/>
      <c r="G168" s="308"/>
      <c r="H168" s="308"/>
      <c r="I168" s="308"/>
    </row>
    <row r="169" spans="4:9">
      <c r="D169" s="308"/>
      <c r="E169" s="308"/>
      <c r="F169" s="308"/>
      <c r="G169" s="308"/>
      <c r="H169" s="308"/>
      <c r="I169" s="308"/>
    </row>
    <row r="170" spans="4:9">
      <c r="D170" s="308"/>
      <c r="E170" s="308"/>
      <c r="F170" s="308"/>
      <c r="G170" s="308"/>
      <c r="H170" s="308"/>
      <c r="I170" s="308"/>
    </row>
    <row r="171" spans="4:9">
      <c r="D171" s="308"/>
      <c r="E171" s="308"/>
      <c r="F171" s="308"/>
      <c r="G171" s="308"/>
      <c r="H171" s="308"/>
      <c r="I171" s="308"/>
    </row>
    <row r="172" spans="4:9">
      <c r="D172" s="308"/>
      <c r="E172" s="308"/>
      <c r="F172" s="308"/>
      <c r="G172" s="308"/>
      <c r="H172" s="308"/>
      <c r="I172" s="308"/>
    </row>
    <row r="173" spans="4:9">
      <c r="D173" s="308"/>
      <c r="E173" s="308"/>
      <c r="F173" s="308"/>
      <c r="G173" s="308"/>
      <c r="H173" s="308"/>
      <c r="I173" s="308"/>
    </row>
    <row r="174" spans="4:9">
      <c r="D174" s="308"/>
      <c r="E174" s="308"/>
      <c r="F174" s="308"/>
      <c r="G174" s="308"/>
      <c r="H174" s="308"/>
      <c r="I174" s="308"/>
    </row>
    <row r="175" spans="4:9">
      <c r="D175" s="308"/>
      <c r="E175" s="308"/>
      <c r="F175" s="308"/>
      <c r="G175" s="308"/>
      <c r="H175" s="308"/>
      <c r="I175" s="308"/>
    </row>
    <row r="176" spans="4:9">
      <c r="D176" s="308"/>
      <c r="E176" s="308"/>
      <c r="F176" s="308"/>
      <c r="G176" s="308"/>
      <c r="H176" s="308"/>
      <c r="I176" s="308"/>
    </row>
    <row r="177" spans="4:9">
      <c r="D177" s="308"/>
      <c r="E177" s="308"/>
      <c r="F177" s="308"/>
      <c r="G177" s="308"/>
      <c r="H177" s="308"/>
      <c r="I177" s="308"/>
    </row>
    <row r="178" spans="4:9">
      <c r="D178" s="308"/>
      <c r="E178" s="308"/>
      <c r="F178" s="308"/>
      <c r="G178" s="308"/>
      <c r="H178" s="308"/>
      <c r="I178" s="308"/>
    </row>
    <row r="179" spans="4:9">
      <c r="D179" s="308"/>
      <c r="E179" s="308"/>
      <c r="F179" s="308"/>
      <c r="G179" s="308"/>
      <c r="H179" s="308"/>
      <c r="I179" s="308"/>
    </row>
    <row r="180" spans="4:9">
      <c r="D180" s="308"/>
      <c r="E180" s="308"/>
      <c r="F180" s="308"/>
      <c r="G180" s="308"/>
      <c r="H180" s="308"/>
      <c r="I180" s="308"/>
    </row>
    <row r="181" spans="4:9">
      <c r="D181" s="308"/>
      <c r="E181" s="308"/>
      <c r="F181" s="308"/>
      <c r="G181" s="308"/>
      <c r="H181" s="308"/>
      <c r="I181" s="308"/>
    </row>
    <row r="182" spans="4:9">
      <c r="D182" s="308"/>
      <c r="E182" s="308"/>
      <c r="F182" s="308"/>
      <c r="G182" s="308"/>
      <c r="H182" s="308"/>
      <c r="I182" s="308"/>
    </row>
    <row r="183" spans="4:9">
      <c r="D183" s="308"/>
      <c r="E183" s="308"/>
      <c r="F183" s="308"/>
      <c r="G183" s="308"/>
      <c r="H183" s="308"/>
      <c r="I183" s="308"/>
    </row>
    <row r="184" spans="4:9">
      <c r="D184" s="308"/>
      <c r="E184" s="308"/>
      <c r="F184" s="308"/>
      <c r="G184" s="308"/>
      <c r="H184" s="308"/>
      <c r="I184" s="308"/>
    </row>
    <row r="185" spans="4:9">
      <c r="D185" s="308"/>
      <c r="E185" s="308"/>
      <c r="F185" s="308"/>
      <c r="G185" s="308"/>
      <c r="H185" s="308"/>
      <c r="I185" s="308"/>
    </row>
    <row r="186" spans="4:9">
      <c r="D186" s="308"/>
      <c r="E186" s="308"/>
      <c r="F186" s="308"/>
      <c r="G186" s="308"/>
      <c r="H186" s="308"/>
      <c r="I186" s="308"/>
    </row>
    <row r="187" spans="4:9">
      <c r="D187" s="308"/>
      <c r="E187" s="308"/>
      <c r="F187" s="308"/>
      <c r="G187" s="308"/>
      <c r="H187" s="308"/>
      <c r="I187" s="308"/>
    </row>
    <row r="188" spans="4:9">
      <c r="D188" s="308"/>
      <c r="E188" s="308"/>
      <c r="F188" s="308"/>
      <c r="G188" s="308"/>
      <c r="H188" s="308"/>
      <c r="I188" s="308"/>
    </row>
    <row r="189" spans="4:9">
      <c r="D189" s="308"/>
      <c r="E189" s="308"/>
      <c r="F189" s="308"/>
      <c r="G189" s="308"/>
      <c r="H189" s="308"/>
      <c r="I189" s="308"/>
    </row>
    <row r="190" spans="4:9">
      <c r="D190" s="308"/>
      <c r="E190" s="308"/>
      <c r="F190" s="308"/>
      <c r="G190" s="308"/>
      <c r="H190" s="308"/>
      <c r="I190" s="308"/>
    </row>
    <row r="191" spans="4:9">
      <c r="D191" s="308"/>
      <c r="E191" s="308"/>
      <c r="F191" s="308"/>
      <c r="G191" s="308"/>
      <c r="H191" s="308"/>
      <c r="I191" s="308"/>
    </row>
    <row r="192" spans="4:9">
      <c r="D192" s="308"/>
      <c r="E192" s="308"/>
      <c r="F192" s="308"/>
      <c r="G192" s="308"/>
      <c r="H192" s="308"/>
      <c r="I192" s="308"/>
    </row>
    <row r="193" spans="4:9">
      <c r="D193" s="308"/>
      <c r="E193" s="308"/>
      <c r="F193" s="308"/>
      <c r="G193" s="308"/>
      <c r="H193" s="308"/>
      <c r="I193" s="308"/>
    </row>
    <row r="194" spans="4:9">
      <c r="D194" s="308"/>
      <c r="E194" s="308"/>
      <c r="F194" s="308"/>
      <c r="G194" s="308"/>
      <c r="H194" s="308"/>
      <c r="I194" s="308"/>
    </row>
    <row r="195" spans="4:9">
      <c r="D195" s="308"/>
      <c r="E195" s="308"/>
      <c r="F195" s="308"/>
      <c r="G195" s="308"/>
      <c r="H195" s="308"/>
      <c r="I195" s="308"/>
    </row>
    <row r="196" spans="4:9">
      <c r="D196" s="308"/>
      <c r="E196" s="308"/>
      <c r="F196" s="308"/>
      <c r="G196" s="308"/>
      <c r="H196" s="308"/>
      <c r="I196" s="308"/>
    </row>
    <row r="197" spans="4:9">
      <c r="D197" s="308"/>
      <c r="E197" s="308"/>
      <c r="F197" s="308"/>
      <c r="G197" s="308"/>
      <c r="H197" s="308"/>
      <c r="I197" s="308"/>
    </row>
    <row r="198" spans="4:9">
      <c r="D198" s="308"/>
      <c r="E198" s="308"/>
      <c r="F198" s="308"/>
      <c r="G198" s="308"/>
      <c r="H198" s="308"/>
      <c r="I198" s="308"/>
    </row>
    <row r="199" spans="4:9">
      <c r="D199" s="308"/>
      <c r="E199" s="308"/>
      <c r="F199" s="308"/>
      <c r="G199" s="308"/>
      <c r="H199" s="308"/>
      <c r="I199" s="308"/>
    </row>
    <row r="200" spans="4:9">
      <c r="D200" s="308"/>
      <c r="E200" s="308"/>
      <c r="F200" s="308"/>
      <c r="G200" s="308"/>
      <c r="H200" s="308"/>
      <c r="I200" s="308"/>
    </row>
    <row r="201" spans="4:9">
      <c r="D201" s="308"/>
      <c r="E201" s="308"/>
      <c r="F201" s="308"/>
      <c r="G201" s="308"/>
      <c r="H201" s="308"/>
      <c r="I201" s="308"/>
    </row>
    <row r="202" spans="4:9">
      <c r="D202" s="308"/>
      <c r="E202" s="308"/>
      <c r="F202" s="308"/>
      <c r="G202" s="308"/>
      <c r="H202" s="308"/>
      <c r="I202" s="308"/>
    </row>
    <row r="203" spans="4:9">
      <c r="D203" s="308"/>
      <c r="E203" s="308"/>
      <c r="F203" s="308"/>
      <c r="G203" s="308"/>
      <c r="H203" s="308"/>
      <c r="I203" s="308"/>
    </row>
    <row r="204" spans="4:9">
      <c r="D204" s="308"/>
      <c r="E204" s="308"/>
      <c r="F204" s="308"/>
      <c r="G204" s="308"/>
      <c r="H204" s="308"/>
      <c r="I204" s="308"/>
    </row>
    <row r="205" spans="4:9">
      <c r="D205" s="308"/>
      <c r="E205" s="308"/>
      <c r="F205" s="308"/>
      <c r="G205" s="308"/>
      <c r="H205" s="308"/>
      <c r="I205" s="308"/>
    </row>
    <row r="206" spans="4:9">
      <c r="D206" s="308"/>
      <c r="E206" s="308"/>
      <c r="F206" s="308"/>
      <c r="G206" s="308"/>
      <c r="H206" s="308"/>
      <c r="I206" s="308"/>
    </row>
    <row r="207" spans="4:9">
      <c r="D207" s="308"/>
      <c r="E207" s="308"/>
      <c r="F207" s="308"/>
      <c r="G207" s="308"/>
      <c r="H207" s="308"/>
      <c r="I207" s="308"/>
    </row>
    <row r="208" spans="4:9">
      <c r="D208" s="308"/>
      <c r="E208" s="308"/>
      <c r="F208" s="308"/>
      <c r="G208" s="308"/>
      <c r="H208" s="308"/>
      <c r="I208" s="308"/>
    </row>
    <row r="209" spans="4:9">
      <c r="D209" s="308"/>
      <c r="E209" s="308"/>
      <c r="F209" s="308"/>
      <c r="G209" s="308"/>
      <c r="H209" s="308"/>
      <c r="I209" s="308"/>
    </row>
    <row r="210" spans="4:9">
      <c r="D210" s="308"/>
      <c r="E210" s="308"/>
      <c r="F210" s="308"/>
      <c r="G210" s="308"/>
      <c r="H210" s="308"/>
      <c r="I210" s="308"/>
    </row>
    <row r="211" spans="4:9">
      <c r="D211" s="308"/>
      <c r="E211" s="308"/>
      <c r="F211" s="308"/>
      <c r="G211" s="308"/>
      <c r="H211" s="308"/>
      <c r="I211" s="308"/>
    </row>
    <row r="212" spans="4:9">
      <c r="D212" s="308"/>
      <c r="E212" s="308"/>
      <c r="F212" s="308"/>
      <c r="G212" s="308"/>
      <c r="H212" s="308"/>
      <c r="I212" s="308"/>
    </row>
    <row r="213" spans="4:9">
      <c r="D213" s="308"/>
      <c r="E213" s="308"/>
      <c r="F213" s="308"/>
      <c r="G213" s="308"/>
      <c r="H213" s="308"/>
      <c r="I213" s="308"/>
    </row>
    <row r="214" spans="4:9">
      <c r="D214" s="308"/>
      <c r="E214" s="308"/>
      <c r="F214" s="308"/>
      <c r="G214" s="308"/>
      <c r="H214" s="308"/>
      <c r="I214" s="308"/>
    </row>
    <row r="215" spans="4:9">
      <c r="D215" s="308"/>
      <c r="E215" s="308"/>
      <c r="F215" s="308"/>
      <c r="G215" s="308"/>
      <c r="H215" s="308"/>
      <c r="I215" s="308"/>
    </row>
    <row r="216" spans="4:9">
      <c r="D216" s="308"/>
      <c r="E216" s="308"/>
      <c r="F216" s="308"/>
      <c r="G216" s="308"/>
      <c r="H216" s="308"/>
      <c r="I216" s="308"/>
    </row>
    <row r="217" spans="4:9">
      <c r="D217" s="308"/>
      <c r="E217" s="308"/>
      <c r="F217" s="308"/>
      <c r="G217" s="308"/>
      <c r="H217" s="308"/>
      <c r="I217" s="308"/>
    </row>
    <row r="218" spans="4:9">
      <c r="D218" s="308"/>
      <c r="E218" s="308"/>
      <c r="F218" s="308"/>
      <c r="G218" s="308"/>
      <c r="H218" s="308"/>
      <c r="I218" s="308"/>
    </row>
    <row r="219" spans="4:9">
      <c r="D219" s="308"/>
      <c r="E219" s="308"/>
      <c r="F219" s="308"/>
      <c r="G219" s="308"/>
      <c r="H219" s="308"/>
      <c r="I219" s="308"/>
    </row>
    <row r="220" spans="4:9">
      <c r="D220" s="308"/>
      <c r="E220" s="308"/>
      <c r="F220" s="308"/>
      <c r="G220" s="308"/>
      <c r="H220" s="308"/>
      <c r="I220" s="308"/>
    </row>
    <row r="221" spans="4:9">
      <c r="D221" s="308"/>
      <c r="E221" s="308"/>
      <c r="F221" s="308"/>
      <c r="G221" s="308"/>
      <c r="H221" s="308"/>
      <c r="I221" s="308"/>
    </row>
    <row r="222" spans="4:9">
      <c r="D222" s="308"/>
      <c r="E222" s="308"/>
      <c r="F222" s="308"/>
      <c r="G222" s="308"/>
      <c r="H222" s="308"/>
      <c r="I222" s="308"/>
    </row>
    <row r="223" spans="4:9">
      <c r="D223" s="308"/>
      <c r="E223" s="308"/>
      <c r="F223" s="308"/>
      <c r="G223" s="308"/>
      <c r="H223" s="308"/>
      <c r="I223" s="308"/>
    </row>
    <row r="224" spans="4:9">
      <c r="D224" s="308"/>
      <c r="E224" s="308"/>
      <c r="F224" s="308"/>
      <c r="G224" s="308"/>
      <c r="H224" s="308"/>
      <c r="I224" s="308"/>
    </row>
    <row r="225" spans="4:9">
      <c r="D225" s="308"/>
      <c r="E225" s="308"/>
      <c r="F225" s="308"/>
      <c r="G225" s="308"/>
      <c r="H225" s="308"/>
      <c r="I225" s="308"/>
    </row>
    <row r="226" spans="4:9">
      <c r="D226" s="308"/>
      <c r="E226" s="308"/>
      <c r="F226" s="308"/>
      <c r="G226" s="308"/>
      <c r="H226" s="308"/>
      <c r="I226" s="308"/>
    </row>
    <row r="227" spans="4:9">
      <c r="D227" s="308"/>
      <c r="E227" s="308"/>
      <c r="F227" s="308"/>
      <c r="G227" s="308"/>
      <c r="H227" s="308"/>
      <c r="I227" s="308"/>
    </row>
    <row r="228" spans="4:9">
      <c r="D228" s="308"/>
      <c r="E228" s="308"/>
      <c r="F228" s="308"/>
      <c r="G228" s="308"/>
      <c r="H228" s="308"/>
      <c r="I228" s="308"/>
    </row>
    <row r="229" spans="4:9">
      <c r="D229" s="308"/>
      <c r="E229" s="308"/>
      <c r="F229" s="308"/>
      <c r="G229" s="308"/>
      <c r="H229" s="308"/>
      <c r="I229" s="308"/>
    </row>
    <row r="230" spans="4:9">
      <c r="D230" s="308"/>
      <c r="E230" s="308"/>
      <c r="F230" s="308"/>
      <c r="G230" s="308"/>
      <c r="H230" s="308"/>
      <c r="I230" s="308"/>
    </row>
    <row r="231" spans="4:9">
      <c r="D231" s="308"/>
      <c r="E231" s="308"/>
      <c r="F231" s="308"/>
      <c r="G231" s="308"/>
      <c r="H231" s="308"/>
      <c r="I231" s="308"/>
    </row>
    <row r="232" spans="4:9">
      <c r="D232" s="308"/>
      <c r="E232" s="308"/>
      <c r="F232" s="308"/>
      <c r="G232" s="308"/>
      <c r="H232" s="308"/>
      <c r="I232" s="308"/>
    </row>
    <row r="233" spans="4:9">
      <c r="D233" s="308"/>
      <c r="E233" s="308"/>
      <c r="F233" s="308"/>
      <c r="G233" s="308"/>
      <c r="H233" s="308"/>
      <c r="I233" s="308"/>
    </row>
    <row r="234" spans="4:9">
      <c r="D234" s="308"/>
      <c r="E234" s="308"/>
      <c r="F234" s="308"/>
      <c r="G234" s="308"/>
      <c r="H234" s="308"/>
      <c r="I234" s="308"/>
    </row>
    <row r="235" spans="4:9">
      <c r="D235" s="308"/>
      <c r="E235" s="308"/>
      <c r="F235" s="308"/>
      <c r="G235" s="308"/>
      <c r="H235" s="308"/>
      <c r="I235" s="308"/>
    </row>
    <row r="236" spans="4:9">
      <c r="D236" s="308"/>
      <c r="E236" s="308"/>
      <c r="F236" s="308"/>
      <c r="G236" s="308"/>
      <c r="H236" s="308"/>
      <c r="I236" s="308"/>
    </row>
    <row r="237" spans="4:9">
      <c r="D237" s="308"/>
      <c r="E237" s="308"/>
      <c r="F237" s="308"/>
      <c r="G237" s="308"/>
      <c r="H237" s="308"/>
      <c r="I237" s="308"/>
    </row>
    <row r="238" spans="4:9">
      <c r="D238" s="308"/>
      <c r="E238" s="308"/>
      <c r="F238" s="308"/>
      <c r="G238" s="308"/>
      <c r="H238" s="308"/>
      <c r="I238" s="308"/>
    </row>
    <row r="239" spans="4:9">
      <c r="D239" s="308"/>
      <c r="E239" s="308"/>
      <c r="F239" s="308"/>
      <c r="G239" s="308"/>
      <c r="H239" s="308"/>
      <c r="I239" s="308"/>
    </row>
    <row r="240" spans="4:9">
      <c r="D240" s="308"/>
      <c r="E240" s="308"/>
      <c r="F240" s="308"/>
      <c r="G240" s="308"/>
      <c r="H240" s="308"/>
      <c r="I240" s="308"/>
    </row>
    <row r="241" spans="4:9">
      <c r="D241" s="308"/>
      <c r="E241" s="308"/>
      <c r="F241" s="308"/>
      <c r="G241" s="308"/>
      <c r="H241" s="308"/>
      <c r="I241" s="308"/>
    </row>
    <row r="242" spans="4:9">
      <c r="D242" s="308"/>
      <c r="E242" s="308"/>
      <c r="F242" s="308"/>
      <c r="G242" s="308"/>
      <c r="H242" s="308"/>
      <c r="I242" s="308"/>
    </row>
    <row r="243" spans="4:9">
      <c r="D243" s="308"/>
      <c r="E243" s="308"/>
      <c r="F243" s="308"/>
      <c r="G243" s="308"/>
      <c r="H243" s="308"/>
      <c r="I243" s="308"/>
    </row>
    <row r="244" spans="4:9">
      <c r="D244" s="308"/>
      <c r="E244" s="308"/>
      <c r="F244" s="308"/>
      <c r="G244" s="308"/>
      <c r="H244" s="308"/>
      <c r="I244" s="308"/>
    </row>
    <row r="245" spans="4:9">
      <c r="D245" s="308"/>
      <c r="E245" s="308"/>
      <c r="F245" s="308"/>
      <c r="G245" s="308"/>
      <c r="H245" s="308"/>
      <c r="I245" s="308"/>
    </row>
    <row r="246" spans="4:9">
      <c r="D246" s="308"/>
      <c r="E246" s="308"/>
      <c r="F246" s="308"/>
      <c r="G246" s="308"/>
      <c r="H246" s="308"/>
      <c r="I246" s="308"/>
    </row>
    <row r="247" spans="4:9">
      <c r="D247" s="308"/>
      <c r="E247" s="308"/>
      <c r="F247" s="308"/>
      <c r="G247" s="308"/>
      <c r="H247" s="308"/>
      <c r="I247" s="308"/>
    </row>
    <row r="248" spans="4:9">
      <c r="D248" s="308"/>
      <c r="E248" s="308"/>
      <c r="F248" s="308"/>
      <c r="G248" s="308"/>
      <c r="H248" s="308"/>
      <c r="I248" s="308"/>
    </row>
    <row r="249" spans="4:9">
      <c r="D249" s="308"/>
      <c r="E249" s="308"/>
      <c r="F249" s="308"/>
      <c r="G249" s="308"/>
      <c r="H249" s="308"/>
      <c r="I249" s="308"/>
    </row>
    <row r="250" spans="4:9">
      <c r="D250" s="308"/>
      <c r="E250" s="308"/>
      <c r="F250" s="308"/>
      <c r="G250" s="308"/>
      <c r="H250" s="308"/>
      <c r="I250" s="308"/>
    </row>
    <row r="251" spans="4:9">
      <c r="D251" s="308"/>
      <c r="E251" s="308"/>
      <c r="F251" s="308"/>
      <c r="G251" s="308"/>
      <c r="H251" s="308"/>
      <c r="I251" s="308"/>
    </row>
    <row r="252" spans="4:9">
      <c r="D252" s="308"/>
      <c r="E252" s="308"/>
      <c r="F252" s="308"/>
      <c r="G252" s="308"/>
      <c r="H252" s="308"/>
      <c r="I252" s="308"/>
    </row>
    <row r="253" spans="4:9">
      <c r="D253" s="308"/>
      <c r="E253" s="308"/>
      <c r="F253" s="308"/>
      <c r="G253" s="308"/>
      <c r="H253" s="308"/>
      <c r="I253" s="308"/>
    </row>
    <row r="254" spans="4:9">
      <c r="D254" s="308"/>
      <c r="E254" s="308"/>
      <c r="F254" s="308"/>
      <c r="G254" s="308"/>
      <c r="H254" s="308"/>
      <c r="I254" s="308"/>
    </row>
    <row r="255" spans="4:9">
      <c r="D255" s="308"/>
      <c r="E255" s="308"/>
      <c r="F255" s="308"/>
      <c r="G255" s="308"/>
      <c r="H255" s="308"/>
      <c r="I255" s="308"/>
    </row>
    <row r="256" spans="4:9">
      <c r="D256" s="308"/>
      <c r="E256" s="308"/>
      <c r="F256" s="308"/>
      <c r="G256" s="308"/>
      <c r="H256" s="308"/>
      <c r="I256" s="308"/>
    </row>
    <row r="257" spans="4:9">
      <c r="D257" s="308"/>
      <c r="E257" s="308"/>
      <c r="F257" s="308"/>
      <c r="G257" s="308"/>
      <c r="H257" s="308"/>
      <c r="I257" s="308"/>
    </row>
    <row r="258" spans="4:9">
      <c r="D258" s="308"/>
      <c r="E258" s="308"/>
      <c r="F258" s="308"/>
      <c r="G258" s="308"/>
      <c r="H258" s="308"/>
      <c r="I258" s="308"/>
    </row>
    <row r="259" spans="4:9">
      <c r="D259" s="308"/>
      <c r="E259" s="308"/>
      <c r="F259" s="308"/>
      <c r="G259" s="308"/>
      <c r="H259" s="308"/>
      <c r="I259" s="308"/>
    </row>
    <row r="260" spans="4:9">
      <c r="D260" s="308"/>
      <c r="E260" s="308"/>
      <c r="F260" s="308"/>
      <c r="G260" s="308"/>
      <c r="H260" s="308"/>
      <c r="I260" s="308"/>
    </row>
    <row r="261" spans="4:9">
      <c r="D261" s="308"/>
      <c r="E261" s="308"/>
      <c r="F261" s="308"/>
      <c r="G261" s="308"/>
      <c r="H261" s="308"/>
      <c r="I261" s="308"/>
    </row>
    <row r="262" spans="4:9">
      <c r="D262" s="308"/>
      <c r="E262" s="308"/>
      <c r="F262" s="308"/>
      <c r="G262" s="308"/>
      <c r="H262" s="308"/>
      <c r="I262" s="308"/>
    </row>
    <row r="263" spans="4:9">
      <c r="D263" s="308"/>
      <c r="E263" s="308"/>
      <c r="F263" s="308"/>
      <c r="G263" s="308"/>
      <c r="H263" s="308"/>
      <c r="I263" s="308"/>
    </row>
    <row r="264" spans="4:9">
      <c r="D264" s="308"/>
      <c r="E264" s="308"/>
      <c r="F264" s="308"/>
      <c r="G264" s="308"/>
      <c r="H264" s="308"/>
      <c r="I264" s="308"/>
    </row>
    <row r="265" spans="4:9">
      <c r="D265" s="308"/>
      <c r="E265" s="308"/>
      <c r="F265" s="308"/>
      <c r="G265" s="308"/>
      <c r="H265" s="308"/>
      <c r="I265" s="308"/>
    </row>
    <row r="266" spans="4:9">
      <c r="D266" s="308"/>
      <c r="E266" s="308"/>
      <c r="F266" s="308"/>
      <c r="G266" s="308"/>
      <c r="H266" s="308"/>
      <c r="I266" s="308"/>
    </row>
    <row r="267" spans="4:9">
      <c r="D267" s="308"/>
      <c r="E267" s="308"/>
      <c r="F267" s="308"/>
      <c r="G267" s="308"/>
      <c r="H267" s="308"/>
      <c r="I267" s="308"/>
    </row>
    <row r="268" spans="4:9">
      <c r="D268" s="308"/>
      <c r="E268" s="308"/>
      <c r="F268" s="308"/>
      <c r="G268" s="308"/>
      <c r="H268" s="308"/>
      <c r="I268" s="308"/>
    </row>
    <row r="269" spans="4:9">
      <c r="D269" s="308"/>
      <c r="E269" s="308"/>
      <c r="F269" s="308"/>
      <c r="G269" s="308"/>
      <c r="H269" s="308"/>
      <c r="I269" s="308"/>
    </row>
    <row r="270" spans="4:9">
      <c r="D270" s="308"/>
      <c r="E270" s="308"/>
      <c r="F270" s="308"/>
      <c r="G270" s="308"/>
      <c r="H270" s="308"/>
      <c r="I270" s="308"/>
    </row>
    <row r="271" spans="4:9">
      <c r="D271" s="308"/>
      <c r="E271" s="308"/>
      <c r="F271" s="308"/>
      <c r="G271" s="308"/>
      <c r="H271" s="308"/>
      <c r="I271" s="308"/>
    </row>
    <row r="272" spans="4:9">
      <c r="D272" s="308"/>
      <c r="E272" s="308"/>
      <c r="F272" s="308"/>
      <c r="G272" s="308"/>
      <c r="H272" s="308"/>
      <c r="I272" s="308"/>
    </row>
    <row r="273" spans="4:9">
      <c r="D273" s="308"/>
      <c r="E273" s="308"/>
      <c r="F273" s="308"/>
      <c r="G273" s="308"/>
      <c r="H273" s="308"/>
      <c r="I273" s="308"/>
    </row>
    <row r="274" spans="4:9">
      <c r="D274" s="308"/>
      <c r="E274" s="308"/>
      <c r="F274" s="308"/>
      <c r="G274" s="308"/>
      <c r="H274" s="308"/>
      <c r="I274" s="308"/>
    </row>
    <row r="275" spans="4:9">
      <c r="D275" s="308"/>
      <c r="E275" s="308"/>
      <c r="F275" s="308"/>
      <c r="G275" s="308"/>
      <c r="H275" s="308"/>
      <c r="I275" s="308"/>
    </row>
    <row r="276" spans="4:9">
      <c r="D276" s="308"/>
      <c r="E276" s="308"/>
      <c r="F276" s="308"/>
      <c r="G276" s="308"/>
      <c r="H276" s="308"/>
      <c r="I276" s="308"/>
    </row>
    <row r="277" spans="4:9">
      <c r="D277" s="308"/>
      <c r="E277" s="308"/>
      <c r="F277" s="308"/>
      <c r="G277" s="308"/>
      <c r="H277" s="308"/>
      <c r="I277" s="308"/>
    </row>
    <row r="278" spans="4:9">
      <c r="D278" s="308"/>
      <c r="E278" s="308"/>
      <c r="F278" s="308"/>
      <c r="G278" s="308"/>
      <c r="H278" s="308"/>
      <c r="I278" s="308"/>
    </row>
    <row r="279" spans="4:9">
      <c r="D279" s="308"/>
      <c r="E279" s="308"/>
      <c r="F279" s="308"/>
      <c r="G279" s="308"/>
      <c r="H279" s="308"/>
      <c r="I279" s="308"/>
    </row>
    <row r="280" spans="4:9">
      <c r="D280" s="308"/>
      <c r="E280" s="308"/>
      <c r="F280" s="308"/>
      <c r="G280" s="308"/>
      <c r="H280" s="308"/>
      <c r="I280" s="308"/>
    </row>
    <row r="281" spans="4:9">
      <c r="D281" s="308"/>
      <c r="E281" s="308"/>
      <c r="F281" s="308"/>
      <c r="G281" s="308"/>
      <c r="H281" s="308"/>
      <c r="I281" s="308"/>
    </row>
    <row r="282" spans="4:9">
      <c r="D282" s="308"/>
      <c r="E282" s="308"/>
      <c r="F282" s="308"/>
      <c r="G282" s="308"/>
      <c r="H282" s="308"/>
      <c r="I282" s="308"/>
    </row>
    <row r="283" spans="4:9">
      <c r="D283" s="308"/>
      <c r="E283" s="308"/>
      <c r="F283" s="308"/>
      <c r="G283" s="308"/>
      <c r="H283" s="308"/>
      <c r="I283" s="308"/>
    </row>
    <row r="284" spans="4:9">
      <c r="D284" s="308"/>
      <c r="E284" s="308"/>
      <c r="F284" s="308"/>
      <c r="G284" s="308"/>
      <c r="H284" s="308"/>
      <c r="I284" s="308"/>
    </row>
    <row r="285" spans="4:9">
      <c r="D285" s="308"/>
      <c r="E285" s="308"/>
      <c r="F285" s="308"/>
      <c r="G285" s="308"/>
      <c r="H285" s="308"/>
      <c r="I285" s="308"/>
    </row>
    <row r="286" spans="4:9">
      <c r="D286" s="308"/>
      <c r="E286" s="308"/>
      <c r="F286" s="308"/>
      <c r="G286" s="308"/>
      <c r="H286" s="308"/>
      <c r="I286" s="308"/>
    </row>
    <row r="287" spans="4:9">
      <c r="D287" s="308"/>
      <c r="E287" s="308"/>
      <c r="F287" s="308"/>
      <c r="G287" s="308"/>
      <c r="H287" s="308"/>
      <c r="I287" s="308"/>
    </row>
    <row r="288" spans="4:9">
      <c r="D288" s="308"/>
      <c r="E288" s="308"/>
      <c r="F288" s="308"/>
      <c r="G288" s="308"/>
      <c r="H288" s="308"/>
      <c r="I288" s="308"/>
    </row>
    <row r="289" spans="4:9">
      <c r="D289" s="308"/>
      <c r="E289" s="308"/>
      <c r="F289" s="308"/>
      <c r="G289" s="308"/>
      <c r="H289" s="308"/>
      <c r="I289" s="308"/>
    </row>
    <row r="290" spans="4:9">
      <c r="D290" s="308"/>
      <c r="E290" s="308"/>
      <c r="F290" s="308"/>
      <c r="G290" s="308"/>
      <c r="H290" s="308"/>
      <c r="I290" s="308"/>
    </row>
    <row r="291" spans="4:9">
      <c r="D291" s="308"/>
      <c r="E291" s="308"/>
      <c r="F291" s="308"/>
      <c r="G291" s="308"/>
      <c r="H291" s="308"/>
      <c r="I291" s="308"/>
    </row>
    <row r="292" spans="4:9">
      <c r="D292" s="308"/>
      <c r="E292" s="308"/>
      <c r="F292" s="308"/>
      <c r="G292" s="308"/>
      <c r="H292" s="308"/>
      <c r="I292" s="308"/>
    </row>
    <row r="293" spans="4:9">
      <c r="D293" s="308"/>
      <c r="E293" s="308"/>
      <c r="F293" s="308"/>
      <c r="G293" s="308"/>
      <c r="H293" s="308"/>
      <c r="I293" s="308"/>
    </row>
    <row r="294" spans="4:9">
      <c r="D294" s="308"/>
      <c r="E294" s="308"/>
      <c r="F294" s="308"/>
      <c r="G294" s="308"/>
      <c r="H294" s="308"/>
      <c r="I294" s="308"/>
    </row>
    <row r="295" spans="4:9">
      <c r="D295" s="308"/>
      <c r="E295" s="308"/>
      <c r="F295" s="308"/>
      <c r="G295" s="308"/>
      <c r="H295" s="308"/>
      <c r="I295" s="308"/>
    </row>
    <row r="296" spans="4:9">
      <c r="D296" s="308"/>
      <c r="E296" s="308"/>
      <c r="F296" s="308"/>
      <c r="G296" s="308"/>
      <c r="H296" s="308"/>
      <c r="I296" s="308"/>
    </row>
    <row r="297" spans="4:9">
      <c r="D297" s="308"/>
      <c r="E297" s="308"/>
      <c r="F297" s="308"/>
      <c r="G297" s="308"/>
      <c r="H297" s="308"/>
      <c r="I297" s="308"/>
    </row>
    <row r="298" spans="4:9">
      <c r="D298" s="308"/>
      <c r="E298" s="308"/>
      <c r="F298" s="308"/>
      <c r="G298" s="308"/>
      <c r="H298" s="308"/>
      <c r="I298" s="308"/>
    </row>
    <row r="299" spans="4:9">
      <c r="D299" s="308"/>
      <c r="E299" s="308"/>
      <c r="F299" s="308"/>
      <c r="G299" s="308"/>
      <c r="H299" s="308"/>
      <c r="I299" s="308"/>
    </row>
    <row r="300" spans="4:9">
      <c r="D300" s="308"/>
      <c r="E300" s="308"/>
      <c r="F300" s="308"/>
      <c r="G300" s="308"/>
      <c r="H300" s="308"/>
      <c r="I300" s="308"/>
    </row>
    <row r="301" spans="4:9">
      <c r="D301" s="308"/>
      <c r="E301" s="308"/>
      <c r="F301" s="308"/>
      <c r="G301" s="308"/>
      <c r="H301" s="308"/>
      <c r="I301" s="308"/>
    </row>
    <row r="302" spans="4:9">
      <c r="D302" s="308"/>
      <c r="E302" s="308"/>
      <c r="F302" s="308"/>
      <c r="G302" s="308"/>
      <c r="H302" s="308"/>
      <c r="I302" s="308"/>
    </row>
    <row r="303" spans="4:9">
      <c r="D303" s="308"/>
      <c r="E303" s="308"/>
      <c r="F303" s="308"/>
      <c r="G303" s="308"/>
      <c r="H303" s="308"/>
      <c r="I303" s="308"/>
    </row>
    <row r="304" spans="4:9">
      <c r="D304" s="308"/>
      <c r="E304" s="308"/>
      <c r="F304" s="308"/>
      <c r="G304" s="308"/>
      <c r="H304" s="308"/>
      <c r="I304" s="308"/>
    </row>
    <row r="305" spans="4:9">
      <c r="D305" s="308"/>
      <c r="E305" s="308"/>
      <c r="F305" s="308"/>
      <c r="G305" s="308"/>
      <c r="H305" s="308"/>
      <c r="I305" s="308"/>
    </row>
    <row r="306" spans="4:9">
      <c r="D306" s="308"/>
      <c r="E306" s="308"/>
      <c r="F306" s="308"/>
      <c r="G306" s="308"/>
      <c r="H306" s="308"/>
      <c r="I306" s="308"/>
    </row>
    <row r="307" spans="4:9">
      <c r="D307" s="308"/>
      <c r="E307" s="308"/>
      <c r="F307" s="308"/>
      <c r="G307" s="308"/>
      <c r="H307" s="308"/>
      <c r="I307" s="308"/>
    </row>
    <row r="308" spans="4:9">
      <c r="D308" s="308"/>
      <c r="E308" s="308"/>
      <c r="F308" s="308"/>
      <c r="G308" s="308"/>
      <c r="H308" s="308"/>
      <c r="I308" s="308"/>
    </row>
    <row r="309" spans="4:9">
      <c r="D309" s="308"/>
      <c r="E309" s="308"/>
      <c r="F309" s="308"/>
      <c r="G309" s="308"/>
      <c r="H309" s="308"/>
      <c r="I309" s="308"/>
    </row>
    <row r="310" spans="4:9">
      <c r="D310" s="308"/>
      <c r="E310" s="308"/>
      <c r="F310" s="308"/>
      <c r="G310" s="308"/>
      <c r="H310" s="308"/>
      <c r="I310" s="308"/>
    </row>
    <row r="311" spans="4:9">
      <c r="D311" s="308"/>
      <c r="E311" s="308"/>
      <c r="F311" s="308"/>
      <c r="G311" s="308"/>
      <c r="H311" s="308"/>
      <c r="I311" s="308"/>
    </row>
    <row r="312" spans="4:9">
      <c r="D312" s="308"/>
      <c r="E312" s="308"/>
      <c r="F312" s="308"/>
      <c r="G312" s="308"/>
      <c r="H312" s="308"/>
      <c r="I312" s="308"/>
    </row>
    <row r="313" spans="4:9">
      <c r="D313" s="308"/>
      <c r="E313" s="308"/>
      <c r="F313" s="308"/>
      <c r="G313" s="308"/>
      <c r="H313" s="308"/>
      <c r="I313" s="308"/>
    </row>
    <row r="314" spans="4:9">
      <c r="D314" s="308"/>
      <c r="E314" s="308"/>
      <c r="F314" s="308"/>
      <c r="G314" s="308"/>
      <c r="H314" s="308"/>
      <c r="I314" s="308"/>
    </row>
    <row r="315" spans="4:9">
      <c r="D315" s="308"/>
      <c r="E315" s="308"/>
      <c r="F315" s="308"/>
      <c r="G315" s="308"/>
      <c r="H315" s="308"/>
      <c r="I315" s="308"/>
    </row>
    <row r="316" spans="4:9">
      <c r="D316" s="308"/>
      <c r="E316" s="308"/>
      <c r="F316" s="308"/>
      <c r="G316" s="308"/>
      <c r="H316" s="308"/>
      <c r="I316" s="308"/>
    </row>
    <row r="317" spans="4:9">
      <c r="D317" s="308"/>
      <c r="E317" s="308"/>
      <c r="F317" s="308"/>
      <c r="G317" s="308"/>
      <c r="H317" s="308"/>
      <c r="I317" s="308"/>
    </row>
    <row r="318" spans="4:9">
      <c r="D318" s="308"/>
      <c r="E318" s="308"/>
      <c r="F318" s="308"/>
      <c r="G318" s="308"/>
      <c r="H318" s="308"/>
      <c r="I318" s="308"/>
    </row>
    <row r="319" spans="4:9">
      <c r="D319" s="308"/>
      <c r="E319" s="308"/>
      <c r="F319" s="308"/>
      <c r="G319" s="308"/>
      <c r="H319" s="308"/>
      <c r="I319" s="308"/>
    </row>
    <row r="320" spans="4:9">
      <c r="D320" s="308"/>
      <c r="E320" s="308"/>
      <c r="F320" s="308"/>
      <c r="G320" s="308"/>
      <c r="H320" s="308"/>
      <c r="I320" s="308"/>
    </row>
    <row r="321" spans="4:9">
      <c r="D321" s="308"/>
      <c r="E321" s="308"/>
      <c r="F321" s="308"/>
      <c r="G321" s="308"/>
      <c r="H321" s="308"/>
      <c r="I321" s="308"/>
    </row>
    <row r="322" spans="4:9">
      <c r="D322" s="308"/>
      <c r="E322" s="308"/>
      <c r="F322" s="308"/>
      <c r="G322" s="308"/>
      <c r="H322" s="308"/>
      <c r="I322" s="308"/>
    </row>
    <row r="323" spans="4:9">
      <c r="D323" s="308"/>
      <c r="E323" s="308"/>
      <c r="F323" s="308"/>
      <c r="G323" s="308"/>
      <c r="H323" s="308"/>
      <c r="I323" s="308"/>
    </row>
    <row r="324" spans="4:9">
      <c r="D324" s="308"/>
      <c r="E324" s="308"/>
      <c r="F324" s="308"/>
      <c r="G324" s="308"/>
      <c r="H324" s="308"/>
      <c r="I324" s="308"/>
    </row>
    <row r="325" spans="4:9">
      <c r="D325" s="308"/>
      <c r="E325" s="308"/>
      <c r="F325" s="308"/>
      <c r="G325" s="308"/>
      <c r="H325" s="308"/>
      <c r="I325" s="308"/>
    </row>
    <row r="326" spans="4:9">
      <c r="D326" s="308"/>
      <c r="E326" s="308"/>
      <c r="F326" s="308"/>
      <c r="G326" s="308"/>
      <c r="H326" s="308"/>
      <c r="I326" s="308"/>
    </row>
    <row r="327" spans="4:9">
      <c r="D327" s="308"/>
      <c r="E327" s="308"/>
      <c r="F327" s="308"/>
      <c r="G327" s="308"/>
      <c r="H327" s="308"/>
      <c r="I327" s="308"/>
    </row>
    <row r="328" spans="4:9">
      <c r="D328" s="308"/>
      <c r="E328" s="308"/>
      <c r="F328" s="308"/>
      <c r="G328" s="308"/>
      <c r="H328" s="308"/>
      <c r="I328" s="308"/>
    </row>
    <row r="329" spans="4:9">
      <c r="D329" s="308"/>
      <c r="E329" s="308"/>
      <c r="F329" s="308"/>
      <c r="G329" s="308"/>
      <c r="H329" s="308"/>
      <c r="I329" s="308"/>
    </row>
    <row r="330" spans="4:9">
      <c r="D330" s="308"/>
      <c r="E330" s="308"/>
      <c r="F330" s="308"/>
      <c r="G330" s="308"/>
      <c r="H330" s="308"/>
      <c r="I330" s="308"/>
    </row>
    <row r="331" spans="4:9">
      <c r="D331" s="308"/>
      <c r="E331" s="308"/>
      <c r="F331" s="308"/>
      <c r="G331" s="308"/>
      <c r="H331" s="308"/>
      <c r="I331" s="308"/>
    </row>
    <row r="332" spans="4:9">
      <c r="D332" s="308"/>
      <c r="E332" s="308"/>
      <c r="F332" s="308"/>
      <c r="G332" s="308"/>
      <c r="H332" s="308"/>
      <c r="I332" s="308"/>
    </row>
    <row r="333" spans="4:9">
      <c r="D333" s="308"/>
      <c r="E333" s="308"/>
      <c r="F333" s="308"/>
      <c r="G333" s="308"/>
      <c r="H333" s="308"/>
      <c r="I333" s="308"/>
    </row>
    <row r="334" spans="4:9">
      <c r="D334" s="308"/>
      <c r="E334" s="308"/>
      <c r="F334" s="308"/>
      <c r="G334" s="308"/>
      <c r="H334" s="308"/>
      <c r="I334" s="308"/>
    </row>
    <row r="335" spans="4:9">
      <c r="D335" s="308"/>
      <c r="E335" s="308"/>
      <c r="F335" s="308"/>
      <c r="G335" s="308"/>
      <c r="H335" s="308"/>
      <c r="I335" s="308"/>
    </row>
    <row r="336" spans="4:9">
      <c r="D336" s="308"/>
      <c r="E336" s="308"/>
      <c r="F336" s="308"/>
      <c r="G336" s="308"/>
      <c r="H336" s="308"/>
      <c r="I336" s="308"/>
    </row>
    <row r="337" spans="4:9">
      <c r="D337" s="308"/>
      <c r="E337" s="308"/>
      <c r="F337" s="308"/>
      <c r="G337" s="308"/>
      <c r="H337" s="308"/>
      <c r="I337" s="308"/>
    </row>
    <row r="338" spans="4:9">
      <c r="D338" s="308"/>
      <c r="E338" s="308"/>
      <c r="F338" s="308"/>
      <c r="G338" s="308"/>
      <c r="H338" s="308"/>
      <c r="I338" s="308"/>
    </row>
    <row r="339" spans="4:9">
      <c r="D339" s="308"/>
      <c r="E339" s="308"/>
      <c r="F339" s="308"/>
      <c r="G339" s="308"/>
      <c r="H339" s="308"/>
      <c r="I339" s="308"/>
    </row>
    <row r="340" spans="4:9">
      <c r="D340" s="308"/>
      <c r="E340" s="308"/>
      <c r="F340" s="308"/>
      <c r="G340" s="308"/>
      <c r="H340" s="308"/>
      <c r="I340" s="308"/>
    </row>
    <row r="341" spans="4:9">
      <c r="D341" s="308"/>
      <c r="E341" s="308"/>
      <c r="F341" s="308"/>
      <c r="G341" s="308"/>
      <c r="H341" s="308"/>
      <c r="I341" s="308"/>
    </row>
    <row r="342" spans="4:9">
      <c r="D342" s="308"/>
      <c r="E342" s="308"/>
      <c r="F342" s="308"/>
      <c r="G342" s="308"/>
      <c r="H342" s="308"/>
      <c r="I342" s="308"/>
    </row>
    <row r="343" spans="4:9">
      <c r="D343" s="308"/>
      <c r="E343" s="308"/>
      <c r="F343" s="308"/>
      <c r="G343" s="308"/>
      <c r="H343" s="308"/>
      <c r="I343" s="308"/>
    </row>
    <row r="344" spans="4:9">
      <c r="D344" s="308"/>
      <c r="E344" s="308"/>
      <c r="F344" s="308"/>
      <c r="G344" s="308"/>
      <c r="H344" s="308"/>
      <c r="I344" s="308"/>
    </row>
    <row r="345" spans="4:9">
      <c r="D345" s="308"/>
      <c r="E345" s="308"/>
      <c r="F345" s="308"/>
      <c r="G345" s="308"/>
      <c r="H345" s="308"/>
      <c r="I345" s="308"/>
    </row>
    <row r="346" spans="4:9">
      <c r="D346" s="308"/>
      <c r="E346" s="308"/>
      <c r="F346" s="308"/>
      <c r="G346" s="308"/>
      <c r="H346" s="308"/>
      <c r="I346" s="308"/>
    </row>
    <row r="347" spans="4:9">
      <c r="D347" s="308"/>
      <c r="E347" s="308"/>
      <c r="F347" s="308"/>
      <c r="G347" s="308"/>
      <c r="H347" s="308"/>
      <c r="I347" s="308"/>
    </row>
    <row r="348" spans="4:9">
      <c r="D348" s="308"/>
      <c r="E348" s="308"/>
      <c r="F348" s="308"/>
      <c r="G348" s="308"/>
      <c r="H348" s="308"/>
      <c r="I348" s="308"/>
    </row>
    <row r="349" spans="4:9">
      <c r="D349" s="308"/>
      <c r="E349" s="308"/>
      <c r="F349" s="308"/>
      <c r="G349" s="308"/>
      <c r="H349" s="308"/>
      <c r="I349" s="308"/>
    </row>
    <row r="350" spans="4:9">
      <c r="D350" s="308"/>
      <c r="E350" s="308"/>
      <c r="F350" s="308"/>
      <c r="G350" s="308"/>
      <c r="H350" s="308"/>
      <c r="I350" s="308"/>
    </row>
    <row r="351" spans="4:9">
      <c r="D351" s="308"/>
      <c r="E351" s="308"/>
      <c r="F351" s="308"/>
      <c r="G351" s="308"/>
      <c r="H351" s="308"/>
      <c r="I351" s="308"/>
    </row>
    <row r="352" spans="4:9">
      <c r="D352" s="308"/>
      <c r="E352" s="308"/>
      <c r="F352" s="308"/>
      <c r="G352" s="308"/>
      <c r="H352" s="308"/>
      <c r="I352" s="308"/>
    </row>
    <row r="353" spans="4:9">
      <c r="D353" s="308"/>
      <c r="E353" s="308"/>
      <c r="F353" s="308"/>
      <c r="G353" s="308"/>
      <c r="H353" s="308"/>
      <c r="I353" s="308"/>
    </row>
    <row r="354" spans="4:9">
      <c r="D354" s="308"/>
      <c r="E354" s="308"/>
      <c r="F354" s="308"/>
      <c r="G354" s="308"/>
      <c r="H354" s="308"/>
      <c r="I354" s="308"/>
    </row>
    <row r="355" spans="4:9">
      <c r="D355" s="308"/>
      <c r="E355" s="308"/>
      <c r="F355" s="308"/>
      <c r="G355" s="308"/>
      <c r="H355" s="308"/>
      <c r="I355" s="308"/>
    </row>
    <row r="356" spans="4:9">
      <c r="D356" s="308"/>
      <c r="E356" s="308"/>
      <c r="F356" s="308"/>
      <c r="G356" s="308"/>
      <c r="H356" s="308"/>
      <c r="I356" s="308"/>
    </row>
    <row r="357" spans="4:9">
      <c r="D357" s="308"/>
      <c r="E357" s="308"/>
      <c r="F357" s="308"/>
      <c r="G357" s="308"/>
      <c r="H357" s="308"/>
      <c r="I357" s="308"/>
    </row>
    <row r="358" spans="4:9">
      <c r="D358" s="308"/>
      <c r="E358" s="308"/>
      <c r="F358" s="308"/>
      <c r="G358" s="308"/>
      <c r="H358" s="308"/>
      <c r="I358" s="308"/>
    </row>
    <row r="359" spans="4:9">
      <c r="D359" s="308"/>
      <c r="E359" s="308"/>
      <c r="F359" s="308"/>
      <c r="G359" s="308"/>
      <c r="H359" s="308"/>
      <c r="I359" s="308"/>
    </row>
    <row r="360" spans="4:9">
      <c r="D360" s="308"/>
      <c r="E360" s="308"/>
      <c r="F360" s="308"/>
      <c r="G360" s="308"/>
      <c r="H360" s="308"/>
      <c r="I360" s="308"/>
    </row>
    <row r="361" spans="4:9">
      <c r="D361" s="308"/>
      <c r="E361" s="308"/>
      <c r="F361" s="308"/>
      <c r="G361" s="308"/>
      <c r="H361" s="308"/>
      <c r="I361" s="308"/>
    </row>
    <row r="362" spans="4:9">
      <c r="D362" s="308"/>
      <c r="E362" s="308"/>
      <c r="F362" s="308"/>
      <c r="G362" s="308"/>
      <c r="H362" s="308"/>
      <c r="I362" s="308"/>
    </row>
    <row r="363" spans="4:9">
      <c r="D363" s="308"/>
      <c r="E363" s="308"/>
      <c r="F363" s="308"/>
      <c r="G363" s="308"/>
      <c r="H363" s="308"/>
      <c r="I363" s="308"/>
    </row>
    <row r="364" spans="4:9">
      <c r="D364" s="308"/>
      <c r="E364" s="308"/>
      <c r="F364" s="308"/>
      <c r="G364" s="308"/>
      <c r="H364" s="308"/>
      <c r="I364" s="308"/>
    </row>
    <row r="365" spans="4:9">
      <c r="D365" s="308"/>
      <c r="E365" s="308"/>
      <c r="F365" s="308"/>
      <c r="G365" s="308"/>
      <c r="H365" s="308"/>
      <c r="I365" s="308"/>
    </row>
    <row r="366" spans="4:9">
      <c r="D366" s="308"/>
      <c r="E366" s="308"/>
      <c r="F366" s="308"/>
      <c r="G366" s="308"/>
      <c r="H366" s="308"/>
      <c r="I366" s="308"/>
    </row>
    <row r="367" spans="4:9">
      <c r="D367" s="308"/>
      <c r="E367" s="308"/>
      <c r="F367" s="308"/>
      <c r="G367" s="308"/>
      <c r="H367" s="308"/>
      <c r="I367" s="308"/>
    </row>
    <row r="368" spans="4:9">
      <c r="D368" s="308"/>
      <c r="E368" s="308"/>
      <c r="F368" s="308"/>
      <c r="G368" s="308"/>
      <c r="H368" s="308"/>
      <c r="I368" s="308"/>
    </row>
    <row r="369" spans="4:9">
      <c r="D369" s="308"/>
      <c r="E369" s="308"/>
      <c r="F369" s="308"/>
      <c r="G369" s="308"/>
      <c r="H369" s="308"/>
      <c r="I369" s="308"/>
    </row>
    <row r="370" spans="4:9">
      <c r="D370" s="308"/>
      <c r="E370" s="308"/>
      <c r="F370" s="308"/>
      <c r="G370" s="308"/>
      <c r="H370" s="308"/>
      <c r="I370" s="308"/>
    </row>
    <row r="371" spans="4:9">
      <c r="D371" s="308"/>
      <c r="E371" s="308"/>
      <c r="F371" s="308"/>
      <c r="G371" s="308"/>
      <c r="H371" s="308"/>
      <c r="I371" s="308"/>
    </row>
    <row r="372" spans="4:9">
      <c r="D372" s="308"/>
      <c r="E372" s="308"/>
      <c r="F372" s="308"/>
      <c r="G372" s="308"/>
      <c r="H372" s="308"/>
      <c r="I372" s="308"/>
    </row>
    <row r="373" spans="4:9">
      <c r="D373" s="308"/>
      <c r="E373" s="308"/>
      <c r="F373" s="308"/>
      <c r="G373" s="308"/>
      <c r="H373" s="308"/>
      <c r="I373" s="308"/>
    </row>
    <row r="374" spans="4:9">
      <c r="D374" s="308"/>
      <c r="E374" s="308"/>
      <c r="F374" s="308"/>
      <c r="G374" s="308"/>
      <c r="H374" s="308"/>
      <c r="I374" s="30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5197C-EC9E-4E1B-A521-6EC090C2371A}">
  <sheetPr codeName="Sheet8"/>
  <dimension ref="B1:K273"/>
  <sheetViews>
    <sheetView topLeftCell="A4" workbookViewId="0"/>
  </sheetViews>
  <sheetFormatPr defaultColWidth="8.85546875" defaultRowHeight="15"/>
  <cols>
    <col min="1" max="1" width="1.85546875" style="307" customWidth="1"/>
    <col min="2" max="2" width="45.7109375" style="307" customWidth="1"/>
    <col min="3" max="3" width="11.5703125" style="307" bestFit="1" customWidth="1"/>
    <col min="4" max="4" width="12.28515625" style="307" bestFit="1" customWidth="1"/>
    <col min="5" max="5" width="13.28515625" style="307" customWidth="1"/>
    <col min="6" max="7" width="11.5703125" style="307" bestFit="1" customWidth="1"/>
    <col min="8" max="8" width="12" style="307" customWidth="1"/>
    <col min="9" max="9" width="34" style="307" customWidth="1"/>
    <col min="10" max="10" width="13" style="307" customWidth="1"/>
    <col min="11" max="16384" width="8.85546875" style="307"/>
  </cols>
  <sheetData>
    <row r="1" spans="2:10" hidden="1"/>
    <row r="2" spans="2:10" hidden="1"/>
    <row r="3" spans="2:10" hidden="1"/>
    <row r="4" spans="2:10" ht="28.9" customHeight="1">
      <c r="B4" s="324"/>
      <c r="C4" s="323" t="s">
        <v>240</v>
      </c>
      <c r="D4" s="323" t="s">
        <v>241</v>
      </c>
      <c r="E4" s="323" t="s">
        <v>242</v>
      </c>
      <c r="F4" s="323" t="s">
        <v>243</v>
      </c>
      <c r="G4" s="323" t="s">
        <v>240</v>
      </c>
      <c r="H4" s="323"/>
    </row>
    <row r="5" spans="2:10" ht="15.75">
      <c r="B5" s="320" t="s">
        <v>20</v>
      </c>
      <c r="C5" s="321">
        <f>SUM(D5:F5)</f>
        <v>9008622</v>
      </c>
      <c r="D5" s="321">
        <v>4669840</v>
      </c>
      <c r="E5" s="318">
        <v>537398</v>
      </c>
      <c r="F5" s="321">
        <v>3801384</v>
      </c>
      <c r="G5" s="318">
        <f>SUM(D5:F5)</f>
        <v>9008622</v>
      </c>
      <c r="H5" s="317"/>
    </row>
    <row r="6" spans="2:10" ht="15.75">
      <c r="B6" s="320" t="s">
        <v>285</v>
      </c>
      <c r="C6" s="321">
        <f>SUM(D6:F6)</f>
        <v>673988</v>
      </c>
      <c r="D6" s="321">
        <v>339450</v>
      </c>
      <c r="E6" s="318">
        <v>0</v>
      </c>
      <c r="F6" s="321">
        <v>334538</v>
      </c>
      <c r="G6" s="318">
        <f>SUM(D6:F6)</f>
        <v>673988</v>
      </c>
      <c r="H6" s="317"/>
      <c r="I6" s="317">
        <f>-F6</f>
        <v>-334538</v>
      </c>
    </row>
    <row r="7" spans="2:10" ht="15.75">
      <c r="B7" s="320" t="s">
        <v>286</v>
      </c>
      <c r="C7" s="321">
        <f>SUM(D7:F7)</f>
        <v>-153544</v>
      </c>
      <c r="D7" s="321">
        <v>-76847</v>
      </c>
      <c r="E7" s="318">
        <v>0</v>
      </c>
      <c r="F7" s="321">
        <v>-76697</v>
      </c>
      <c r="G7" s="318">
        <f>SUM(D7:F7)</f>
        <v>-153544</v>
      </c>
      <c r="H7" s="317"/>
    </row>
    <row r="8" spans="2:10" ht="15.75">
      <c r="B8" s="320" t="s">
        <v>287</v>
      </c>
      <c r="C8" s="321">
        <f>SUM(D8:F8)</f>
        <v>9529066</v>
      </c>
      <c r="D8" s="321">
        <f>SUM(D5:D7)</f>
        <v>4932443</v>
      </c>
      <c r="E8" s="321">
        <f>SUM(E5:E7)</f>
        <v>537398</v>
      </c>
      <c r="F8" s="321">
        <f>SUM(F5:F7)</f>
        <v>4059225</v>
      </c>
      <c r="G8" s="318">
        <f>SUM(D8:F8)</f>
        <v>9529066</v>
      </c>
      <c r="H8" s="317"/>
    </row>
    <row r="9" spans="2:10" ht="15.75">
      <c r="B9" s="320"/>
      <c r="C9" s="321"/>
      <c r="D9" s="321"/>
      <c r="E9" s="321"/>
      <c r="F9" s="321"/>
      <c r="G9" s="318"/>
      <c r="H9" s="317"/>
    </row>
    <row r="10" spans="2:10" ht="15.75">
      <c r="B10" s="320" t="s">
        <v>288</v>
      </c>
      <c r="C10" s="321"/>
      <c r="D10" s="321"/>
      <c r="E10" s="321"/>
      <c r="F10" s="321"/>
      <c r="G10" s="318"/>
      <c r="H10" s="317"/>
    </row>
    <row r="11" spans="2:10" ht="15.75">
      <c r="B11" s="320"/>
      <c r="C11" s="321"/>
      <c r="D11" s="321"/>
      <c r="E11" s="321"/>
      <c r="F11" s="321"/>
      <c r="G11" s="318"/>
      <c r="H11" s="317"/>
    </row>
    <row r="12" spans="2:10" ht="15.75">
      <c r="B12" s="320" t="s">
        <v>289</v>
      </c>
      <c r="C12" s="321">
        <f>SUM(D12:F12)</f>
        <v>313472</v>
      </c>
      <c r="D12" s="321">
        <f>'Mfg. Costs'!D47</f>
        <v>68571</v>
      </c>
      <c r="E12" s="321">
        <f>'Mfg. Costs'!E47</f>
        <v>0</v>
      </c>
      <c r="F12" s="321">
        <f>'Mfg. Costs'!F47</f>
        <v>244901</v>
      </c>
      <c r="G12" s="318">
        <f>SUM(D12:F12)</f>
        <v>313472</v>
      </c>
      <c r="H12" s="317"/>
    </row>
    <row r="13" spans="2:10" ht="15.75">
      <c r="B13" s="320" t="s">
        <v>290</v>
      </c>
      <c r="C13" s="321"/>
      <c r="D13" s="321"/>
      <c r="E13" s="321"/>
      <c r="F13" s="321"/>
      <c r="G13" s="318"/>
      <c r="H13" s="317"/>
    </row>
    <row r="14" spans="2:10" ht="15.75">
      <c r="B14" s="320"/>
      <c r="C14" s="321"/>
      <c r="D14" s="321"/>
      <c r="E14" s="321"/>
      <c r="F14" s="321"/>
      <c r="G14" s="318"/>
      <c r="H14" s="317"/>
    </row>
    <row r="15" spans="2:10" ht="15.75">
      <c r="B15" s="320" t="s">
        <v>29</v>
      </c>
      <c r="C15" s="321">
        <f t="shared" ref="C15:C22" si="0">SUM(D15:F15)</f>
        <v>3635090</v>
      </c>
      <c r="D15" s="321">
        <f>'Mfg. Costs'!D7</f>
        <v>1914909</v>
      </c>
      <c r="E15" s="321">
        <f>'Mfg. Costs'!E7</f>
        <v>-382</v>
      </c>
      <c r="F15" s="321">
        <f>'Mfg. Costs'!F7</f>
        <v>1720563</v>
      </c>
      <c r="G15" s="318">
        <f t="shared" ref="G15:G23" si="1">SUM(D15:F15)</f>
        <v>3635090</v>
      </c>
      <c r="H15" s="317"/>
      <c r="I15" s="307" t="s">
        <v>291</v>
      </c>
      <c r="J15" s="318">
        <f>SUM(D44:F44)</f>
        <v>7692598</v>
      </c>
    </row>
    <row r="16" spans="2:10" ht="15.75">
      <c r="B16" s="320" t="s">
        <v>292</v>
      </c>
      <c r="C16" s="321">
        <f t="shared" si="0"/>
        <v>187628</v>
      </c>
      <c r="D16" s="321">
        <f>'Mfg. Costs'!D8+'Mfg. Costs'!D9</f>
        <v>101577</v>
      </c>
      <c r="E16" s="321">
        <f>'Mfg. Costs'!E8+'Mfg. Costs'!E9</f>
        <v>0</v>
      </c>
      <c r="F16" s="321">
        <f>'Mfg. Costs'!F8+'Mfg. Costs'!F9</f>
        <v>86051</v>
      </c>
      <c r="G16" s="318">
        <f t="shared" si="1"/>
        <v>187628</v>
      </c>
      <c r="H16" s="317"/>
      <c r="I16" s="307" t="s">
        <v>293</v>
      </c>
      <c r="J16" s="318">
        <v>172398</v>
      </c>
    </row>
    <row r="17" spans="2:11" ht="15.75">
      <c r="B17" s="320" t="s">
        <v>35</v>
      </c>
      <c r="C17" s="321">
        <f t="shared" si="0"/>
        <v>94917</v>
      </c>
      <c r="D17" s="321">
        <f>'Mfg. Costs'!D10</f>
        <v>76717</v>
      </c>
      <c r="E17" s="321">
        <f>'Mfg. Costs'!E10</f>
        <v>1873</v>
      </c>
      <c r="F17" s="321">
        <f>'Mfg. Costs'!F10</f>
        <v>16327</v>
      </c>
      <c r="G17" s="318">
        <f t="shared" si="1"/>
        <v>94917</v>
      </c>
      <c r="H17" s="317"/>
      <c r="I17" s="307" t="s">
        <v>294</v>
      </c>
      <c r="J17" s="318">
        <f>SUM(J15:J16)</f>
        <v>7864996</v>
      </c>
    </row>
    <row r="18" spans="2:11" ht="15.75">
      <c r="B18" s="320" t="s">
        <v>250</v>
      </c>
      <c r="C18" s="321">
        <f t="shared" si="0"/>
        <v>206347</v>
      </c>
      <c r="D18" s="321">
        <f>'Mfg. Costs'!D11</f>
        <v>138195</v>
      </c>
      <c r="E18" s="321">
        <f>'Mfg. Costs'!E11</f>
        <v>4832</v>
      </c>
      <c r="F18" s="321">
        <f>'Mfg. Costs'!F11</f>
        <v>63320</v>
      </c>
      <c r="G18" s="318">
        <f t="shared" si="1"/>
        <v>206347</v>
      </c>
      <c r="H18" s="317"/>
    </row>
    <row r="19" spans="2:11" ht="15.75">
      <c r="B19" s="320" t="s">
        <v>251</v>
      </c>
      <c r="C19" s="321">
        <f t="shared" si="0"/>
        <v>121477</v>
      </c>
      <c r="D19" s="321">
        <f>'Mfg. Costs'!D12</f>
        <v>0</v>
      </c>
      <c r="E19" s="321">
        <f>'Mfg. Costs'!E12</f>
        <v>0</v>
      </c>
      <c r="F19" s="321">
        <f>'Mfg. Costs'!F12</f>
        <v>121477</v>
      </c>
      <c r="G19" s="318">
        <f t="shared" si="1"/>
        <v>121477</v>
      </c>
      <c r="H19" s="317"/>
    </row>
    <row r="20" spans="2:11" ht="15.75">
      <c r="B20" s="320" t="s">
        <v>252</v>
      </c>
      <c r="C20" s="321">
        <f t="shared" si="0"/>
        <v>69426</v>
      </c>
      <c r="D20" s="321">
        <f>'Mfg. Costs'!D13</f>
        <v>69426</v>
      </c>
      <c r="E20" s="321">
        <f>'Mfg. Costs'!E13</f>
        <v>0</v>
      </c>
      <c r="F20" s="321">
        <f>'Mfg. Costs'!F13</f>
        <v>0</v>
      </c>
      <c r="G20" s="318">
        <f t="shared" si="1"/>
        <v>69426</v>
      </c>
      <c r="H20" s="317"/>
      <c r="I20" s="307" t="s">
        <v>295</v>
      </c>
      <c r="J20" s="322">
        <f>D44/J15</f>
        <v>0.52657125720075326</v>
      </c>
    </row>
    <row r="21" spans="2:11" ht="15.75">
      <c r="B21" s="320" t="s">
        <v>36</v>
      </c>
      <c r="C21" s="321">
        <f t="shared" si="0"/>
        <v>31055</v>
      </c>
      <c r="D21" s="321">
        <v>31055</v>
      </c>
      <c r="E21" s="321">
        <v>0</v>
      </c>
      <c r="F21" s="321">
        <v>0</v>
      </c>
      <c r="G21" s="318">
        <f t="shared" si="1"/>
        <v>31055</v>
      </c>
      <c r="H21" s="317"/>
      <c r="I21" s="307" t="s">
        <v>296</v>
      </c>
      <c r="J21" s="322">
        <f>E44/J15</f>
        <v>5.0661948018081798E-2</v>
      </c>
    </row>
    <row r="22" spans="2:11" ht="15.75">
      <c r="B22" s="320" t="s">
        <v>38</v>
      </c>
      <c r="C22" s="321">
        <f t="shared" si="0"/>
        <v>2773</v>
      </c>
      <c r="D22" s="321">
        <v>0</v>
      </c>
      <c r="E22" s="321">
        <v>0</v>
      </c>
      <c r="F22" s="321">
        <v>2773</v>
      </c>
      <c r="G22" s="318">
        <f t="shared" si="1"/>
        <v>2773</v>
      </c>
      <c r="H22" s="317"/>
      <c r="I22" s="307" t="s">
        <v>297</v>
      </c>
      <c r="J22" s="322">
        <f>F44/J15</f>
        <v>0.42276679478116497</v>
      </c>
    </row>
    <row r="23" spans="2:11" ht="15.75">
      <c r="B23" s="320" t="s">
        <v>298</v>
      </c>
      <c r="C23" s="321">
        <f>SUM(C15:C22)</f>
        <v>4348713</v>
      </c>
      <c r="D23" s="321">
        <f>SUM(D15:D22)</f>
        <v>2331879</v>
      </c>
      <c r="E23" s="321">
        <f>SUM(E15:E22)</f>
        <v>6323</v>
      </c>
      <c r="F23" s="321">
        <f>SUM(F15:F22)</f>
        <v>2010511</v>
      </c>
      <c r="G23" s="318">
        <f t="shared" si="1"/>
        <v>4348713</v>
      </c>
      <c r="H23" s="317"/>
    </row>
    <row r="24" spans="2:11" ht="15.75">
      <c r="B24" s="320"/>
      <c r="C24" s="321"/>
      <c r="D24" s="321"/>
      <c r="E24" s="321"/>
      <c r="F24" s="321"/>
      <c r="G24" s="318"/>
      <c r="H24" s="317"/>
    </row>
    <row r="25" spans="2:11" ht="15.75">
      <c r="B25" s="320" t="s">
        <v>256</v>
      </c>
      <c r="C25" s="321"/>
      <c r="D25" s="321"/>
      <c r="E25" s="321"/>
      <c r="F25" s="321"/>
      <c r="G25" s="318"/>
      <c r="H25" s="317"/>
      <c r="I25" s="307" t="s">
        <v>299</v>
      </c>
      <c r="J25" s="318">
        <v>1011807</v>
      </c>
    </row>
    <row r="26" spans="2:11" ht="15.75">
      <c r="B26" s="320" t="str">
        <f>'Mfg. Costs'!B18</f>
        <v>Direct Labor Wages</v>
      </c>
      <c r="C26" s="321">
        <f t="shared" ref="C26:C31" si="2">SUM(D26:F26)</f>
        <v>1171096</v>
      </c>
      <c r="D26" s="321">
        <f>'Mfg. Costs'!D18</f>
        <v>723248</v>
      </c>
      <c r="E26" s="321">
        <f>'Mfg. Costs'!E18</f>
        <v>139496</v>
      </c>
      <c r="F26" s="321">
        <f>'Mfg. Costs'!F18</f>
        <v>308352</v>
      </c>
      <c r="G26" s="318">
        <f t="shared" ref="G26:G32" si="3">SUM(D26:F26)</f>
        <v>1171096</v>
      </c>
      <c r="H26" s="317"/>
      <c r="I26" s="307" t="s">
        <v>300</v>
      </c>
      <c r="J26" s="318">
        <f>34059+88</f>
        <v>34147</v>
      </c>
      <c r="K26" s="307" t="s">
        <v>301</v>
      </c>
    </row>
    <row r="27" spans="2:11" ht="15.75">
      <c r="B27" s="320" t="str">
        <f>'Mfg. Costs'!B19</f>
        <v>Indirect Labor Wages</v>
      </c>
      <c r="C27" s="321">
        <f t="shared" si="2"/>
        <v>638970</v>
      </c>
      <c r="D27" s="321">
        <f>'Mfg. Costs'!D19</f>
        <v>236265</v>
      </c>
      <c r="E27" s="321">
        <f>'Mfg. Costs'!E19</f>
        <v>82781</v>
      </c>
      <c r="F27" s="321">
        <f>'Mfg. Costs'!F19</f>
        <v>319924</v>
      </c>
      <c r="G27" s="318">
        <f t="shared" si="3"/>
        <v>638970</v>
      </c>
      <c r="H27" s="317"/>
      <c r="I27" s="307" t="s">
        <v>302</v>
      </c>
      <c r="J27" s="318">
        <v>276</v>
      </c>
    </row>
    <row r="28" spans="2:11" ht="15.75">
      <c r="B28" s="320" t="str">
        <f>'Mfg. Costs'!B29</f>
        <v>Taxes - Prod Payroll</v>
      </c>
      <c r="C28" s="321">
        <f t="shared" si="2"/>
        <v>177233</v>
      </c>
      <c r="D28" s="318">
        <f>'Mfg. Costs'!D29</f>
        <v>77804</v>
      </c>
      <c r="E28" s="318">
        <f>'Mfg. Costs'!E29</f>
        <v>23956</v>
      </c>
      <c r="F28" s="318">
        <f>'Mfg. Costs'!F29</f>
        <v>75473</v>
      </c>
      <c r="G28" s="318">
        <f t="shared" si="3"/>
        <v>177233</v>
      </c>
      <c r="H28" s="317"/>
      <c r="J28" s="318"/>
    </row>
    <row r="29" spans="2:11" ht="15.75">
      <c r="B29" s="320" t="str">
        <f>'Mfg. Costs'!B20</f>
        <v>Supervisor's Salaries</v>
      </c>
      <c r="C29" s="321">
        <f t="shared" si="2"/>
        <v>-32017</v>
      </c>
      <c r="D29" s="318">
        <f>'Mfg. Costs'!D20</f>
        <v>0</v>
      </c>
      <c r="E29" s="318">
        <f>'Mfg. Costs'!E20</f>
        <v>-32017</v>
      </c>
      <c r="F29" s="318">
        <f>'Mfg. Costs'!F20</f>
        <v>0</v>
      </c>
      <c r="G29" s="318">
        <f t="shared" si="3"/>
        <v>-32017</v>
      </c>
      <c r="H29" s="317"/>
      <c r="J29" s="318"/>
    </row>
    <row r="30" spans="2:11" ht="15.75">
      <c r="B30" s="320" t="str">
        <f>'Mfg. Costs'!B26</f>
        <v>Caretaking-Production</v>
      </c>
      <c r="C30" s="321">
        <f t="shared" si="2"/>
        <v>29974</v>
      </c>
      <c r="D30" s="318">
        <f>'Mfg. Costs'!D26</f>
        <v>19408</v>
      </c>
      <c r="E30" s="318">
        <f>'Mfg. Costs'!E26</f>
        <v>3472</v>
      </c>
      <c r="F30" s="318">
        <f>'Mfg. Costs'!F26</f>
        <v>7094</v>
      </c>
      <c r="G30" s="318">
        <f t="shared" si="3"/>
        <v>29974</v>
      </c>
      <c r="H30" s="317"/>
      <c r="I30" s="307" t="s">
        <v>303</v>
      </c>
      <c r="J30" s="318">
        <v>530386</v>
      </c>
    </row>
    <row r="31" spans="2:11" ht="15.75">
      <c r="B31" s="320" t="s">
        <v>304</v>
      </c>
      <c r="C31" s="321">
        <f t="shared" si="2"/>
        <v>400267</v>
      </c>
      <c r="D31" s="318">
        <f>'Mfg. Costs'!D28+'Mfg. Costs'!D30</f>
        <v>199401</v>
      </c>
      <c r="E31" s="318">
        <f>'Mfg. Costs'!E28+'Mfg. Costs'!E30</f>
        <v>74985</v>
      </c>
      <c r="F31" s="318">
        <f>'Mfg. Costs'!F28+'Mfg. Costs'!F30</f>
        <v>125881</v>
      </c>
      <c r="G31" s="318">
        <f t="shared" si="3"/>
        <v>400267</v>
      </c>
      <c r="H31" s="317"/>
      <c r="I31" s="307" t="s">
        <v>305</v>
      </c>
      <c r="J31" s="318">
        <v>136816</v>
      </c>
    </row>
    <row r="32" spans="2:11" ht="15.75">
      <c r="B32" s="320" t="s">
        <v>306</v>
      </c>
      <c r="C32" s="318">
        <f>SUM(C26:C31)</f>
        <v>2385523</v>
      </c>
      <c r="D32" s="318">
        <f>SUM(D26:D31)</f>
        <v>1256126</v>
      </c>
      <c r="E32" s="318">
        <f>SUM(E26:E31)</f>
        <v>292673</v>
      </c>
      <c r="F32" s="318">
        <f>SUM(F26:F31)</f>
        <v>836724</v>
      </c>
      <c r="G32" s="318">
        <f t="shared" si="3"/>
        <v>2385523</v>
      </c>
      <c r="H32" s="317"/>
      <c r="I32" s="307" t="s">
        <v>307</v>
      </c>
      <c r="J32" s="318">
        <v>320852</v>
      </c>
    </row>
    <row r="33" spans="2:10" ht="15.75">
      <c r="B33" s="320"/>
      <c r="C33" s="321"/>
      <c r="D33" s="321"/>
      <c r="E33" s="321"/>
      <c r="F33" s="321"/>
      <c r="G33" s="318"/>
      <c r="H33" s="317"/>
      <c r="I33" s="307" t="s">
        <v>308</v>
      </c>
      <c r="J33" s="318">
        <v>-34148</v>
      </c>
    </row>
    <row r="34" spans="2:10" ht="15.75">
      <c r="B34" s="320" t="s">
        <v>253</v>
      </c>
      <c r="C34" s="321"/>
      <c r="D34" s="321"/>
      <c r="E34" s="321"/>
      <c r="F34" s="321"/>
      <c r="G34" s="318"/>
      <c r="H34" s="317"/>
      <c r="I34" s="307" t="s">
        <v>309</v>
      </c>
      <c r="J34" s="318">
        <v>-1110653</v>
      </c>
    </row>
    <row r="35" spans="2:10" ht="15.75">
      <c r="B35" s="320" t="s">
        <v>272</v>
      </c>
      <c r="C35" s="321">
        <f t="shared" ref="C35:C40" si="4">SUM(D35:F35)</f>
        <v>126000</v>
      </c>
      <c r="D35" s="321">
        <f>'Mfg. Costs'!D34</f>
        <v>0</v>
      </c>
      <c r="E35" s="321">
        <f>'Mfg. Costs'!E34</f>
        <v>30000</v>
      </c>
      <c r="F35" s="321">
        <f>'Mfg. Costs'!F34</f>
        <v>96000</v>
      </c>
      <c r="G35" s="318">
        <f t="shared" ref="G35:G41" si="5">SUM(D35:F35)</f>
        <v>126000</v>
      </c>
      <c r="H35" s="317"/>
      <c r="I35" s="307" t="s">
        <v>240</v>
      </c>
      <c r="J35" s="318">
        <f>SUM(J30:J34)</f>
        <v>-156747</v>
      </c>
    </row>
    <row r="36" spans="2:10" ht="15.75">
      <c r="B36" s="320" t="s">
        <v>274</v>
      </c>
      <c r="C36" s="321">
        <f t="shared" si="4"/>
        <v>238879</v>
      </c>
      <c r="D36" s="321">
        <f>'Mfg. Costs'!D37</f>
        <v>110041</v>
      </c>
      <c r="E36" s="321">
        <f>'Mfg. Costs'!E37</f>
        <v>24643</v>
      </c>
      <c r="F36" s="321">
        <f>'Mfg. Costs'!F37</f>
        <v>104195</v>
      </c>
      <c r="G36" s="318">
        <f t="shared" si="5"/>
        <v>238879</v>
      </c>
      <c r="H36" s="317"/>
      <c r="J36" s="318"/>
    </row>
    <row r="37" spans="2:10" ht="15.75">
      <c r="B37" s="320" t="s">
        <v>59</v>
      </c>
      <c r="C37" s="321">
        <f t="shared" si="4"/>
        <v>170855</v>
      </c>
      <c r="D37" s="321">
        <f>'Mfg. Costs'!D24+'Mfg. Costs'!D25</f>
        <v>100486</v>
      </c>
      <c r="E37" s="321">
        <f>'Mfg. Costs'!E24+'Mfg. Costs'!E25</f>
        <v>3757</v>
      </c>
      <c r="F37" s="321">
        <f>'Mfg. Costs'!F24+'Mfg. Costs'!F25</f>
        <v>66612</v>
      </c>
      <c r="G37" s="318">
        <f t="shared" si="5"/>
        <v>170855</v>
      </c>
      <c r="H37" s="317"/>
      <c r="J37" s="318"/>
    </row>
    <row r="38" spans="2:10" ht="15.75">
      <c r="B38" s="320" t="s">
        <v>310</v>
      </c>
      <c r="C38" s="321">
        <f t="shared" si="4"/>
        <v>137971</v>
      </c>
      <c r="D38" s="321">
        <f>'Mfg. Costs'!D35</f>
        <v>67316</v>
      </c>
      <c r="E38" s="321">
        <f>'Mfg. Costs'!E35</f>
        <v>22352</v>
      </c>
      <c r="F38" s="321">
        <f>'Mfg. Costs'!F35</f>
        <v>48303</v>
      </c>
      <c r="G38" s="318">
        <f t="shared" si="5"/>
        <v>137971</v>
      </c>
      <c r="H38" s="317"/>
      <c r="J38" s="318"/>
    </row>
    <row r="39" spans="2:10" ht="15.75">
      <c r="B39" s="320" t="s">
        <v>311</v>
      </c>
      <c r="C39" s="321">
        <f t="shared" si="4"/>
        <v>134079</v>
      </c>
      <c r="D39" s="321">
        <f>'Mfg. Costs'!D14</f>
        <v>105961</v>
      </c>
      <c r="E39" s="321">
        <f>'Mfg. Costs'!E14</f>
        <v>0</v>
      </c>
      <c r="F39" s="321">
        <f>'Mfg. Costs'!F14</f>
        <v>28118</v>
      </c>
      <c r="G39" s="318">
        <f t="shared" si="5"/>
        <v>134079</v>
      </c>
      <c r="H39" s="317"/>
      <c r="I39" s="307" t="s">
        <v>312</v>
      </c>
      <c r="J39" s="318">
        <v>27919</v>
      </c>
    </row>
    <row r="40" spans="2:10" ht="15.75">
      <c r="B40" s="320" t="s">
        <v>313</v>
      </c>
      <c r="C40" s="321">
        <f t="shared" si="4"/>
        <v>101009</v>
      </c>
      <c r="D40" s="321">
        <f>'Mfg. Costs'!D31+'Mfg. Costs'!D32+'Mfg. Costs'!D33+'Mfg. Costs'!D36</f>
        <v>41545</v>
      </c>
      <c r="E40" s="321">
        <f>'Mfg. Costs'!E31+'Mfg. Costs'!E32+'Mfg. Costs'!E33+'Mfg. Costs'!E36</f>
        <v>9974</v>
      </c>
      <c r="F40" s="321">
        <f>'Mfg. Costs'!F31+'Mfg. Costs'!F32+'Mfg. Costs'!F33+'Mfg. Costs'!F36</f>
        <v>49490</v>
      </c>
      <c r="G40" s="318">
        <f t="shared" si="5"/>
        <v>101009</v>
      </c>
      <c r="H40" s="317"/>
      <c r="I40" s="307" t="s">
        <v>314</v>
      </c>
      <c r="J40" s="318">
        <v>7</v>
      </c>
    </row>
    <row r="41" spans="2:10" ht="15.75">
      <c r="B41" s="320" t="s">
        <v>315</v>
      </c>
      <c r="C41" s="321">
        <f>SUM(C35:C40)</f>
        <v>908793</v>
      </c>
      <c r="D41" s="321">
        <f>SUM(D35:D40)</f>
        <v>425349</v>
      </c>
      <c r="E41" s="321">
        <f>SUM(E35:E40)</f>
        <v>90726</v>
      </c>
      <c r="F41" s="321">
        <f>SUM(F35:F40)</f>
        <v>392718</v>
      </c>
      <c r="G41" s="318">
        <f t="shared" si="5"/>
        <v>908793</v>
      </c>
      <c r="H41" s="317"/>
      <c r="I41" s="307" t="s">
        <v>316</v>
      </c>
      <c r="J41" s="318">
        <v>-19149</v>
      </c>
    </row>
    <row r="42" spans="2:10" ht="15.75">
      <c r="C42" s="318"/>
      <c r="D42" s="318"/>
      <c r="E42" s="318"/>
      <c r="F42" s="318"/>
      <c r="G42" s="318"/>
      <c r="H42" s="317"/>
      <c r="I42" s="307" t="s">
        <v>317</v>
      </c>
      <c r="J42" s="318">
        <v>2666</v>
      </c>
    </row>
    <row r="43" spans="2:10" ht="15.75">
      <c r="B43" s="320" t="s">
        <v>318</v>
      </c>
      <c r="C43" s="318">
        <f>SUM(D43:F43)</f>
        <v>-226313</v>
      </c>
      <c r="D43" s="318">
        <f>-'Mfg. Costs'!D48</f>
        <v>-73583</v>
      </c>
      <c r="E43" s="318">
        <f>-'Mfg. Costs'!E48</f>
        <v>0</v>
      </c>
      <c r="F43" s="318">
        <f>-'Mfg. Costs'!F48</f>
        <v>-152730</v>
      </c>
      <c r="G43" s="318">
        <f>SUM(D43:F43)</f>
        <v>-226313</v>
      </c>
      <c r="H43" s="317"/>
      <c r="I43" s="307" t="s">
        <v>319</v>
      </c>
      <c r="J43" s="318">
        <v>62385</v>
      </c>
    </row>
    <row r="44" spans="2:10" ht="15.75">
      <c r="B44" s="320" t="s">
        <v>320</v>
      </c>
      <c r="C44" s="318">
        <f>SUM(D44:F44)</f>
        <v>7692598</v>
      </c>
      <c r="D44" s="318">
        <f>SUM(D15:D20,D26:D31,D35:D40)+D46</f>
        <v>4050701</v>
      </c>
      <c r="E44" s="318">
        <f>SUM(E15:E20,E26:E31,E35:E40)+E46</f>
        <v>389722</v>
      </c>
      <c r="F44" s="318">
        <f>SUM(F15:F20,F26:F31,F35:F40)+F46</f>
        <v>3252175</v>
      </c>
      <c r="G44" s="318">
        <f>SUM(D44:F44)</f>
        <v>7692598</v>
      </c>
      <c r="H44" s="317"/>
      <c r="J44" s="318"/>
    </row>
    <row r="45" spans="2:10" ht="15.75">
      <c r="C45" s="318"/>
      <c r="D45" s="318"/>
      <c r="E45" s="318"/>
      <c r="F45" s="318"/>
      <c r="G45" s="318"/>
      <c r="H45" s="317"/>
      <c r="J45" s="318"/>
    </row>
    <row r="46" spans="2:10" ht="15.75">
      <c r="B46" s="320" t="s">
        <v>321</v>
      </c>
      <c r="C46" s="318">
        <f>SUM(D46:F46)</f>
        <v>83397</v>
      </c>
      <c r="D46" s="318">
        <f>'Mfg. Costs'!D38</f>
        <v>68402</v>
      </c>
      <c r="E46" s="318">
        <f>'Mfg. Costs'!E38</f>
        <v>0</v>
      </c>
      <c r="F46" s="318">
        <f>'Mfg. Costs'!F38</f>
        <v>14995</v>
      </c>
      <c r="G46" s="318">
        <f>SUM(D46:F46)</f>
        <v>83397</v>
      </c>
      <c r="H46" s="317"/>
      <c r="I46" s="307" t="s">
        <v>322</v>
      </c>
      <c r="J46" s="318">
        <v>1051427</v>
      </c>
    </row>
    <row r="47" spans="2:10" ht="15.75">
      <c r="B47" s="320" t="s">
        <v>323</v>
      </c>
      <c r="C47" s="318">
        <f>SUM(D47:F47)</f>
        <v>540101</v>
      </c>
      <c r="D47" s="318">
        <v>268916</v>
      </c>
      <c r="E47" s="318">
        <v>0</v>
      </c>
      <c r="F47" s="318">
        <v>271185</v>
      </c>
      <c r="G47" s="318">
        <f>SUM(D47:F47)</f>
        <v>540101</v>
      </c>
      <c r="H47" s="317"/>
      <c r="I47" s="307" t="s">
        <v>324</v>
      </c>
      <c r="J47" s="318">
        <v>-1021535</v>
      </c>
    </row>
    <row r="48" spans="2:10" ht="15.75">
      <c r="B48" s="320" t="s">
        <v>325</v>
      </c>
      <c r="C48" s="318">
        <f>SUM(D48:F48)</f>
        <v>8812</v>
      </c>
      <c r="D48" s="318">
        <v>6256</v>
      </c>
      <c r="E48" s="318">
        <v>0</v>
      </c>
      <c r="F48" s="318">
        <v>2556</v>
      </c>
      <c r="G48" s="318">
        <f>SUM(D48:F48)</f>
        <v>8812</v>
      </c>
      <c r="H48" s="317"/>
      <c r="J48" s="318">
        <f>J46+J47</f>
        <v>29892</v>
      </c>
    </row>
    <row r="49" spans="2:10" ht="15.75">
      <c r="B49" s="320" t="s">
        <v>326</v>
      </c>
      <c r="C49" s="318">
        <f>SUM(D49:F49)</f>
        <v>10536</v>
      </c>
      <c r="D49" s="318">
        <v>4407</v>
      </c>
      <c r="E49" s="318">
        <v>0</v>
      </c>
      <c r="F49" s="318">
        <v>6129</v>
      </c>
      <c r="G49" s="318">
        <f>SUM(D49:F49)</f>
        <v>10536</v>
      </c>
      <c r="H49" s="317"/>
      <c r="J49" s="318"/>
    </row>
    <row r="50" spans="2:10" ht="15.75">
      <c r="B50" s="320" t="s">
        <v>302</v>
      </c>
      <c r="C50" s="318">
        <f>SUM(D50:F50)</f>
        <v>276</v>
      </c>
      <c r="D50" s="318">
        <f>J27*J20</f>
        <v>145.3336669874079</v>
      </c>
      <c r="E50" s="318">
        <f>J27*J21</f>
        <v>13.982697652990577</v>
      </c>
      <c r="F50" s="318">
        <f>J27*J22</f>
        <v>116.68363535960152</v>
      </c>
      <c r="G50" s="318">
        <f>SUM(D50:F50)</f>
        <v>276</v>
      </c>
      <c r="H50" s="317"/>
      <c r="J50" s="318"/>
    </row>
    <row r="51" spans="2:10" ht="15.75">
      <c r="B51" s="320"/>
      <c r="C51" s="318"/>
      <c r="D51" s="318"/>
      <c r="E51" s="318"/>
      <c r="F51" s="318"/>
      <c r="G51" s="318"/>
      <c r="H51" s="317"/>
    </row>
    <row r="52" spans="2:10" ht="15.75">
      <c r="B52" s="320" t="s">
        <v>327</v>
      </c>
      <c r="C52" s="318">
        <f>SUM(D52:F52)</f>
        <v>643122</v>
      </c>
      <c r="D52" s="318">
        <f>SUM(D46:D50)</f>
        <v>348126.33366698743</v>
      </c>
      <c r="E52" s="318">
        <f>SUM(E46:E50)</f>
        <v>13.982697652990577</v>
      </c>
      <c r="F52" s="318">
        <f>SUM(F46:F50)</f>
        <v>294981.68363535963</v>
      </c>
      <c r="G52" s="318">
        <f>SUM(D52:F52)</f>
        <v>643122</v>
      </c>
      <c r="H52" s="317"/>
    </row>
    <row r="53" spans="2:10" ht="15.75">
      <c r="C53" s="318"/>
      <c r="D53" s="318"/>
      <c r="E53" s="318"/>
      <c r="F53" s="318"/>
      <c r="G53" s="318"/>
      <c r="H53" s="317"/>
    </row>
    <row r="54" spans="2:10" ht="15.75">
      <c r="B54" s="320" t="s">
        <v>328</v>
      </c>
      <c r="C54" s="318">
        <f>SUM(C23,C32,C41,C12,C43,C52,C56)</f>
        <v>8545708</v>
      </c>
      <c r="D54" s="318">
        <f>SUM(D23,D32,D41,D12,D43,D52,D56)</f>
        <v>4447248.1652658833</v>
      </c>
      <c r="E54" s="318">
        <f>SUM(E23,E32,E41,E12,E43,E52,E56)</f>
        <v>398470.00121207425</v>
      </c>
      <c r="F54" s="318">
        <f>SUM(F23,F32,F41,F12,F43,F52,F56)</f>
        <v>3699989.8335220427</v>
      </c>
      <c r="G54" s="318">
        <f>SUM(D54:F54)</f>
        <v>8545708</v>
      </c>
      <c r="H54" s="317"/>
    </row>
    <row r="55" spans="2:10" ht="15.75">
      <c r="C55" s="318"/>
      <c r="D55" s="318"/>
      <c r="E55" s="318"/>
      <c r="F55" s="318"/>
      <c r="G55" s="318"/>
      <c r="H55" s="317"/>
    </row>
    <row r="56" spans="2:10" ht="15.75">
      <c r="B56" s="320" t="s">
        <v>293</v>
      </c>
      <c r="C56" s="318">
        <f>SUM(D56:F56)</f>
        <v>172398</v>
      </c>
      <c r="D56" s="318">
        <f>J20*J16</f>
        <v>90779.831598895456</v>
      </c>
      <c r="E56" s="318">
        <f>J21*J16</f>
        <v>8734.0185144212664</v>
      </c>
      <c r="F56" s="318">
        <f>J22*J16</f>
        <v>72884.149886683284</v>
      </c>
      <c r="G56" s="318">
        <f>SUM(D56:F56)</f>
        <v>172398</v>
      </c>
      <c r="H56" s="317"/>
    </row>
    <row r="57" spans="2:10" ht="15.75">
      <c r="C57" s="318"/>
      <c r="D57" s="318"/>
      <c r="E57" s="318"/>
      <c r="F57" s="318"/>
      <c r="G57" s="318"/>
      <c r="H57" s="317"/>
    </row>
    <row r="58" spans="2:10" ht="15.75">
      <c r="B58" s="307" t="s">
        <v>329</v>
      </c>
      <c r="C58" s="318">
        <f>SUM(D58:F58)</f>
        <v>266433</v>
      </c>
      <c r="D58" s="318">
        <v>133332</v>
      </c>
      <c r="E58" s="318">
        <v>15954</v>
      </c>
      <c r="F58" s="318">
        <v>117147</v>
      </c>
      <c r="G58" s="318">
        <f>SUM(D58:F58)</f>
        <v>266433</v>
      </c>
      <c r="H58" s="317"/>
    </row>
    <row r="59" spans="2:10" ht="15.75">
      <c r="B59" s="307" t="s">
        <v>330</v>
      </c>
      <c r="C59" s="318">
        <f>SUM(D59:F59)</f>
        <v>1011807</v>
      </c>
      <c r="D59" s="318">
        <f>J20*J25</f>
        <v>532788.48403452255</v>
      </c>
      <c r="E59" s="318">
        <f>J21*J25</f>
        <v>51260.113638331291</v>
      </c>
      <c r="F59" s="318">
        <f>J22*J25</f>
        <v>427758.40232714621</v>
      </c>
      <c r="G59" s="318">
        <f>SUM(D59:F59)</f>
        <v>1011807</v>
      </c>
      <c r="H59" s="317"/>
    </row>
    <row r="60" spans="2:10" ht="15.75">
      <c r="B60" s="307" t="s">
        <v>331</v>
      </c>
      <c r="C60" s="318">
        <f>SUM(D60:F60)</f>
        <v>34147</v>
      </c>
      <c r="D60" s="318">
        <f>J26*J20</f>
        <v>17980.828719634123</v>
      </c>
      <c r="E60" s="318">
        <f>J21*J26</f>
        <v>1729.9535389734392</v>
      </c>
      <c r="F60" s="318">
        <f>J22*J26</f>
        <v>14436.21774139244</v>
      </c>
      <c r="G60" s="318">
        <f>SUM(D60:F60)</f>
        <v>34147</v>
      </c>
      <c r="H60" s="317"/>
    </row>
    <row r="61" spans="2:10" ht="15.75">
      <c r="C61" s="318"/>
      <c r="D61" s="318"/>
      <c r="E61" s="318"/>
      <c r="F61" s="318"/>
      <c r="G61" s="318"/>
      <c r="H61" s="317"/>
    </row>
    <row r="62" spans="2:10" ht="15.75">
      <c r="B62" s="307" t="s">
        <v>332</v>
      </c>
      <c r="C62" s="318">
        <f>C8-C54</f>
        <v>983358</v>
      </c>
      <c r="D62" s="318">
        <f>D8-D54</f>
        <v>485194.83473411668</v>
      </c>
      <c r="E62" s="318">
        <f>E8-E54</f>
        <v>138927.99878792575</v>
      </c>
      <c r="F62" s="318">
        <f>F8-F54</f>
        <v>359235.16647795727</v>
      </c>
      <c r="G62" s="318">
        <f>SUM(D62:F62)</f>
        <v>983357.99999999977</v>
      </c>
      <c r="H62" s="317"/>
    </row>
    <row r="63" spans="2:10" ht="15.75">
      <c r="C63" s="319">
        <f>C62/C8</f>
        <v>0.10319563323414907</v>
      </c>
      <c r="D63" s="319">
        <f>D62/D8</f>
        <v>9.8368057113709509E-2</v>
      </c>
      <c r="E63" s="319">
        <f>E62/E8</f>
        <v>0.25851975405179356</v>
      </c>
      <c r="F63" s="319">
        <f>F62/F8</f>
        <v>8.8498461277203719E-2</v>
      </c>
      <c r="G63" s="319">
        <f>G62/G8</f>
        <v>0.10319563323414906</v>
      </c>
      <c r="H63" s="317"/>
    </row>
    <row r="64" spans="2:10" ht="15.75">
      <c r="C64" s="318"/>
      <c r="D64" s="318"/>
      <c r="E64" s="318"/>
      <c r="F64" s="318"/>
      <c r="G64" s="318"/>
      <c r="H64" s="317"/>
    </row>
    <row r="65" spans="2:8" ht="15.75">
      <c r="B65" s="307" t="s">
        <v>333</v>
      </c>
      <c r="C65" s="318">
        <f>C62-C58-C59-C60</f>
        <v>-329029</v>
      </c>
      <c r="D65" s="318">
        <f>D62-D58-D59-D60</f>
        <v>-198906.47802004</v>
      </c>
      <c r="E65" s="318">
        <f>E62-E58-E59-E60</f>
        <v>69983.931610621017</v>
      </c>
      <c r="F65" s="318">
        <f>F62-F58-F59-F60</f>
        <v>-200106.45359058137</v>
      </c>
      <c r="G65" s="318">
        <f>SUM(D65:F65)</f>
        <v>-329029.00000000035</v>
      </c>
      <c r="H65" s="317"/>
    </row>
    <row r="66" spans="2:8" ht="15.75">
      <c r="C66" s="318"/>
      <c r="D66" s="318"/>
      <c r="E66" s="318"/>
      <c r="F66" s="318"/>
      <c r="G66" s="318"/>
      <c r="H66" s="317"/>
    </row>
    <row r="67" spans="2:8" ht="15.75">
      <c r="B67" s="307" t="s">
        <v>334</v>
      </c>
      <c r="C67" s="318"/>
      <c r="D67" s="318"/>
      <c r="E67" s="318"/>
      <c r="F67" s="318"/>
      <c r="G67" s="318"/>
      <c r="H67" s="317"/>
    </row>
    <row r="68" spans="2:8" ht="15.75">
      <c r="B68" s="307" t="s">
        <v>335</v>
      </c>
      <c r="C68" s="318">
        <f t="shared" ref="C68:C78" si="6">SUM(D68:F68)</f>
        <v>98050</v>
      </c>
      <c r="D68" s="318">
        <v>87202</v>
      </c>
      <c r="E68" s="318">
        <v>5100</v>
      </c>
      <c r="F68" s="318">
        <v>5748</v>
      </c>
      <c r="G68" s="318">
        <f t="shared" ref="G68:G79" si="7">SUM(D68:F68)</f>
        <v>98050</v>
      </c>
      <c r="H68" s="317"/>
    </row>
    <row r="69" spans="2:8" ht="15.75">
      <c r="B69" s="307" t="s">
        <v>336</v>
      </c>
      <c r="C69" s="318">
        <f t="shared" si="6"/>
        <v>74</v>
      </c>
      <c r="D69" s="318">
        <v>50</v>
      </c>
      <c r="E69" s="318">
        <v>0</v>
      </c>
      <c r="F69" s="318">
        <v>24</v>
      </c>
      <c r="G69" s="318">
        <f t="shared" si="7"/>
        <v>74</v>
      </c>
      <c r="H69" s="317"/>
    </row>
    <row r="70" spans="2:8" ht="15.75">
      <c r="B70" s="307" t="s">
        <v>337</v>
      </c>
      <c r="C70" s="318">
        <f t="shared" si="6"/>
        <v>0</v>
      </c>
      <c r="D70" s="318">
        <v>0</v>
      </c>
      <c r="E70" s="318">
        <v>0</v>
      </c>
      <c r="F70" s="318">
        <v>0</v>
      </c>
      <c r="G70" s="318">
        <f t="shared" si="7"/>
        <v>0</v>
      </c>
      <c r="H70" s="317"/>
    </row>
    <row r="71" spans="2:8" ht="15.75">
      <c r="B71" s="307" t="s">
        <v>99</v>
      </c>
      <c r="C71" s="318">
        <f t="shared" si="6"/>
        <v>0</v>
      </c>
      <c r="D71" s="318">
        <v>0</v>
      </c>
      <c r="E71" s="318">
        <v>0</v>
      </c>
      <c r="F71" s="318">
        <v>0</v>
      </c>
      <c r="G71" s="318">
        <f t="shared" si="7"/>
        <v>0</v>
      </c>
      <c r="H71" s="317"/>
    </row>
    <row r="72" spans="2:8" ht="15.75">
      <c r="B72" s="307" t="s">
        <v>338</v>
      </c>
      <c r="C72" s="318">
        <f t="shared" si="6"/>
        <v>0</v>
      </c>
      <c r="D72" s="318">
        <v>0</v>
      </c>
      <c r="E72" s="318">
        <v>0</v>
      </c>
      <c r="F72" s="318">
        <v>0</v>
      </c>
      <c r="G72" s="318">
        <f t="shared" si="7"/>
        <v>0</v>
      </c>
      <c r="H72" s="317"/>
    </row>
    <row r="73" spans="2:8" ht="15.75">
      <c r="B73" s="307" t="s">
        <v>98</v>
      </c>
      <c r="C73" s="318">
        <f t="shared" si="6"/>
        <v>0</v>
      </c>
      <c r="D73" s="318">
        <v>0</v>
      </c>
      <c r="E73" s="318">
        <v>0</v>
      </c>
      <c r="F73" s="318">
        <v>0</v>
      </c>
      <c r="G73" s="318">
        <f t="shared" si="7"/>
        <v>0</v>
      </c>
      <c r="H73" s="317"/>
    </row>
    <row r="74" spans="2:8" ht="15.75">
      <c r="B74" s="307" t="s">
        <v>312</v>
      </c>
      <c r="C74" s="318">
        <f t="shared" si="6"/>
        <v>27919</v>
      </c>
      <c r="D74" s="318">
        <f>J39*$J$20</f>
        <v>14701.34292978783</v>
      </c>
      <c r="E74" s="318">
        <f>$J$21*J39</f>
        <v>1414.4309267168258</v>
      </c>
      <c r="F74" s="318">
        <f>J39*$J$22</f>
        <v>11803.226143495345</v>
      </c>
      <c r="G74" s="318">
        <f t="shared" si="7"/>
        <v>27919</v>
      </c>
      <c r="H74" s="317"/>
    </row>
    <row r="75" spans="2:8" ht="15.75">
      <c r="B75" s="307" t="s">
        <v>314</v>
      </c>
      <c r="C75" s="318">
        <f t="shared" si="6"/>
        <v>7</v>
      </c>
      <c r="D75" s="318">
        <f>J40*$J$20</f>
        <v>3.6859988004052728</v>
      </c>
      <c r="E75" s="318">
        <f>$J$21*J40</f>
        <v>0.35463363612657262</v>
      </c>
      <c r="F75" s="318">
        <f>J40*$J$22</f>
        <v>2.9593675634681547</v>
      </c>
      <c r="G75" s="318">
        <f t="shared" si="7"/>
        <v>7</v>
      </c>
      <c r="H75" s="317"/>
    </row>
    <row r="76" spans="2:8" ht="15.75">
      <c r="B76" s="307" t="s">
        <v>316</v>
      </c>
      <c r="C76" s="318">
        <f t="shared" si="6"/>
        <v>-19149</v>
      </c>
      <c r="D76" s="318">
        <f>J41*$J$20</f>
        <v>-10083.313004137224</v>
      </c>
      <c r="E76" s="318">
        <f>$J$21*J41</f>
        <v>-970.12564259824831</v>
      </c>
      <c r="F76" s="318">
        <f>J41*$J$22</f>
        <v>-8095.5613532645284</v>
      </c>
      <c r="G76" s="318">
        <f t="shared" si="7"/>
        <v>-19149</v>
      </c>
      <c r="H76" s="317"/>
    </row>
    <row r="77" spans="2:8" ht="15.75">
      <c r="B77" s="307" t="s">
        <v>317</v>
      </c>
      <c r="C77" s="318">
        <f t="shared" si="6"/>
        <v>2666</v>
      </c>
      <c r="D77" s="318">
        <f>J42*$J$20</f>
        <v>1403.8389716972083</v>
      </c>
      <c r="E77" s="318">
        <f>$J$21*J42</f>
        <v>135.06475341620609</v>
      </c>
      <c r="F77" s="318">
        <f>J42*$J$22</f>
        <v>1127.0962748865859</v>
      </c>
      <c r="G77" s="318">
        <f t="shared" si="7"/>
        <v>2666</v>
      </c>
      <c r="H77" s="317"/>
    </row>
    <row r="78" spans="2:8" ht="15.75">
      <c r="B78" s="307" t="s">
        <v>319</v>
      </c>
      <c r="C78" s="318">
        <f t="shared" si="6"/>
        <v>62385</v>
      </c>
      <c r="D78" s="318">
        <f>J43*$J$20</f>
        <v>32850.14788046899</v>
      </c>
      <c r="E78" s="318">
        <f>$J$21*J43</f>
        <v>3160.5456271080329</v>
      </c>
      <c r="F78" s="318">
        <f>J43*$J$22</f>
        <v>26374.306492422977</v>
      </c>
      <c r="G78" s="318">
        <f t="shared" si="7"/>
        <v>62385</v>
      </c>
      <c r="H78" s="317"/>
    </row>
    <row r="79" spans="2:8" ht="15.75">
      <c r="B79" s="307" t="s">
        <v>339</v>
      </c>
      <c r="C79" s="318">
        <f>SUM(C68:C78)</f>
        <v>171952</v>
      </c>
      <c r="D79" s="318">
        <f>SUM(D68:D78)</f>
        <v>126127.7027766172</v>
      </c>
      <c r="E79" s="318">
        <f>SUM(E68:E78)</f>
        <v>8840.2702982789433</v>
      </c>
      <c r="F79" s="318">
        <f>SUM(F68:F78)</f>
        <v>36984.026925103848</v>
      </c>
      <c r="G79" s="318">
        <f t="shared" si="7"/>
        <v>171952</v>
      </c>
      <c r="H79" s="317"/>
    </row>
    <row r="80" spans="2:8" ht="15.75">
      <c r="C80" s="318"/>
      <c r="D80" s="318"/>
      <c r="E80" s="318"/>
      <c r="F80" s="318"/>
      <c r="G80" s="318"/>
      <c r="H80" s="317"/>
    </row>
    <row r="81" spans="2:8" ht="15.75">
      <c r="B81" s="307" t="s">
        <v>340</v>
      </c>
      <c r="C81" s="318">
        <f>SUM(C68:C73)</f>
        <v>98124</v>
      </c>
      <c r="D81" s="318">
        <f>SUM(D68:D73)</f>
        <v>87252</v>
      </c>
      <c r="E81" s="318">
        <f>SUM(E68:E73)</f>
        <v>5100</v>
      </c>
      <c r="F81" s="318">
        <f>SUM(F68:F73)</f>
        <v>5772</v>
      </c>
      <c r="G81" s="318">
        <f>SUM(D81:F81)</f>
        <v>98124</v>
      </c>
      <c r="H81" s="317"/>
    </row>
    <row r="82" spans="2:8" ht="15.75">
      <c r="C82" s="318"/>
      <c r="D82" s="318"/>
      <c r="E82" s="318"/>
      <c r="F82" s="318"/>
      <c r="G82" s="318"/>
      <c r="H82" s="317"/>
    </row>
    <row r="83" spans="2:8" ht="15.75">
      <c r="B83" s="307" t="s">
        <v>341</v>
      </c>
      <c r="C83" s="318">
        <f>C65+C79</f>
        <v>-157077</v>
      </c>
      <c r="D83" s="318">
        <f>D65+D79</f>
        <v>-72778.775243422802</v>
      </c>
      <c r="E83" s="318">
        <f>E65+E79</f>
        <v>78824.201908899966</v>
      </c>
      <c r="F83" s="318">
        <f>F65+F79</f>
        <v>-163122.42666547751</v>
      </c>
      <c r="G83" s="318">
        <f>SUM(D83:F83)</f>
        <v>-157077.00000000035</v>
      </c>
      <c r="H83" s="317"/>
    </row>
    <row r="84" spans="2:8">
      <c r="C84" s="317"/>
      <c r="D84" s="317"/>
      <c r="E84" s="317"/>
      <c r="F84" s="317"/>
    </row>
    <row r="85" spans="2:8">
      <c r="C85" s="317"/>
      <c r="D85" s="317"/>
      <c r="E85" s="317"/>
      <c r="F85" s="317"/>
    </row>
    <row r="86" spans="2:8">
      <c r="C86" s="317">
        <f>C83+335-5</f>
        <v>-156747</v>
      </c>
      <c r="D86" s="317"/>
      <c r="E86" s="317"/>
      <c r="F86" s="317"/>
    </row>
    <row r="87" spans="2:8">
      <c r="C87" s="317"/>
      <c r="D87" s="317"/>
      <c r="E87" s="317"/>
      <c r="F87" s="317"/>
    </row>
    <row r="88" spans="2:8">
      <c r="C88" s="317"/>
      <c r="D88" s="317"/>
      <c r="E88" s="317"/>
      <c r="F88" s="317"/>
    </row>
    <row r="89" spans="2:8">
      <c r="C89" s="317"/>
      <c r="D89" s="317"/>
      <c r="E89" s="317"/>
      <c r="F89" s="317"/>
    </row>
    <row r="90" spans="2:8">
      <c r="C90" s="317"/>
      <c r="D90" s="317"/>
      <c r="E90" s="317"/>
      <c r="F90" s="317"/>
    </row>
    <row r="91" spans="2:8">
      <c r="C91" s="317"/>
      <c r="D91" s="317"/>
      <c r="E91" s="317"/>
      <c r="F91" s="317"/>
    </row>
    <row r="92" spans="2:8">
      <c r="C92" s="317"/>
      <c r="D92" s="317"/>
      <c r="E92" s="317"/>
      <c r="F92" s="317"/>
    </row>
    <row r="93" spans="2:8">
      <c r="C93" s="317"/>
      <c r="D93" s="317"/>
      <c r="E93" s="317"/>
      <c r="F93" s="317"/>
    </row>
    <row r="94" spans="2:8">
      <c r="C94" s="317"/>
      <c r="D94" s="317"/>
      <c r="E94" s="317"/>
      <c r="F94" s="317"/>
    </row>
    <row r="95" spans="2:8">
      <c r="C95" s="317"/>
      <c r="D95" s="317"/>
      <c r="E95" s="317"/>
      <c r="F95" s="317"/>
    </row>
    <row r="96" spans="2:8">
      <c r="C96" s="317"/>
      <c r="D96" s="317"/>
      <c r="E96" s="317"/>
      <c r="F96" s="317"/>
    </row>
    <row r="97" spans="3:6">
      <c r="C97" s="317"/>
      <c r="D97" s="317"/>
      <c r="E97" s="317"/>
      <c r="F97" s="317"/>
    </row>
    <row r="98" spans="3:6">
      <c r="C98" s="317"/>
      <c r="D98" s="317"/>
      <c r="E98" s="317"/>
      <c r="F98" s="317"/>
    </row>
    <row r="99" spans="3:6">
      <c r="C99" s="317"/>
      <c r="D99" s="317"/>
      <c r="E99" s="317"/>
      <c r="F99" s="317"/>
    </row>
    <row r="100" spans="3:6">
      <c r="C100" s="317"/>
      <c r="D100" s="317"/>
      <c r="E100" s="317"/>
      <c r="F100" s="317"/>
    </row>
    <row r="101" spans="3:6">
      <c r="C101" s="317"/>
      <c r="D101" s="317"/>
      <c r="E101" s="317"/>
      <c r="F101" s="317"/>
    </row>
    <row r="102" spans="3:6">
      <c r="C102" s="317"/>
      <c r="D102" s="317"/>
      <c r="E102" s="317"/>
      <c r="F102" s="317"/>
    </row>
    <row r="103" spans="3:6">
      <c r="C103" s="317"/>
      <c r="D103" s="317"/>
      <c r="E103" s="317"/>
      <c r="F103" s="317"/>
    </row>
    <row r="104" spans="3:6">
      <c r="C104" s="317"/>
      <c r="D104" s="317"/>
      <c r="E104" s="317"/>
      <c r="F104" s="317"/>
    </row>
    <row r="105" spans="3:6">
      <c r="C105" s="317"/>
      <c r="D105" s="317"/>
      <c r="E105" s="317"/>
      <c r="F105" s="317"/>
    </row>
    <row r="106" spans="3:6">
      <c r="C106" s="317"/>
      <c r="D106" s="317"/>
      <c r="E106" s="317"/>
      <c r="F106" s="317"/>
    </row>
    <row r="107" spans="3:6">
      <c r="C107" s="317"/>
      <c r="D107" s="317"/>
      <c r="E107" s="317"/>
      <c r="F107" s="317"/>
    </row>
    <row r="108" spans="3:6">
      <c r="C108" s="317"/>
      <c r="D108" s="317"/>
      <c r="E108" s="317"/>
      <c r="F108" s="317"/>
    </row>
    <row r="109" spans="3:6">
      <c r="C109" s="317"/>
      <c r="D109" s="317"/>
      <c r="E109" s="317"/>
      <c r="F109" s="317"/>
    </row>
    <row r="110" spans="3:6">
      <c r="C110" s="317"/>
      <c r="D110" s="317"/>
      <c r="E110" s="317"/>
      <c r="F110" s="317"/>
    </row>
    <row r="111" spans="3:6">
      <c r="C111" s="317"/>
      <c r="D111" s="317"/>
      <c r="E111" s="317"/>
      <c r="F111" s="317"/>
    </row>
    <row r="112" spans="3:6">
      <c r="C112" s="317"/>
      <c r="D112" s="317"/>
      <c r="E112" s="317"/>
      <c r="F112" s="317"/>
    </row>
    <row r="113" spans="3:6">
      <c r="C113" s="317"/>
      <c r="D113" s="317"/>
      <c r="E113" s="317"/>
      <c r="F113" s="317"/>
    </row>
    <row r="114" spans="3:6">
      <c r="C114" s="317"/>
      <c r="D114" s="317"/>
      <c r="E114" s="317"/>
      <c r="F114" s="317"/>
    </row>
    <row r="115" spans="3:6">
      <c r="C115" s="317"/>
      <c r="D115" s="317"/>
      <c r="E115" s="317"/>
      <c r="F115" s="317"/>
    </row>
    <row r="116" spans="3:6">
      <c r="C116" s="317"/>
      <c r="D116" s="317"/>
      <c r="E116" s="317"/>
      <c r="F116" s="317"/>
    </row>
    <row r="117" spans="3:6">
      <c r="C117" s="317"/>
      <c r="D117" s="317"/>
      <c r="E117" s="317"/>
      <c r="F117" s="317"/>
    </row>
    <row r="118" spans="3:6">
      <c r="C118" s="317"/>
      <c r="D118" s="317"/>
      <c r="E118" s="317"/>
      <c r="F118" s="317"/>
    </row>
    <row r="119" spans="3:6">
      <c r="C119" s="317"/>
      <c r="D119" s="317"/>
      <c r="E119" s="317"/>
      <c r="F119" s="317"/>
    </row>
    <row r="120" spans="3:6">
      <c r="C120" s="317"/>
      <c r="D120" s="317"/>
      <c r="E120" s="317"/>
      <c r="F120" s="317"/>
    </row>
    <row r="121" spans="3:6">
      <c r="C121" s="317"/>
      <c r="D121" s="317"/>
      <c r="E121" s="317"/>
      <c r="F121" s="317"/>
    </row>
    <row r="122" spans="3:6">
      <c r="C122" s="317"/>
      <c r="D122" s="317"/>
      <c r="E122" s="317"/>
      <c r="F122" s="317"/>
    </row>
    <row r="123" spans="3:6">
      <c r="C123" s="317"/>
      <c r="D123" s="317"/>
      <c r="E123" s="317"/>
      <c r="F123" s="317"/>
    </row>
    <row r="124" spans="3:6">
      <c r="C124" s="317"/>
      <c r="D124" s="317"/>
      <c r="E124" s="317"/>
      <c r="F124" s="317"/>
    </row>
    <row r="125" spans="3:6">
      <c r="C125" s="317"/>
      <c r="D125" s="317"/>
      <c r="E125" s="317"/>
      <c r="F125" s="317"/>
    </row>
    <row r="126" spans="3:6">
      <c r="C126" s="317"/>
      <c r="D126" s="317"/>
      <c r="E126" s="317"/>
      <c r="F126" s="317"/>
    </row>
    <row r="127" spans="3:6">
      <c r="C127" s="317"/>
      <c r="D127" s="317"/>
      <c r="E127" s="317"/>
      <c r="F127" s="317"/>
    </row>
    <row r="128" spans="3:6">
      <c r="C128" s="317"/>
      <c r="D128" s="317"/>
      <c r="E128" s="317"/>
      <c r="F128" s="317"/>
    </row>
    <row r="129" spans="3:6">
      <c r="C129" s="317"/>
      <c r="D129" s="317"/>
      <c r="E129" s="317"/>
      <c r="F129" s="317"/>
    </row>
    <row r="130" spans="3:6">
      <c r="C130" s="317"/>
      <c r="D130" s="317"/>
      <c r="E130" s="317"/>
      <c r="F130" s="317"/>
    </row>
    <row r="131" spans="3:6">
      <c r="C131" s="317"/>
      <c r="D131" s="317"/>
      <c r="E131" s="317"/>
      <c r="F131" s="317"/>
    </row>
    <row r="132" spans="3:6">
      <c r="C132" s="317"/>
      <c r="D132" s="317"/>
      <c r="E132" s="317"/>
      <c r="F132" s="317"/>
    </row>
    <row r="133" spans="3:6">
      <c r="C133" s="317"/>
      <c r="D133" s="317"/>
      <c r="E133" s="317"/>
      <c r="F133" s="317"/>
    </row>
    <row r="134" spans="3:6">
      <c r="C134" s="317"/>
      <c r="D134" s="317"/>
      <c r="E134" s="317"/>
      <c r="F134" s="317"/>
    </row>
    <row r="135" spans="3:6">
      <c r="C135" s="317"/>
      <c r="D135" s="317"/>
      <c r="E135" s="317"/>
      <c r="F135" s="317"/>
    </row>
    <row r="136" spans="3:6">
      <c r="C136" s="317"/>
      <c r="D136" s="317"/>
      <c r="E136" s="317"/>
      <c r="F136" s="317"/>
    </row>
    <row r="137" spans="3:6">
      <c r="C137" s="317"/>
      <c r="D137" s="317"/>
      <c r="E137" s="317"/>
      <c r="F137" s="317"/>
    </row>
    <row r="138" spans="3:6">
      <c r="C138" s="317"/>
      <c r="D138" s="317"/>
      <c r="E138" s="317"/>
      <c r="F138" s="317"/>
    </row>
    <row r="139" spans="3:6">
      <c r="C139" s="317"/>
      <c r="D139" s="317"/>
      <c r="E139" s="317"/>
      <c r="F139" s="317"/>
    </row>
    <row r="140" spans="3:6">
      <c r="C140" s="317"/>
      <c r="D140" s="317"/>
      <c r="E140" s="317"/>
      <c r="F140" s="317"/>
    </row>
    <row r="141" spans="3:6">
      <c r="C141" s="317"/>
      <c r="D141" s="317"/>
      <c r="E141" s="317"/>
      <c r="F141" s="317"/>
    </row>
    <row r="142" spans="3:6">
      <c r="C142" s="317"/>
      <c r="D142" s="317"/>
      <c r="E142" s="317"/>
      <c r="F142" s="317"/>
    </row>
    <row r="143" spans="3:6">
      <c r="C143" s="317"/>
      <c r="D143" s="317"/>
      <c r="E143" s="317"/>
      <c r="F143" s="317"/>
    </row>
    <row r="144" spans="3:6">
      <c r="C144" s="317"/>
      <c r="D144" s="317"/>
      <c r="E144" s="317"/>
      <c r="F144" s="317"/>
    </row>
    <row r="145" spans="3:6">
      <c r="C145" s="317"/>
      <c r="D145" s="317"/>
      <c r="E145" s="317"/>
      <c r="F145" s="317"/>
    </row>
    <row r="146" spans="3:6">
      <c r="C146" s="317"/>
      <c r="D146" s="317"/>
      <c r="E146" s="317"/>
      <c r="F146" s="317"/>
    </row>
    <row r="147" spans="3:6">
      <c r="C147" s="317"/>
      <c r="D147" s="317"/>
      <c r="E147" s="317"/>
      <c r="F147" s="317"/>
    </row>
    <row r="148" spans="3:6">
      <c r="C148" s="317"/>
      <c r="D148" s="317"/>
      <c r="E148" s="317"/>
      <c r="F148" s="317"/>
    </row>
    <row r="149" spans="3:6">
      <c r="C149" s="317"/>
      <c r="D149" s="317"/>
      <c r="E149" s="317"/>
      <c r="F149" s="317"/>
    </row>
    <row r="150" spans="3:6">
      <c r="C150" s="317"/>
      <c r="D150" s="317"/>
      <c r="E150" s="317"/>
      <c r="F150" s="317"/>
    </row>
    <row r="151" spans="3:6">
      <c r="C151" s="317"/>
      <c r="D151" s="317"/>
      <c r="E151" s="317"/>
      <c r="F151" s="317"/>
    </row>
    <row r="152" spans="3:6">
      <c r="C152" s="317"/>
      <c r="D152" s="317"/>
      <c r="E152" s="317"/>
      <c r="F152" s="317"/>
    </row>
    <row r="153" spans="3:6">
      <c r="C153" s="317"/>
      <c r="D153" s="317"/>
      <c r="E153" s="317"/>
      <c r="F153" s="317"/>
    </row>
    <row r="154" spans="3:6">
      <c r="C154" s="317"/>
      <c r="D154" s="317"/>
      <c r="E154" s="317"/>
      <c r="F154" s="317"/>
    </row>
    <row r="155" spans="3:6">
      <c r="C155" s="317"/>
      <c r="D155" s="317"/>
      <c r="E155" s="317"/>
      <c r="F155" s="317"/>
    </row>
    <row r="156" spans="3:6">
      <c r="C156" s="317"/>
      <c r="D156" s="317"/>
      <c r="E156" s="317"/>
      <c r="F156" s="317"/>
    </row>
    <row r="157" spans="3:6">
      <c r="C157" s="317"/>
      <c r="D157" s="317"/>
      <c r="E157" s="317"/>
      <c r="F157" s="317"/>
    </row>
    <row r="158" spans="3:6">
      <c r="C158" s="317"/>
      <c r="D158" s="317"/>
      <c r="E158" s="317"/>
      <c r="F158" s="317"/>
    </row>
    <row r="159" spans="3:6">
      <c r="C159" s="317"/>
      <c r="D159" s="317"/>
      <c r="E159" s="317"/>
      <c r="F159" s="317"/>
    </row>
    <row r="160" spans="3:6">
      <c r="C160" s="317"/>
      <c r="D160" s="317"/>
      <c r="E160" s="317"/>
      <c r="F160" s="317"/>
    </row>
    <row r="161" spans="3:6">
      <c r="C161" s="317"/>
      <c r="D161" s="317"/>
      <c r="E161" s="317"/>
      <c r="F161" s="317"/>
    </row>
    <row r="162" spans="3:6">
      <c r="C162" s="317"/>
      <c r="D162" s="317"/>
      <c r="E162" s="317"/>
      <c r="F162" s="317"/>
    </row>
    <row r="163" spans="3:6">
      <c r="C163" s="317"/>
      <c r="D163" s="317"/>
      <c r="E163" s="317"/>
      <c r="F163" s="317"/>
    </row>
    <row r="164" spans="3:6">
      <c r="C164" s="317"/>
      <c r="D164" s="317"/>
      <c r="E164" s="317"/>
      <c r="F164" s="317"/>
    </row>
    <row r="165" spans="3:6">
      <c r="C165" s="317"/>
      <c r="D165" s="317"/>
      <c r="E165" s="317"/>
      <c r="F165" s="317"/>
    </row>
    <row r="166" spans="3:6">
      <c r="C166" s="317"/>
      <c r="D166" s="317"/>
      <c r="E166" s="317"/>
      <c r="F166" s="317"/>
    </row>
    <row r="167" spans="3:6">
      <c r="C167" s="317"/>
      <c r="D167" s="317"/>
      <c r="E167" s="317"/>
      <c r="F167" s="317"/>
    </row>
    <row r="168" spans="3:6">
      <c r="C168" s="317"/>
      <c r="D168" s="317"/>
      <c r="E168" s="317"/>
      <c r="F168" s="317"/>
    </row>
    <row r="169" spans="3:6">
      <c r="C169" s="317"/>
      <c r="D169" s="317"/>
      <c r="E169" s="317"/>
      <c r="F169" s="317"/>
    </row>
    <row r="170" spans="3:6">
      <c r="C170" s="317"/>
      <c r="D170" s="317"/>
      <c r="E170" s="317"/>
      <c r="F170" s="317"/>
    </row>
    <row r="171" spans="3:6">
      <c r="C171" s="317"/>
      <c r="D171" s="317"/>
      <c r="E171" s="317"/>
      <c r="F171" s="317"/>
    </row>
    <row r="172" spans="3:6">
      <c r="C172" s="317"/>
      <c r="D172" s="317"/>
      <c r="E172" s="317"/>
      <c r="F172" s="317"/>
    </row>
    <row r="173" spans="3:6">
      <c r="C173" s="317"/>
      <c r="D173" s="317"/>
      <c r="E173" s="317"/>
      <c r="F173" s="317"/>
    </row>
    <row r="174" spans="3:6">
      <c r="C174" s="317"/>
      <c r="D174" s="317"/>
      <c r="E174" s="317"/>
      <c r="F174" s="317"/>
    </row>
    <row r="175" spans="3:6">
      <c r="C175" s="317"/>
      <c r="D175" s="317"/>
      <c r="E175" s="317"/>
      <c r="F175" s="317"/>
    </row>
    <row r="176" spans="3:6">
      <c r="C176" s="317"/>
      <c r="D176" s="317"/>
      <c r="E176" s="317"/>
      <c r="F176" s="317"/>
    </row>
    <row r="177" spans="3:6">
      <c r="C177" s="317"/>
      <c r="D177" s="317"/>
      <c r="E177" s="317"/>
      <c r="F177" s="317"/>
    </row>
    <row r="178" spans="3:6">
      <c r="C178" s="317"/>
      <c r="D178" s="317"/>
      <c r="E178" s="317"/>
      <c r="F178" s="317"/>
    </row>
    <row r="179" spans="3:6">
      <c r="C179" s="317"/>
      <c r="D179" s="317"/>
      <c r="E179" s="317"/>
      <c r="F179" s="317"/>
    </row>
    <row r="180" spans="3:6">
      <c r="C180" s="317"/>
      <c r="D180" s="317"/>
      <c r="E180" s="317"/>
      <c r="F180" s="317"/>
    </row>
    <row r="181" spans="3:6">
      <c r="C181" s="317"/>
      <c r="D181" s="317"/>
      <c r="E181" s="317"/>
      <c r="F181" s="317"/>
    </row>
    <row r="182" spans="3:6">
      <c r="C182" s="317"/>
      <c r="D182" s="317"/>
      <c r="E182" s="317"/>
      <c r="F182" s="317"/>
    </row>
    <row r="183" spans="3:6">
      <c r="C183" s="317"/>
      <c r="D183" s="317"/>
      <c r="E183" s="317"/>
      <c r="F183" s="317"/>
    </row>
    <row r="184" spans="3:6">
      <c r="C184" s="317"/>
      <c r="D184" s="317"/>
      <c r="E184" s="317"/>
      <c r="F184" s="317"/>
    </row>
    <row r="185" spans="3:6">
      <c r="C185" s="317"/>
      <c r="D185" s="317"/>
      <c r="E185" s="317"/>
      <c r="F185" s="317"/>
    </row>
    <row r="186" spans="3:6">
      <c r="C186" s="317"/>
      <c r="D186" s="317"/>
      <c r="E186" s="317"/>
      <c r="F186" s="317"/>
    </row>
    <row r="187" spans="3:6">
      <c r="C187" s="317"/>
      <c r="D187" s="317"/>
      <c r="E187" s="317"/>
      <c r="F187" s="317"/>
    </row>
    <row r="188" spans="3:6">
      <c r="C188" s="317"/>
      <c r="D188" s="317"/>
      <c r="E188" s="317"/>
      <c r="F188" s="317"/>
    </row>
    <row r="189" spans="3:6">
      <c r="C189" s="317"/>
      <c r="D189" s="317"/>
      <c r="E189" s="317"/>
      <c r="F189" s="317"/>
    </row>
    <row r="190" spans="3:6">
      <c r="C190" s="317"/>
      <c r="D190" s="317"/>
      <c r="E190" s="317"/>
      <c r="F190" s="317"/>
    </row>
    <row r="191" spans="3:6">
      <c r="C191" s="317"/>
      <c r="D191" s="317"/>
      <c r="E191" s="317"/>
      <c r="F191" s="317"/>
    </row>
    <row r="192" spans="3:6">
      <c r="C192" s="317"/>
      <c r="D192" s="317"/>
      <c r="E192" s="317"/>
      <c r="F192" s="317"/>
    </row>
    <row r="193" spans="3:6">
      <c r="C193" s="317"/>
      <c r="D193" s="317"/>
      <c r="E193" s="317"/>
      <c r="F193" s="317"/>
    </row>
    <row r="194" spans="3:6">
      <c r="C194" s="317"/>
      <c r="D194" s="317"/>
      <c r="E194" s="317"/>
      <c r="F194" s="317"/>
    </row>
    <row r="195" spans="3:6">
      <c r="C195" s="317"/>
      <c r="D195" s="317"/>
      <c r="E195" s="317"/>
      <c r="F195" s="317"/>
    </row>
    <row r="196" spans="3:6">
      <c r="C196" s="317"/>
      <c r="D196" s="317"/>
      <c r="E196" s="317"/>
      <c r="F196" s="317"/>
    </row>
    <row r="197" spans="3:6">
      <c r="C197" s="317"/>
      <c r="D197" s="317"/>
      <c r="E197" s="317"/>
      <c r="F197" s="317"/>
    </row>
    <row r="198" spans="3:6">
      <c r="C198" s="317"/>
      <c r="D198" s="317"/>
      <c r="E198" s="317"/>
      <c r="F198" s="317"/>
    </row>
    <row r="199" spans="3:6">
      <c r="C199" s="317"/>
      <c r="D199" s="317"/>
      <c r="E199" s="317"/>
      <c r="F199" s="317"/>
    </row>
    <row r="200" spans="3:6">
      <c r="C200" s="317"/>
      <c r="D200" s="317"/>
      <c r="E200" s="317"/>
      <c r="F200" s="317"/>
    </row>
    <row r="201" spans="3:6">
      <c r="C201" s="317"/>
      <c r="D201" s="317"/>
      <c r="E201" s="317"/>
      <c r="F201" s="317"/>
    </row>
    <row r="202" spans="3:6">
      <c r="C202" s="317"/>
      <c r="D202" s="317"/>
      <c r="E202" s="317"/>
      <c r="F202" s="317"/>
    </row>
    <row r="203" spans="3:6">
      <c r="C203" s="317"/>
      <c r="D203" s="317"/>
      <c r="E203" s="317"/>
      <c r="F203" s="317"/>
    </row>
    <row r="204" spans="3:6">
      <c r="C204" s="317"/>
      <c r="D204" s="317"/>
      <c r="E204" s="317"/>
      <c r="F204" s="317"/>
    </row>
    <row r="205" spans="3:6">
      <c r="C205" s="317"/>
      <c r="D205" s="317"/>
      <c r="E205" s="317"/>
      <c r="F205" s="317"/>
    </row>
    <row r="206" spans="3:6">
      <c r="C206" s="317"/>
      <c r="D206" s="317"/>
      <c r="E206" s="317"/>
      <c r="F206" s="317"/>
    </row>
    <row r="207" spans="3:6">
      <c r="C207" s="317"/>
      <c r="D207" s="317"/>
      <c r="E207" s="317"/>
      <c r="F207" s="317"/>
    </row>
    <row r="208" spans="3:6">
      <c r="C208" s="317"/>
      <c r="D208" s="317"/>
      <c r="E208" s="317"/>
      <c r="F208" s="317"/>
    </row>
    <row r="209" spans="3:6">
      <c r="C209" s="317"/>
      <c r="D209" s="317"/>
      <c r="E209" s="317"/>
      <c r="F209" s="317"/>
    </row>
    <row r="210" spans="3:6">
      <c r="C210" s="317"/>
      <c r="D210" s="317"/>
      <c r="E210" s="317"/>
      <c r="F210" s="317"/>
    </row>
    <row r="211" spans="3:6">
      <c r="C211" s="317"/>
      <c r="D211" s="317"/>
      <c r="E211" s="317"/>
      <c r="F211" s="317"/>
    </row>
    <row r="212" spans="3:6">
      <c r="C212" s="317"/>
      <c r="D212" s="317"/>
      <c r="E212" s="317"/>
      <c r="F212" s="317"/>
    </row>
    <row r="213" spans="3:6">
      <c r="C213" s="317"/>
      <c r="D213" s="317"/>
      <c r="E213" s="317"/>
      <c r="F213" s="317"/>
    </row>
    <row r="214" spans="3:6">
      <c r="C214" s="317"/>
      <c r="D214" s="317"/>
      <c r="E214" s="317"/>
      <c r="F214" s="317"/>
    </row>
    <row r="215" spans="3:6">
      <c r="C215" s="317"/>
      <c r="D215" s="317"/>
      <c r="E215" s="317"/>
      <c r="F215" s="317"/>
    </row>
    <row r="216" spans="3:6">
      <c r="C216" s="317"/>
      <c r="D216" s="317"/>
      <c r="E216" s="317"/>
      <c r="F216" s="317"/>
    </row>
    <row r="217" spans="3:6">
      <c r="C217" s="317"/>
      <c r="D217" s="317"/>
      <c r="E217" s="317"/>
      <c r="F217" s="317"/>
    </row>
    <row r="218" spans="3:6">
      <c r="C218" s="317"/>
      <c r="D218" s="317"/>
      <c r="E218" s="317"/>
      <c r="F218" s="317"/>
    </row>
    <row r="219" spans="3:6">
      <c r="C219" s="317"/>
      <c r="D219" s="317"/>
      <c r="E219" s="317"/>
      <c r="F219" s="317"/>
    </row>
    <row r="220" spans="3:6">
      <c r="C220" s="317"/>
      <c r="D220" s="317"/>
      <c r="E220" s="317"/>
      <c r="F220" s="317"/>
    </row>
    <row r="221" spans="3:6">
      <c r="C221" s="317"/>
      <c r="D221" s="317"/>
      <c r="E221" s="317"/>
      <c r="F221" s="317"/>
    </row>
    <row r="222" spans="3:6">
      <c r="C222" s="317"/>
      <c r="D222" s="317"/>
      <c r="E222" s="317"/>
      <c r="F222" s="317"/>
    </row>
    <row r="223" spans="3:6">
      <c r="C223" s="317"/>
      <c r="D223" s="317"/>
      <c r="E223" s="317"/>
      <c r="F223" s="317"/>
    </row>
    <row r="224" spans="3:6">
      <c r="C224" s="317"/>
      <c r="D224" s="317"/>
      <c r="E224" s="317"/>
      <c r="F224" s="317"/>
    </row>
    <row r="225" spans="3:6">
      <c r="C225" s="317"/>
      <c r="D225" s="317"/>
      <c r="E225" s="317"/>
      <c r="F225" s="317"/>
    </row>
    <row r="226" spans="3:6">
      <c r="C226" s="317"/>
      <c r="D226" s="317"/>
      <c r="E226" s="317"/>
      <c r="F226" s="317"/>
    </row>
    <row r="227" spans="3:6">
      <c r="C227" s="317"/>
      <c r="D227" s="317"/>
      <c r="E227" s="317"/>
      <c r="F227" s="317"/>
    </row>
    <row r="228" spans="3:6">
      <c r="C228" s="317"/>
      <c r="D228" s="317"/>
      <c r="E228" s="317"/>
      <c r="F228" s="317"/>
    </row>
    <row r="229" spans="3:6">
      <c r="C229" s="317"/>
      <c r="D229" s="317"/>
      <c r="E229" s="317"/>
      <c r="F229" s="317"/>
    </row>
    <row r="230" spans="3:6">
      <c r="C230" s="317"/>
      <c r="D230" s="317"/>
      <c r="E230" s="317"/>
      <c r="F230" s="317"/>
    </row>
    <row r="231" spans="3:6">
      <c r="C231" s="317"/>
      <c r="D231" s="317"/>
      <c r="E231" s="317"/>
      <c r="F231" s="317"/>
    </row>
    <row r="232" spans="3:6">
      <c r="C232" s="317"/>
      <c r="D232" s="317"/>
      <c r="E232" s="317"/>
      <c r="F232" s="317"/>
    </row>
    <row r="233" spans="3:6">
      <c r="C233" s="317"/>
      <c r="D233" s="317"/>
      <c r="E233" s="317"/>
      <c r="F233" s="317"/>
    </row>
    <row r="234" spans="3:6">
      <c r="C234" s="317"/>
      <c r="D234" s="317"/>
      <c r="E234" s="317"/>
      <c r="F234" s="317"/>
    </row>
    <row r="235" spans="3:6">
      <c r="C235" s="317"/>
      <c r="D235" s="317"/>
      <c r="E235" s="317"/>
      <c r="F235" s="317"/>
    </row>
    <row r="236" spans="3:6">
      <c r="C236" s="317"/>
      <c r="D236" s="317"/>
      <c r="E236" s="317"/>
      <c r="F236" s="317"/>
    </row>
    <row r="237" spans="3:6">
      <c r="C237" s="317"/>
      <c r="D237" s="317"/>
      <c r="E237" s="317"/>
      <c r="F237" s="317"/>
    </row>
    <row r="238" spans="3:6">
      <c r="C238" s="317"/>
      <c r="D238" s="317"/>
      <c r="E238" s="317"/>
      <c r="F238" s="317"/>
    </row>
    <row r="239" spans="3:6">
      <c r="C239" s="317"/>
      <c r="D239" s="317"/>
      <c r="E239" s="317"/>
      <c r="F239" s="317"/>
    </row>
    <row r="240" spans="3:6">
      <c r="C240" s="317"/>
      <c r="D240" s="317"/>
      <c r="E240" s="317"/>
      <c r="F240" s="317"/>
    </row>
    <row r="241" spans="3:6">
      <c r="C241" s="317"/>
      <c r="D241" s="317"/>
      <c r="E241" s="317"/>
      <c r="F241" s="317"/>
    </row>
    <row r="242" spans="3:6">
      <c r="C242" s="317"/>
      <c r="D242" s="317"/>
      <c r="E242" s="317"/>
      <c r="F242" s="317"/>
    </row>
    <row r="243" spans="3:6">
      <c r="C243" s="317"/>
      <c r="D243" s="317"/>
      <c r="E243" s="317"/>
      <c r="F243" s="317"/>
    </row>
    <row r="244" spans="3:6">
      <c r="C244" s="317"/>
      <c r="D244" s="317"/>
      <c r="E244" s="317"/>
      <c r="F244" s="317"/>
    </row>
    <row r="245" spans="3:6">
      <c r="C245" s="317"/>
      <c r="D245" s="317"/>
      <c r="E245" s="317"/>
      <c r="F245" s="317"/>
    </row>
    <row r="246" spans="3:6">
      <c r="C246" s="317"/>
      <c r="D246" s="317"/>
      <c r="E246" s="317"/>
      <c r="F246" s="317"/>
    </row>
    <row r="247" spans="3:6">
      <c r="C247" s="317"/>
      <c r="D247" s="317"/>
      <c r="E247" s="317"/>
      <c r="F247" s="317"/>
    </row>
    <row r="248" spans="3:6">
      <c r="C248" s="317"/>
      <c r="D248" s="317"/>
      <c r="E248" s="317"/>
      <c r="F248" s="317"/>
    </row>
    <row r="249" spans="3:6">
      <c r="C249" s="317"/>
      <c r="D249" s="317"/>
      <c r="E249" s="317"/>
      <c r="F249" s="317"/>
    </row>
    <row r="250" spans="3:6">
      <c r="C250" s="317"/>
      <c r="D250" s="317"/>
      <c r="E250" s="317"/>
      <c r="F250" s="317"/>
    </row>
    <row r="251" spans="3:6">
      <c r="C251" s="317"/>
      <c r="D251" s="317"/>
      <c r="E251" s="317"/>
      <c r="F251" s="317"/>
    </row>
    <row r="252" spans="3:6">
      <c r="C252" s="317"/>
      <c r="D252" s="317"/>
      <c r="E252" s="317"/>
      <c r="F252" s="317"/>
    </row>
    <row r="253" spans="3:6">
      <c r="C253" s="317"/>
      <c r="D253" s="317"/>
      <c r="E253" s="317"/>
      <c r="F253" s="317"/>
    </row>
    <row r="254" spans="3:6">
      <c r="C254" s="317"/>
      <c r="D254" s="317"/>
      <c r="E254" s="317"/>
      <c r="F254" s="317"/>
    </row>
    <row r="255" spans="3:6">
      <c r="C255" s="317"/>
      <c r="D255" s="317"/>
      <c r="E255" s="317"/>
      <c r="F255" s="317"/>
    </row>
    <row r="256" spans="3:6">
      <c r="C256" s="317"/>
      <c r="D256" s="317"/>
      <c r="E256" s="317"/>
      <c r="F256" s="317"/>
    </row>
    <row r="257" spans="3:6">
      <c r="C257" s="317"/>
      <c r="D257" s="317"/>
      <c r="E257" s="317"/>
      <c r="F257" s="317"/>
    </row>
    <row r="258" spans="3:6">
      <c r="C258" s="317"/>
      <c r="D258" s="317"/>
      <c r="E258" s="317"/>
      <c r="F258" s="317"/>
    </row>
    <row r="259" spans="3:6">
      <c r="C259" s="317"/>
      <c r="D259" s="317"/>
      <c r="E259" s="317"/>
      <c r="F259" s="317"/>
    </row>
    <row r="260" spans="3:6">
      <c r="C260" s="317"/>
      <c r="D260" s="317"/>
      <c r="E260" s="317"/>
      <c r="F260" s="317"/>
    </row>
    <row r="261" spans="3:6">
      <c r="C261" s="317"/>
      <c r="D261" s="317"/>
      <c r="E261" s="317"/>
      <c r="F261" s="317"/>
    </row>
    <row r="262" spans="3:6">
      <c r="C262" s="317"/>
      <c r="D262" s="317"/>
      <c r="E262" s="317"/>
      <c r="F262" s="317"/>
    </row>
    <row r="263" spans="3:6">
      <c r="C263" s="317"/>
      <c r="D263" s="317"/>
      <c r="E263" s="317"/>
      <c r="F263" s="317"/>
    </row>
    <row r="264" spans="3:6">
      <c r="C264" s="317"/>
      <c r="D264" s="317"/>
      <c r="E264" s="317"/>
      <c r="F264" s="317"/>
    </row>
    <row r="265" spans="3:6">
      <c r="C265" s="317"/>
      <c r="D265" s="317"/>
      <c r="E265" s="317"/>
      <c r="F265" s="317"/>
    </row>
    <row r="266" spans="3:6">
      <c r="C266" s="317"/>
      <c r="D266" s="317"/>
      <c r="E266" s="317"/>
      <c r="F266" s="317"/>
    </row>
    <row r="267" spans="3:6">
      <c r="C267" s="317"/>
      <c r="D267" s="317"/>
      <c r="E267" s="317"/>
      <c r="F267" s="317"/>
    </row>
    <row r="268" spans="3:6">
      <c r="C268" s="317"/>
      <c r="D268" s="317"/>
      <c r="E268" s="317"/>
      <c r="F268" s="317"/>
    </row>
    <row r="269" spans="3:6">
      <c r="C269" s="317"/>
      <c r="D269" s="317"/>
      <c r="E269" s="317"/>
      <c r="F269" s="317"/>
    </row>
    <row r="270" spans="3:6">
      <c r="C270" s="317"/>
      <c r="D270" s="317"/>
      <c r="E270" s="317"/>
      <c r="F270" s="317"/>
    </row>
    <row r="271" spans="3:6">
      <c r="C271" s="317"/>
      <c r="D271" s="317"/>
      <c r="E271" s="317"/>
      <c r="F271" s="317"/>
    </row>
    <row r="272" spans="3:6">
      <c r="C272" s="317"/>
      <c r="D272" s="317"/>
      <c r="E272" s="317"/>
      <c r="F272" s="317"/>
    </row>
    <row r="273" spans="3:6">
      <c r="C273" s="317"/>
      <c r="D273" s="317"/>
      <c r="E273" s="317"/>
      <c r="F273" s="3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F24A-A873-4F47-903F-B82DDEDE3AD5}">
  <sheetPr codeName="Sheet9"/>
  <dimension ref="A1:M137"/>
  <sheetViews>
    <sheetView topLeftCell="A47" zoomScale="85" zoomScaleNormal="85" workbookViewId="0">
      <selection activeCell="F87" sqref="F87"/>
    </sheetView>
  </sheetViews>
  <sheetFormatPr defaultRowHeight="12.75"/>
  <cols>
    <col min="1" max="1" width="13.28515625" bestFit="1" customWidth="1"/>
    <col min="2" max="2" width="42.140625" bestFit="1" customWidth="1"/>
    <col min="3" max="3" width="18" customWidth="1"/>
    <col min="4" max="4" width="15.28515625" customWidth="1"/>
    <col min="5" max="5" width="11.28515625" customWidth="1"/>
    <col min="6" max="6" width="15.85546875" customWidth="1"/>
    <col min="7" max="7" width="13.7109375" customWidth="1"/>
    <col min="8" max="8" width="12.7109375" style="210" customWidth="1"/>
    <col min="9" max="9" width="12.42578125" style="210" customWidth="1"/>
    <col min="10" max="10" width="13.42578125" style="464" customWidth="1"/>
    <col min="11" max="11" width="13.140625" style="464" customWidth="1"/>
    <col min="12" max="12" width="11.7109375" style="464" customWidth="1"/>
  </cols>
  <sheetData>
    <row r="1" spans="1:12" ht="15">
      <c r="A1" s="556" t="s">
        <v>342</v>
      </c>
      <c r="B1" s="556"/>
      <c r="C1" s="365" t="s">
        <v>343</v>
      </c>
      <c r="D1" s="365" t="s">
        <v>344</v>
      </c>
      <c r="E1" s="365">
        <v>2025</v>
      </c>
      <c r="F1" s="365" t="s">
        <v>345</v>
      </c>
      <c r="G1" s="365" t="s">
        <v>346</v>
      </c>
      <c r="H1" s="366">
        <v>2024</v>
      </c>
      <c r="I1" s="366">
        <v>2023</v>
      </c>
      <c r="J1" s="463">
        <v>2022</v>
      </c>
      <c r="K1" s="463">
        <v>2021</v>
      </c>
      <c r="L1" s="463">
        <v>2020</v>
      </c>
    </row>
    <row r="3" spans="1:12">
      <c r="A3" s="556"/>
      <c r="B3" s="442" t="s">
        <v>347</v>
      </c>
      <c r="C3" s="442">
        <f>4748363-53175</f>
        <v>4695188</v>
      </c>
      <c r="D3" s="556">
        <f>2401975-21997</f>
        <v>2379978</v>
      </c>
      <c r="E3" s="556">
        <v>8533432</v>
      </c>
      <c r="F3" s="353">
        <v>4406436</v>
      </c>
      <c r="G3" s="353">
        <v>4464702</v>
      </c>
      <c r="H3" s="210">
        <v>8855077</v>
      </c>
      <c r="I3" s="210">
        <v>10655460</v>
      </c>
      <c r="J3" s="464">
        <v>11681336</v>
      </c>
      <c r="K3" s="465">
        <v>10246051</v>
      </c>
      <c r="L3" s="465">
        <v>9810201</v>
      </c>
    </row>
    <row r="4" spans="1:12">
      <c r="A4" s="556"/>
      <c r="B4" s="442" t="s">
        <v>348</v>
      </c>
      <c r="C4" s="25" t="s">
        <v>349</v>
      </c>
      <c r="D4" s="25" t="s">
        <v>349</v>
      </c>
      <c r="E4" s="556">
        <v>347072</v>
      </c>
      <c r="F4" s="353"/>
      <c r="G4" s="353"/>
      <c r="H4" s="210">
        <v>370068</v>
      </c>
      <c r="I4" s="210">
        <v>264960</v>
      </c>
      <c r="K4" s="465"/>
      <c r="L4" s="465"/>
    </row>
    <row r="5" spans="1:12">
      <c r="A5" s="25" t="s">
        <v>334</v>
      </c>
      <c r="B5" s="556" t="s">
        <v>334</v>
      </c>
      <c r="C5" s="556">
        <f>63892+16610</f>
        <v>80502</v>
      </c>
      <c r="D5" s="556">
        <f>27819+1885</f>
        <v>29704</v>
      </c>
      <c r="E5" s="556">
        <v>125545</v>
      </c>
      <c r="F5" s="353">
        <f>37848+34357</f>
        <v>72205</v>
      </c>
      <c r="G5" s="353">
        <f>51113+21344</f>
        <v>72457</v>
      </c>
      <c r="H5" s="210">
        <v>126021</v>
      </c>
      <c r="I5" s="210">
        <v>206685</v>
      </c>
      <c r="J5" s="464">
        <v>388325</v>
      </c>
      <c r="K5" s="465">
        <v>279481</v>
      </c>
      <c r="L5" s="466">
        <v>591937</v>
      </c>
    </row>
    <row r="6" spans="1:12">
      <c r="A6" s="556"/>
      <c r="B6" s="556"/>
      <c r="C6" s="556"/>
      <c r="D6" s="556"/>
      <c r="E6" s="556"/>
      <c r="F6" s="353"/>
      <c r="G6" s="353"/>
    </row>
    <row r="7" spans="1:12">
      <c r="A7" s="556" t="s">
        <v>248</v>
      </c>
      <c r="B7" s="442" t="s">
        <v>27</v>
      </c>
      <c r="C7" s="442">
        <v>203836</v>
      </c>
      <c r="D7" s="556">
        <v>203836</v>
      </c>
      <c r="E7" s="556">
        <v>1021535</v>
      </c>
      <c r="F7" s="353">
        <v>226313</v>
      </c>
      <c r="G7" s="353">
        <v>313473</v>
      </c>
      <c r="H7" s="210">
        <v>1051427</v>
      </c>
      <c r="I7" s="210">
        <v>1733922</v>
      </c>
      <c r="J7" s="464">
        <v>1107863</v>
      </c>
      <c r="K7" s="465">
        <v>683140</v>
      </c>
      <c r="L7" s="464">
        <v>683140</v>
      </c>
    </row>
    <row r="8" spans="1:12">
      <c r="A8" s="556"/>
      <c r="B8" s="442" t="s">
        <v>28</v>
      </c>
      <c r="C8" s="442"/>
      <c r="D8" s="556"/>
      <c r="E8" s="556"/>
      <c r="F8" s="353"/>
      <c r="G8" s="353"/>
      <c r="H8" s="443">
        <v>45134</v>
      </c>
      <c r="K8" s="465"/>
    </row>
    <row r="9" spans="1:12">
      <c r="A9" s="556"/>
      <c r="B9" s="556" t="s">
        <v>350</v>
      </c>
      <c r="C9" s="556"/>
      <c r="D9" s="556"/>
      <c r="E9" s="556"/>
      <c r="F9" s="353"/>
      <c r="G9" s="353"/>
    </row>
    <row r="10" spans="1:12">
      <c r="A10" s="556" t="s">
        <v>248</v>
      </c>
      <c r="B10" s="556" t="s">
        <v>29</v>
      </c>
      <c r="C10" s="556">
        <v>1555246</v>
      </c>
      <c r="D10" s="556">
        <v>775969</v>
      </c>
      <c r="E10" s="556">
        <v>3408695</v>
      </c>
      <c r="F10" s="353">
        <v>1725419</v>
      </c>
      <c r="G10" s="353">
        <v>1808752</v>
      </c>
      <c r="H10" s="210">
        <v>3692358</v>
      </c>
      <c r="I10" s="210">
        <v>3982914</v>
      </c>
      <c r="J10" s="464">
        <v>5780557</v>
      </c>
      <c r="K10" s="465">
        <v>4920814</v>
      </c>
      <c r="L10" s="465">
        <v>4390895</v>
      </c>
    </row>
    <row r="11" spans="1:12">
      <c r="A11" s="556" t="s">
        <v>256</v>
      </c>
      <c r="B11" s="442" t="s">
        <v>351</v>
      </c>
      <c r="C11" s="442">
        <f>686327</f>
        <v>686327</v>
      </c>
      <c r="D11" s="556">
        <v>336673</v>
      </c>
      <c r="E11" s="556">
        <v>964599</v>
      </c>
      <c r="F11" s="353">
        <v>550391</v>
      </c>
      <c r="G11" s="353">
        <f>583091</f>
        <v>583091</v>
      </c>
      <c r="H11" s="210">
        <v>965420</v>
      </c>
      <c r="I11" s="210">
        <f>1219010-136379</f>
        <v>1082631</v>
      </c>
      <c r="J11" s="464">
        <v>1144403</v>
      </c>
      <c r="K11" s="465">
        <v>1120001</v>
      </c>
      <c r="L11" s="465">
        <v>1091526</v>
      </c>
    </row>
    <row r="12" spans="1:12">
      <c r="A12" s="556"/>
      <c r="B12" s="442" t="s">
        <v>352</v>
      </c>
      <c r="C12" s="442"/>
      <c r="D12" s="556"/>
      <c r="E12" s="556">
        <v>73530</v>
      </c>
      <c r="F12" s="353"/>
      <c r="G12" s="353"/>
      <c r="H12" s="443">
        <v>84107</v>
      </c>
      <c r="I12" s="210">
        <v>136379</v>
      </c>
      <c r="K12" s="465"/>
      <c r="L12" s="465"/>
    </row>
    <row r="13" spans="1:12">
      <c r="A13" s="556" t="s">
        <v>256</v>
      </c>
      <c r="B13" s="556" t="s">
        <v>353</v>
      </c>
      <c r="C13" s="556">
        <f>288476+8746</f>
        <v>297222</v>
      </c>
      <c r="D13" s="556">
        <f>141835+3447</f>
        <v>145282</v>
      </c>
      <c r="E13" s="556">
        <v>486589</v>
      </c>
      <c r="F13" s="353">
        <f>314028+10502</f>
        <v>324530</v>
      </c>
      <c r="G13" s="353">
        <f>317594+16563</f>
        <v>334157</v>
      </c>
      <c r="H13" s="210">
        <v>523378</v>
      </c>
      <c r="I13" s="210">
        <v>608621</v>
      </c>
      <c r="J13" s="464">
        <v>594797</v>
      </c>
      <c r="K13" s="465">
        <v>563755</v>
      </c>
      <c r="L13" s="465">
        <v>573376</v>
      </c>
    </row>
    <row r="14" spans="1:12">
      <c r="A14" s="556" t="s">
        <v>354</v>
      </c>
      <c r="B14" s="556" t="s">
        <v>355</v>
      </c>
      <c r="C14" s="556">
        <f>299280</f>
        <v>299280</v>
      </c>
      <c r="D14" s="556">
        <v>113791</v>
      </c>
      <c r="E14" s="556">
        <v>436125</v>
      </c>
      <c r="F14" s="353">
        <v>221909</v>
      </c>
      <c r="G14" s="353">
        <f>152082</f>
        <v>152082</v>
      </c>
      <c r="H14" s="210">
        <v>383282</v>
      </c>
      <c r="I14" s="210">
        <v>476537</v>
      </c>
      <c r="J14" s="464">
        <v>491729</v>
      </c>
      <c r="K14" s="465">
        <v>393068</v>
      </c>
      <c r="L14" s="465">
        <v>452009</v>
      </c>
    </row>
    <row r="15" spans="1:12">
      <c r="A15" s="556" t="s">
        <v>248</v>
      </c>
      <c r="B15" s="442" t="s">
        <v>30</v>
      </c>
      <c r="C15" s="359" t="s">
        <v>356</v>
      </c>
      <c r="D15" s="359" t="s">
        <v>356</v>
      </c>
      <c r="E15" s="556">
        <v>308812</v>
      </c>
      <c r="F15" s="359" t="s">
        <v>356</v>
      </c>
      <c r="G15" s="359" t="s">
        <v>356</v>
      </c>
      <c r="H15" s="210">
        <v>327826</v>
      </c>
      <c r="I15" s="210">
        <f>331999-2177</f>
        <v>329822</v>
      </c>
      <c r="J15" s="464">
        <v>381473</v>
      </c>
      <c r="K15" s="465">
        <v>359935</v>
      </c>
      <c r="L15" s="465">
        <v>309092</v>
      </c>
    </row>
    <row r="16" spans="1:12">
      <c r="A16" s="556" t="s">
        <v>248</v>
      </c>
      <c r="B16" s="442" t="s">
        <v>31</v>
      </c>
      <c r="C16" s="359" t="s">
        <v>356</v>
      </c>
      <c r="D16" s="359" t="s">
        <v>356</v>
      </c>
      <c r="E16" s="556">
        <v>4947</v>
      </c>
      <c r="F16" s="359"/>
      <c r="G16" s="359"/>
      <c r="H16" s="443">
        <v>463</v>
      </c>
      <c r="I16" s="210">
        <v>2177</v>
      </c>
      <c r="K16" s="465"/>
      <c r="L16" s="465"/>
    </row>
    <row r="17" spans="1:12">
      <c r="A17" s="556" t="s">
        <v>248</v>
      </c>
      <c r="B17" s="442" t="s">
        <v>357</v>
      </c>
      <c r="C17" s="442">
        <v>0</v>
      </c>
      <c r="D17" s="556">
        <v>0</v>
      </c>
      <c r="E17" s="556">
        <v>48537</v>
      </c>
      <c r="F17" s="354">
        <v>516</v>
      </c>
      <c r="G17" s="353">
        <v>0</v>
      </c>
      <c r="H17" s="210">
        <v>69427</v>
      </c>
      <c r="I17" s="210">
        <f>257467-166233</f>
        <v>91234</v>
      </c>
      <c r="J17" s="465">
        <v>104261</v>
      </c>
      <c r="K17" s="465">
        <v>112637</v>
      </c>
      <c r="L17" s="465">
        <v>163690</v>
      </c>
    </row>
    <row r="18" spans="1:12">
      <c r="A18" s="556" t="s">
        <v>248</v>
      </c>
      <c r="B18" s="442" t="s">
        <v>358</v>
      </c>
      <c r="C18" s="442">
        <v>0</v>
      </c>
      <c r="D18" s="556">
        <v>0</v>
      </c>
      <c r="E18" s="556">
        <v>186902</v>
      </c>
      <c r="F18" s="354"/>
      <c r="G18" s="353"/>
      <c r="H18" s="443">
        <v>207091</v>
      </c>
      <c r="I18" s="210">
        <v>166233</v>
      </c>
      <c r="J18" s="465"/>
      <c r="K18" s="465"/>
      <c r="L18" s="465"/>
    </row>
    <row r="19" spans="1:12">
      <c r="A19" s="556" t="s">
        <v>256</v>
      </c>
      <c r="B19" s="442" t="s">
        <v>46</v>
      </c>
      <c r="C19" s="442">
        <v>7443</v>
      </c>
      <c r="D19" s="556">
        <v>-8721</v>
      </c>
      <c r="E19" s="11">
        <v>297193</v>
      </c>
      <c r="F19" s="353">
        <v>4379</v>
      </c>
      <c r="G19" s="353">
        <f>42516</f>
        <v>42516</v>
      </c>
      <c r="H19" s="210">
        <v>268102</v>
      </c>
      <c r="I19" s="210">
        <f>280397</f>
        <v>280397</v>
      </c>
      <c r="J19" s="465">
        <v>229257</v>
      </c>
      <c r="K19" s="465">
        <v>198693</v>
      </c>
      <c r="L19" s="465">
        <v>209196</v>
      </c>
    </row>
    <row r="20" spans="1:12">
      <c r="A20" s="556"/>
      <c r="B20" s="442" t="s">
        <v>47</v>
      </c>
      <c r="C20" s="442"/>
      <c r="D20" s="556"/>
      <c r="E20" s="11"/>
      <c r="F20" s="353"/>
      <c r="G20" s="353"/>
      <c r="H20" s="443">
        <v>980</v>
      </c>
      <c r="J20" s="465"/>
      <c r="K20" s="465"/>
      <c r="L20" s="465"/>
    </row>
    <row r="21" spans="1:12">
      <c r="A21" s="556" t="s">
        <v>253</v>
      </c>
      <c r="B21" s="556" t="s">
        <v>274</v>
      </c>
      <c r="C21" s="442">
        <v>157105</v>
      </c>
      <c r="D21" s="556">
        <f>_xlfn.XLOOKUP(B21,'[1]G&amp;A Expenses'!$A:$A,'[1]G&amp;A Expenses'!$D:$D,_xlfn.XLOOKUP(B21,'[1]COGS Manufactured'!$A:$A,'[1]COGS Manufactured'!$D:$D))</f>
        <v>80786</v>
      </c>
      <c r="E21" s="11">
        <v>289868</v>
      </c>
      <c r="F21" s="353">
        <v>133260</v>
      </c>
      <c r="G21" s="353">
        <f>108798</f>
        <v>108798</v>
      </c>
      <c r="H21" s="210">
        <v>238882</v>
      </c>
      <c r="I21" s="210">
        <v>258091</v>
      </c>
      <c r="J21" s="465">
        <v>263388</v>
      </c>
      <c r="K21" s="465">
        <v>253327</v>
      </c>
      <c r="L21" s="465">
        <v>243799</v>
      </c>
    </row>
    <row r="22" spans="1:12">
      <c r="A22" s="556" t="s">
        <v>256</v>
      </c>
      <c r="B22" s="556" t="s">
        <v>359</v>
      </c>
      <c r="C22" s="442">
        <v>95499</v>
      </c>
      <c r="D22" s="556">
        <v>53186</v>
      </c>
      <c r="E22" s="556">
        <v>200715</v>
      </c>
      <c r="F22" s="353">
        <v>96885</v>
      </c>
      <c r="G22" s="353">
        <f>101738</f>
        <v>101738</v>
      </c>
      <c r="H22" s="210">
        <v>200385</v>
      </c>
      <c r="I22" s="210">
        <v>232730</v>
      </c>
      <c r="J22" s="465">
        <v>238780</v>
      </c>
      <c r="K22" s="465">
        <v>198502</v>
      </c>
      <c r="L22" s="465">
        <v>179936</v>
      </c>
    </row>
    <row r="23" spans="1:12">
      <c r="A23" s="556" t="s">
        <v>248</v>
      </c>
      <c r="B23" s="556" t="s">
        <v>34</v>
      </c>
      <c r="C23" s="442">
        <v>76707</v>
      </c>
      <c r="D23" s="556">
        <f>_xlfn.XLOOKUP(B23,'[1]G&amp;A Expenses'!$A:$A,'[1]G&amp;A Expenses'!$D:$D,_xlfn.XLOOKUP(B23,'[1]COGS Manufactured'!$A:$A,'[1]COGS Manufactured'!$D:$D))</f>
        <v>39519</v>
      </c>
      <c r="E23" s="556">
        <v>160443</v>
      </c>
      <c r="F23" s="353">
        <v>86112</v>
      </c>
      <c r="G23" s="353">
        <v>91936</v>
      </c>
      <c r="H23" s="210">
        <v>180668</v>
      </c>
      <c r="I23" s="210">
        <v>225574</v>
      </c>
      <c r="J23" s="465">
        <v>267861</v>
      </c>
      <c r="K23" s="465">
        <v>205064</v>
      </c>
      <c r="L23" s="465">
        <v>195649</v>
      </c>
    </row>
    <row r="24" spans="1:12">
      <c r="A24" s="556" t="s">
        <v>253</v>
      </c>
      <c r="B24" s="442" t="s">
        <v>360</v>
      </c>
      <c r="C24" s="442">
        <v>63000</v>
      </c>
      <c r="D24" s="556">
        <v>31500</v>
      </c>
      <c r="E24" s="556">
        <v>124677</v>
      </c>
      <c r="F24" s="353">
        <f>63000</f>
        <v>63000</v>
      </c>
      <c r="G24" s="353">
        <f>63000</f>
        <v>63000</v>
      </c>
      <c r="H24" s="210">
        <f>166575-9600</f>
        <v>156975</v>
      </c>
      <c r="I24" s="210">
        <f>160446-9600</f>
        <v>150846</v>
      </c>
      <c r="J24" s="465">
        <v>151257</v>
      </c>
      <c r="K24" s="465">
        <v>147229</v>
      </c>
      <c r="L24" s="465">
        <v>142180</v>
      </c>
    </row>
    <row r="25" spans="1:12">
      <c r="A25" s="556" t="s">
        <v>253</v>
      </c>
      <c r="B25" s="442" t="s">
        <v>361</v>
      </c>
      <c r="C25" s="442"/>
      <c r="D25" s="556"/>
      <c r="E25" s="556">
        <v>9600</v>
      </c>
      <c r="F25" s="353"/>
      <c r="G25" s="353"/>
      <c r="H25" s="443">
        <v>9600</v>
      </c>
      <c r="I25" s="210">
        <v>9600</v>
      </c>
      <c r="J25" s="465"/>
      <c r="K25" s="465"/>
      <c r="L25" s="465"/>
    </row>
    <row r="26" spans="1:12">
      <c r="A26" s="556" t="s">
        <v>253</v>
      </c>
      <c r="B26" s="556" t="s">
        <v>362</v>
      </c>
      <c r="C26" s="442">
        <v>72602</v>
      </c>
      <c r="D26" s="556">
        <v>36301</v>
      </c>
      <c r="E26" s="556">
        <v>160722</v>
      </c>
      <c r="F26" s="353">
        <v>78690</v>
      </c>
      <c r="G26" s="353">
        <v>82724</v>
      </c>
      <c r="H26" s="210">
        <v>166471</v>
      </c>
      <c r="I26" s="210">
        <v>185159</v>
      </c>
      <c r="J26" s="465">
        <v>197198</v>
      </c>
      <c r="K26" s="465">
        <v>208008</v>
      </c>
      <c r="L26" s="465">
        <v>223259</v>
      </c>
    </row>
    <row r="27" spans="1:12">
      <c r="A27" s="556" t="s">
        <v>253</v>
      </c>
      <c r="B27" s="442" t="s">
        <v>363</v>
      </c>
      <c r="C27" s="442">
        <v>108622</v>
      </c>
      <c r="D27" s="556">
        <v>59118</v>
      </c>
      <c r="E27" s="556">
        <v>166308</v>
      </c>
      <c r="F27" s="353">
        <v>69884</v>
      </c>
      <c r="G27" s="353">
        <f>77804</f>
        <v>77804</v>
      </c>
      <c r="H27" s="210">
        <f>153388-980</f>
        <v>152408</v>
      </c>
      <c r="I27" s="210">
        <f>237506-1027</f>
        <v>236479</v>
      </c>
      <c r="J27" s="465">
        <v>155138</v>
      </c>
      <c r="K27" s="465">
        <v>188467</v>
      </c>
      <c r="L27" s="465">
        <v>200266</v>
      </c>
    </row>
    <row r="28" spans="1:12">
      <c r="A28" s="556" t="s">
        <v>253</v>
      </c>
      <c r="B28" s="442" t="str">
        <f>'Mfg. Costs'!B29</f>
        <v>Taxes - Prod Payroll</v>
      </c>
      <c r="C28" s="442"/>
      <c r="D28" s="556"/>
      <c r="E28" s="556">
        <v>3278</v>
      </c>
      <c r="F28" s="353"/>
      <c r="G28" s="353"/>
      <c r="H28" s="443">
        <v>0</v>
      </c>
      <c r="I28" s="210">
        <v>1027</v>
      </c>
      <c r="J28" s="465"/>
      <c r="K28" s="465"/>
      <c r="L28" s="465"/>
    </row>
    <row r="29" spans="1:12">
      <c r="A29" s="556" t="s">
        <v>253</v>
      </c>
      <c r="B29" s="556" t="s">
        <v>364</v>
      </c>
      <c r="C29" s="442">
        <v>65273</v>
      </c>
      <c r="D29" s="556">
        <v>33591</v>
      </c>
      <c r="E29" s="556">
        <v>126210</v>
      </c>
      <c r="F29" s="353">
        <v>64502</v>
      </c>
      <c r="G29" s="353">
        <v>68559</v>
      </c>
      <c r="H29" s="210">
        <v>134081</v>
      </c>
      <c r="I29" s="210">
        <v>137702</v>
      </c>
      <c r="J29" s="465">
        <v>130388</v>
      </c>
      <c r="K29" s="465">
        <v>121256</v>
      </c>
      <c r="L29" s="465">
        <v>125386</v>
      </c>
    </row>
    <row r="30" spans="1:12">
      <c r="A30" s="556" t="s">
        <v>275</v>
      </c>
      <c r="B30" s="556" t="s">
        <v>365</v>
      </c>
      <c r="C30" s="354" t="s">
        <v>366</v>
      </c>
      <c r="D30" s="354" t="s">
        <v>366</v>
      </c>
      <c r="E30" s="556">
        <v>120598</v>
      </c>
      <c r="F30" s="354" t="s">
        <v>366</v>
      </c>
      <c r="G30" s="353" t="s">
        <v>366</v>
      </c>
      <c r="H30" s="210">
        <v>119383</v>
      </c>
      <c r="I30" s="210">
        <v>93521</v>
      </c>
      <c r="J30" s="465">
        <v>97494</v>
      </c>
      <c r="K30" s="465">
        <v>100963</v>
      </c>
      <c r="L30" s="465">
        <v>91173</v>
      </c>
    </row>
    <row r="31" spans="1:12">
      <c r="A31" s="556" t="s">
        <v>248</v>
      </c>
      <c r="B31" s="556" t="s">
        <v>35</v>
      </c>
      <c r="C31" s="442">
        <v>39332</v>
      </c>
      <c r="D31" s="556">
        <f>_xlfn.XLOOKUP(B31,'[1]G&amp;A Expenses'!$A:$A,'[1]G&amp;A Expenses'!$D:$D,_xlfn.XLOOKUP(B31,'[1]COGS Manufactured'!$A:$A,'[1]COGS Manufactured'!$D:$D))</f>
        <v>21070</v>
      </c>
      <c r="E31" s="556">
        <v>64635</v>
      </c>
      <c r="F31" s="353">
        <v>33175</v>
      </c>
      <c r="G31" s="353">
        <v>34202</v>
      </c>
      <c r="H31" s="210">
        <v>94918</v>
      </c>
      <c r="I31" s="210">
        <v>94148</v>
      </c>
      <c r="J31" s="465">
        <v>116856</v>
      </c>
      <c r="K31" s="465">
        <v>125195</v>
      </c>
      <c r="L31" s="465">
        <v>131612</v>
      </c>
    </row>
    <row r="32" spans="1:12">
      <c r="A32" s="556" t="s">
        <v>256</v>
      </c>
      <c r="B32" s="556" t="s">
        <v>367</v>
      </c>
      <c r="C32" s="442">
        <v>23310</v>
      </c>
      <c r="D32" s="556">
        <v>12212</v>
      </c>
      <c r="E32" s="556">
        <v>53604</v>
      </c>
      <c r="F32" s="353">
        <v>25105</v>
      </c>
      <c r="G32" s="353">
        <v>25240</v>
      </c>
      <c r="H32" s="210">
        <v>53479</v>
      </c>
      <c r="I32" s="210">
        <v>52088</v>
      </c>
      <c r="J32" s="465">
        <v>49590</v>
      </c>
      <c r="K32" s="465">
        <v>39566</v>
      </c>
      <c r="L32" s="465">
        <v>36058</v>
      </c>
    </row>
    <row r="33" spans="1:12">
      <c r="A33" s="556" t="s">
        <v>248</v>
      </c>
      <c r="B33" s="556" t="s">
        <v>36</v>
      </c>
      <c r="C33" s="442">
        <v>11708</v>
      </c>
      <c r="D33" s="556">
        <v>5551</v>
      </c>
      <c r="E33" s="556">
        <v>29437</v>
      </c>
      <c r="F33" s="353">
        <v>17665</v>
      </c>
      <c r="G33" s="353">
        <v>18433</v>
      </c>
      <c r="H33" s="210">
        <v>31056</v>
      </c>
      <c r="I33" s="210">
        <v>33531</v>
      </c>
      <c r="J33" s="465">
        <v>40827</v>
      </c>
      <c r="K33" s="465">
        <v>44298</v>
      </c>
      <c r="L33" s="465">
        <v>39991</v>
      </c>
    </row>
    <row r="34" spans="1:12">
      <c r="A34" s="556" t="s">
        <v>248</v>
      </c>
      <c r="B34" s="556" t="s">
        <v>37</v>
      </c>
      <c r="C34" s="442">
        <v>1184</v>
      </c>
      <c r="D34" s="556">
        <v>1146</v>
      </c>
      <c r="E34" s="556">
        <v>1375</v>
      </c>
      <c r="F34" s="353">
        <v>884</v>
      </c>
      <c r="G34" s="353">
        <v>4565</v>
      </c>
      <c r="H34" s="210">
        <v>6961</v>
      </c>
      <c r="I34" s="210">
        <v>6603</v>
      </c>
      <c r="J34" s="465">
        <v>10241</v>
      </c>
      <c r="K34" s="465">
        <v>2163</v>
      </c>
      <c r="L34" s="465">
        <v>2741</v>
      </c>
    </row>
    <row r="35" spans="1:12">
      <c r="A35" s="556" t="s">
        <v>253</v>
      </c>
      <c r="B35" s="556" t="s">
        <v>368</v>
      </c>
      <c r="C35" s="442">
        <v>2193</v>
      </c>
      <c r="D35" s="556">
        <v>1096</v>
      </c>
      <c r="E35" s="556">
        <v>4384</v>
      </c>
      <c r="F35" s="353">
        <v>2192</v>
      </c>
      <c r="G35" s="353">
        <v>2192</v>
      </c>
      <c r="H35" s="210">
        <v>4385</v>
      </c>
      <c r="I35" s="210">
        <v>4385</v>
      </c>
      <c r="J35" s="465">
        <v>1462</v>
      </c>
      <c r="K35" s="465">
        <v>1538</v>
      </c>
      <c r="L35" s="465">
        <v>1538</v>
      </c>
    </row>
    <row r="36" spans="1:12">
      <c r="A36" s="556" t="s">
        <v>248</v>
      </c>
      <c r="B36" s="556" t="s">
        <v>38</v>
      </c>
      <c r="C36" s="442">
        <v>0</v>
      </c>
      <c r="D36" s="556">
        <v>0</v>
      </c>
      <c r="E36" s="556">
        <v>0</v>
      </c>
      <c r="F36" s="353">
        <v>0</v>
      </c>
      <c r="G36" s="353">
        <v>2773</v>
      </c>
      <c r="H36" s="210">
        <v>2773</v>
      </c>
      <c r="I36" s="210">
        <v>0</v>
      </c>
      <c r="J36" s="464">
        <v>92</v>
      </c>
      <c r="K36" s="464">
        <v>135</v>
      </c>
      <c r="L36" s="464">
        <v>967</v>
      </c>
    </row>
    <row r="37" spans="1:12">
      <c r="A37" s="556" t="s">
        <v>248</v>
      </c>
      <c r="B37" s="442" t="s">
        <v>369</v>
      </c>
      <c r="C37" s="442">
        <f>100404+66787+37171</f>
        <v>204362</v>
      </c>
      <c r="D37" s="556">
        <f>44922+40888+14871</f>
        <v>100681</v>
      </c>
      <c r="E37" s="556">
        <v>0</v>
      </c>
      <c r="F37" s="353">
        <f>94661+60689+27296</f>
        <v>182646</v>
      </c>
      <c r="G37" s="353">
        <f>106042+60581+29964</f>
        <v>196587</v>
      </c>
      <c r="H37" s="210">
        <f>1901-1901</f>
        <v>0</v>
      </c>
      <c r="I37" s="210">
        <f>48614-48614</f>
        <v>0</v>
      </c>
      <c r="J37" s="465">
        <v>0</v>
      </c>
      <c r="K37" s="464">
        <v>0</v>
      </c>
      <c r="L37" s="465">
        <v>0</v>
      </c>
    </row>
    <row r="38" spans="1:12">
      <c r="A38" s="25" t="s">
        <v>248</v>
      </c>
      <c r="B38" s="442" t="s">
        <v>370</v>
      </c>
      <c r="C38" s="442"/>
      <c r="D38" s="556"/>
      <c r="E38" s="556">
        <v>7685</v>
      </c>
      <c r="F38" s="353"/>
      <c r="G38" s="353"/>
      <c r="H38" s="443">
        <v>1901</v>
      </c>
      <c r="I38" s="210">
        <v>48614</v>
      </c>
      <c r="J38" s="465"/>
      <c r="L38" s="465"/>
    </row>
    <row r="39" spans="1:12">
      <c r="A39" s="556" t="s">
        <v>253</v>
      </c>
      <c r="B39" s="556" t="s">
        <v>61</v>
      </c>
      <c r="C39" s="442">
        <v>4092</v>
      </c>
      <c r="D39" s="556">
        <f>_xlfn.XLOOKUP(B39,'[1]G&amp;A Expenses'!$A:$A,'[1]G&amp;A Expenses'!$D:$D,_xlfn.XLOOKUP(B39,'[1]COGS Manufactured'!$A:$A,'[1]COGS Manufactured'!$D:$D))</f>
        <v>2422</v>
      </c>
      <c r="E39" s="556">
        <v>135</v>
      </c>
      <c r="F39" s="353">
        <v>4032</v>
      </c>
      <c r="G39" s="353">
        <v>2051</v>
      </c>
      <c r="H39" s="210">
        <v>82</v>
      </c>
      <c r="I39" s="210">
        <v>2219</v>
      </c>
      <c r="J39" s="465">
        <v>2184</v>
      </c>
      <c r="K39" s="464">
        <v>111</v>
      </c>
      <c r="L39" s="464">
        <v>151</v>
      </c>
    </row>
    <row r="40" spans="1:12">
      <c r="A40" s="556" t="s">
        <v>248</v>
      </c>
      <c r="B40" s="363" t="s">
        <v>39</v>
      </c>
      <c r="C40" s="363"/>
      <c r="D40" s="556">
        <v>0</v>
      </c>
      <c r="E40" s="556">
        <v>46829</v>
      </c>
      <c r="F40" s="353"/>
      <c r="G40" s="353"/>
      <c r="J40" s="465"/>
    </row>
    <row r="41" spans="1:12">
      <c r="A41" s="556" t="s">
        <v>275</v>
      </c>
      <c r="B41" s="442" t="s">
        <v>64</v>
      </c>
      <c r="C41" s="442">
        <f>-(46416-35372)</f>
        <v>-11044</v>
      </c>
      <c r="D41" s="556">
        <f>-(18865-12913)</f>
        <v>-5952</v>
      </c>
      <c r="E41" s="556">
        <v>-5884</v>
      </c>
      <c r="F41" s="353">
        <f>48863-47166</f>
        <v>1697</v>
      </c>
      <c r="G41" s="353">
        <f>-(53008-40318)</f>
        <v>-12690</v>
      </c>
      <c r="H41" s="210">
        <f>-25983-4792</f>
        <v>-30775</v>
      </c>
      <c r="I41" s="210">
        <f>13336-4163</f>
        <v>9173</v>
      </c>
      <c r="J41" s="465">
        <v>6147</v>
      </c>
      <c r="K41" s="465">
        <v>17143</v>
      </c>
      <c r="L41" s="465">
        <v>19190</v>
      </c>
    </row>
    <row r="42" spans="1:12">
      <c r="A42" s="25" t="s">
        <v>275</v>
      </c>
      <c r="B42" s="442" t="s">
        <v>371</v>
      </c>
      <c r="C42" s="442"/>
      <c r="D42" s="556"/>
      <c r="E42" s="556">
        <v>6216</v>
      </c>
      <c r="F42" s="353"/>
      <c r="G42" s="353"/>
      <c r="H42" s="443">
        <v>4792</v>
      </c>
      <c r="I42" s="210">
        <v>4163</v>
      </c>
      <c r="J42" s="465"/>
      <c r="K42" s="465"/>
      <c r="L42" s="465"/>
    </row>
    <row r="43" spans="1:12">
      <c r="A43" s="556" t="s">
        <v>334</v>
      </c>
      <c r="B43" s="442" t="s">
        <v>372</v>
      </c>
      <c r="C43" s="442">
        <v>-19607</v>
      </c>
      <c r="D43" s="556">
        <f>-9307</f>
        <v>-9307</v>
      </c>
      <c r="E43" s="556">
        <v>-170697</v>
      </c>
      <c r="F43" s="353">
        <v>-31307</v>
      </c>
      <c r="G43" s="353">
        <f>-30420</f>
        <v>-30420</v>
      </c>
      <c r="H43" s="210">
        <f>-62632+246</f>
        <v>-62386</v>
      </c>
      <c r="I43" s="210">
        <f>-85166+210</f>
        <v>-84956</v>
      </c>
      <c r="J43" s="465">
        <v>-108616</v>
      </c>
      <c r="K43" s="465">
        <v>-100887</v>
      </c>
      <c r="L43" s="465">
        <v>-49024</v>
      </c>
    </row>
    <row r="44" spans="1:12">
      <c r="A44" s="556"/>
      <c r="B44" s="442" t="s">
        <v>373</v>
      </c>
      <c r="C44" s="442"/>
      <c r="D44" s="556"/>
      <c r="E44" s="556">
        <v>-183</v>
      </c>
      <c r="F44" s="353"/>
      <c r="G44" s="353"/>
      <c r="H44" s="443">
        <v>-246</v>
      </c>
      <c r="I44" s="210">
        <v>-210</v>
      </c>
      <c r="J44" s="465"/>
      <c r="K44" s="465"/>
      <c r="L44" s="465"/>
    </row>
    <row r="45" spans="1:12">
      <c r="A45" s="25" t="s">
        <v>374</v>
      </c>
      <c r="B45" s="355" t="s">
        <v>269</v>
      </c>
      <c r="C45" s="355">
        <f>30406</f>
        <v>30406</v>
      </c>
      <c r="D45" s="556">
        <v>15203</v>
      </c>
      <c r="E45" s="355"/>
      <c r="F45" s="353">
        <v>28228</v>
      </c>
      <c r="G45" s="353">
        <v>23280</v>
      </c>
      <c r="J45" s="465"/>
      <c r="K45" s="465"/>
      <c r="L45" s="465"/>
    </row>
    <row r="46" spans="1:12">
      <c r="A46" s="556"/>
      <c r="B46" s="25" t="s">
        <v>375</v>
      </c>
      <c r="C46" s="210">
        <f t="shared" ref="C46:H46" si="0">SUM(C7:C45)</f>
        <v>3974098</v>
      </c>
      <c r="D46" s="210">
        <f t="shared" si="0"/>
        <v>2044953</v>
      </c>
      <c r="E46" s="210">
        <f t="shared" si="0"/>
        <v>8637419</v>
      </c>
      <c r="F46" s="210">
        <f t="shared" si="0"/>
        <v>3910107</v>
      </c>
      <c r="G46" s="210">
        <f t="shared" si="0"/>
        <v>4094843</v>
      </c>
      <c r="H46" s="210">
        <f t="shared" si="0"/>
        <v>9084788</v>
      </c>
      <c r="I46" s="210">
        <f>SUM(I7:I44)</f>
        <v>10591354</v>
      </c>
      <c r="J46" s="467">
        <f>SUM(J7:J43)</f>
        <v>11454627</v>
      </c>
      <c r="K46" s="467">
        <f>SUM(K7:K43)</f>
        <v>9904121</v>
      </c>
      <c r="L46" s="467">
        <f>SUM(L7:L43)</f>
        <v>9457796</v>
      </c>
    </row>
    <row r="47" spans="1:12">
      <c r="A47" s="556"/>
      <c r="B47" s="556"/>
      <c r="C47" s="556"/>
      <c r="D47" s="556"/>
      <c r="E47" s="556"/>
      <c r="F47" s="353"/>
      <c r="G47" s="353"/>
    </row>
    <row r="48" spans="1:12">
      <c r="A48" s="25" t="s">
        <v>248</v>
      </c>
      <c r="B48" s="556" t="s">
        <v>282</v>
      </c>
      <c r="C48" s="556">
        <v>-159866</v>
      </c>
      <c r="D48" s="556">
        <v>-255947</v>
      </c>
      <c r="E48" s="556">
        <v>-1239901</v>
      </c>
      <c r="F48" s="353">
        <v>-225544</v>
      </c>
      <c r="G48" s="353">
        <v>-199589</v>
      </c>
      <c r="H48" s="210">
        <f>-1021535</f>
        <v>-1021535</v>
      </c>
      <c r="I48" s="210">
        <f>-1051427-45134</f>
        <v>-1096561</v>
      </c>
      <c r="J48" s="465">
        <v>-1733922</v>
      </c>
      <c r="K48" s="465">
        <v>-1107863</v>
      </c>
      <c r="L48" s="465">
        <v>-632835</v>
      </c>
    </row>
    <row r="49" spans="1:13">
      <c r="A49" s="556"/>
      <c r="B49" s="556"/>
      <c r="C49" s="556"/>
      <c r="D49" s="556"/>
      <c r="E49" s="556"/>
      <c r="F49" s="353"/>
      <c r="G49" s="353"/>
      <c r="M49" s="556"/>
    </row>
    <row r="50" spans="1:13">
      <c r="A50" s="556"/>
      <c r="B50" s="556" t="s">
        <v>288</v>
      </c>
      <c r="C50" s="210">
        <f t="shared" ref="C50:L50" si="1">SUM(C46:C48)</f>
        <v>3814232</v>
      </c>
      <c r="D50" s="210">
        <f t="shared" si="1"/>
        <v>1789006</v>
      </c>
      <c r="E50" s="210">
        <f t="shared" si="1"/>
        <v>7397518</v>
      </c>
      <c r="F50" s="210">
        <f t="shared" si="1"/>
        <v>3684563</v>
      </c>
      <c r="G50" s="210">
        <f t="shared" si="1"/>
        <v>3895254</v>
      </c>
      <c r="H50" s="210">
        <f t="shared" si="1"/>
        <v>8063253</v>
      </c>
      <c r="I50" s="210">
        <f t="shared" si="1"/>
        <v>9494793</v>
      </c>
      <c r="J50" s="467">
        <f t="shared" si="1"/>
        <v>9720705</v>
      </c>
      <c r="K50" s="467">
        <f t="shared" si="1"/>
        <v>8796258</v>
      </c>
      <c r="L50" s="467">
        <f t="shared" si="1"/>
        <v>8824961</v>
      </c>
      <c r="M50" s="556"/>
    </row>
    <row r="51" spans="1:13">
      <c r="A51" s="556"/>
      <c r="B51" s="556"/>
      <c r="C51" s="556"/>
      <c r="D51" s="556"/>
      <c r="E51" s="556"/>
      <c r="F51" s="353"/>
      <c r="G51" s="353"/>
      <c r="M51" s="556"/>
    </row>
    <row r="52" spans="1:13">
      <c r="A52" s="556"/>
      <c r="B52" s="556" t="s">
        <v>376</v>
      </c>
      <c r="C52" s="210">
        <f>C3+C5-C50</f>
        <v>961458</v>
      </c>
      <c r="D52" s="210">
        <f>D3+D5-D50</f>
        <v>620676</v>
      </c>
      <c r="E52" s="210">
        <f>E3+E5+E4-E50</f>
        <v>1608531</v>
      </c>
      <c r="F52" s="210">
        <f>F3+F5-F50</f>
        <v>794078</v>
      </c>
      <c r="G52" s="210">
        <f>G3+G5-G50</f>
        <v>641905</v>
      </c>
      <c r="H52" s="210">
        <f>H3+H5+H4-H50</f>
        <v>1287913</v>
      </c>
      <c r="I52" s="210">
        <f>I3+I5+I4-I50</f>
        <v>1632312</v>
      </c>
      <c r="J52" s="467">
        <f>J3+J5-J50</f>
        <v>2348956</v>
      </c>
      <c r="K52" s="467">
        <f>K3+K5-K50</f>
        <v>1729274</v>
      </c>
      <c r="L52" s="467">
        <f>L3+L5-L50</f>
        <v>1577177</v>
      </c>
      <c r="M52" s="556"/>
    </row>
    <row r="53" spans="1:13">
      <c r="A53" s="556"/>
      <c r="B53" s="556"/>
      <c r="C53" s="556"/>
      <c r="D53" s="556"/>
      <c r="E53" s="556"/>
      <c r="F53" s="353"/>
      <c r="G53" s="353"/>
      <c r="M53" s="556"/>
    </row>
    <row r="54" spans="1:13">
      <c r="A54" s="556" t="s">
        <v>374</v>
      </c>
      <c r="B54" s="556" t="s">
        <v>377</v>
      </c>
      <c r="C54" s="556"/>
      <c r="D54" s="556"/>
      <c r="E54" s="556">
        <v>682921</v>
      </c>
      <c r="F54" s="353"/>
      <c r="G54" s="353"/>
      <c r="H54" s="210">
        <v>575317</v>
      </c>
      <c r="I54" s="210">
        <v>634812</v>
      </c>
      <c r="J54" s="465">
        <v>775051</v>
      </c>
      <c r="K54" s="465">
        <v>683480</v>
      </c>
      <c r="L54" s="465">
        <v>535262</v>
      </c>
      <c r="M54" s="556"/>
    </row>
    <row r="55" spans="1:13">
      <c r="A55" s="556" t="s">
        <v>374</v>
      </c>
      <c r="B55" s="556" t="s">
        <v>378</v>
      </c>
      <c r="C55" s="556">
        <f>61880+6163</f>
        <v>68043</v>
      </c>
      <c r="D55" s="556">
        <f>24134+3081</f>
        <v>27215</v>
      </c>
      <c r="E55" s="556">
        <v>160790</v>
      </c>
      <c r="F55" s="353">
        <f>50863+6011</f>
        <v>56874</v>
      </c>
      <c r="G55" s="353">
        <f>23659+7965</f>
        <v>31624</v>
      </c>
      <c r="H55" s="210">
        <v>146115</v>
      </c>
      <c r="I55" s="210">
        <v>147445</v>
      </c>
      <c r="J55" s="465">
        <v>144638</v>
      </c>
      <c r="K55" s="465">
        <v>102067</v>
      </c>
      <c r="L55" s="465">
        <v>128258</v>
      </c>
      <c r="M55" s="556"/>
    </row>
    <row r="56" spans="1:13">
      <c r="A56" s="556" t="s">
        <v>374</v>
      </c>
      <c r="B56" s="556" t="s">
        <v>379</v>
      </c>
      <c r="C56" s="556">
        <f>65997</f>
        <v>65997</v>
      </c>
      <c r="D56" s="556">
        <f>32519</f>
        <v>32519</v>
      </c>
      <c r="E56" s="556">
        <v>129211</v>
      </c>
      <c r="F56" s="353">
        <v>63483</v>
      </c>
      <c r="G56" s="353">
        <v>63975</v>
      </c>
      <c r="H56" s="210">
        <v>128935</v>
      </c>
      <c r="I56" s="210">
        <v>127950</v>
      </c>
      <c r="J56" s="465">
        <v>119896</v>
      </c>
      <c r="K56" s="465">
        <v>115656</v>
      </c>
      <c r="L56" s="465">
        <v>119624</v>
      </c>
      <c r="M56" s="556"/>
    </row>
    <row r="57" spans="1:13">
      <c r="A57" s="556" t="s">
        <v>374</v>
      </c>
      <c r="B57" s="556" t="s">
        <v>380</v>
      </c>
      <c r="C57" s="556">
        <f>55949</f>
        <v>55949</v>
      </c>
      <c r="D57" s="556">
        <v>40405</v>
      </c>
      <c r="E57" s="556">
        <v>85592</v>
      </c>
      <c r="F57" s="353">
        <v>52728</v>
      </c>
      <c r="G57" s="353">
        <v>67530</v>
      </c>
      <c r="H57" s="210">
        <v>90099</v>
      </c>
      <c r="I57" s="210">
        <v>112984</v>
      </c>
      <c r="J57" s="465">
        <v>120304</v>
      </c>
      <c r="K57" s="465">
        <v>196583</v>
      </c>
      <c r="L57" s="465">
        <v>107547</v>
      </c>
      <c r="M57" s="556"/>
    </row>
    <row r="58" spans="1:13">
      <c r="A58" s="556" t="s">
        <v>374</v>
      </c>
      <c r="B58" s="442" t="s">
        <v>381</v>
      </c>
      <c r="C58" s="442">
        <f>3752+0+21792+6249</f>
        <v>31793</v>
      </c>
      <c r="D58" s="556">
        <f>1876+10896+3124</f>
        <v>15896</v>
      </c>
      <c r="E58" s="556">
        <v>63962</v>
      </c>
      <c r="F58" s="353">
        <f>3752+25230+6249</f>
        <v>35231</v>
      </c>
      <c r="G58" s="353">
        <f>2878+21672+6249</f>
        <v>30799</v>
      </c>
      <c r="H58" s="210">
        <v>66605</v>
      </c>
      <c r="I58" s="210">
        <v>57511</v>
      </c>
      <c r="J58" s="465">
        <v>59433</v>
      </c>
      <c r="K58" s="465">
        <v>59486</v>
      </c>
      <c r="L58" s="465">
        <v>59449</v>
      </c>
      <c r="M58" s="556"/>
    </row>
    <row r="59" spans="1:13">
      <c r="A59" s="556" t="s">
        <v>374</v>
      </c>
      <c r="B59" s="442" t="s">
        <v>382</v>
      </c>
      <c r="C59" s="442"/>
      <c r="D59" s="556"/>
      <c r="E59" s="556">
        <v>6505</v>
      </c>
      <c r="F59" s="353"/>
      <c r="G59" s="353"/>
      <c r="H59" s="444">
        <v>6505</v>
      </c>
      <c r="I59" s="210">
        <v>7913</v>
      </c>
      <c r="J59" s="465"/>
      <c r="K59" s="465"/>
      <c r="L59" s="465"/>
      <c r="M59" s="556"/>
    </row>
    <row r="60" spans="1:13">
      <c r="A60" s="556" t="s">
        <v>374</v>
      </c>
      <c r="B60" s="556" t="s">
        <v>383</v>
      </c>
      <c r="C60" s="556">
        <v>0</v>
      </c>
      <c r="D60" s="556">
        <v>0</v>
      </c>
      <c r="E60" s="556">
        <v>6597</v>
      </c>
      <c r="F60" s="353">
        <v>2198</v>
      </c>
      <c r="G60" s="353">
        <v>1493</v>
      </c>
      <c r="H60" s="210">
        <v>50879</v>
      </c>
      <c r="I60" s="210">
        <v>1704</v>
      </c>
      <c r="J60" s="464">
        <v>57</v>
      </c>
      <c r="K60" s="465">
        <v>5840</v>
      </c>
      <c r="L60" s="465">
        <v>2810</v>
      </c>
      <c r="M60" s="556"/>
    </row>
    <row r="61" spans="1:13">
      <c r="A61" s="556" t="s">
        <v>374</v>
      </c>
      <c r="B61" s="556" t="s">
        <v>384</v>
      </c>
      <c r="C61" s="556">
        <f>24950</f>
        <v>24950</v>
      </c>
      <c r="D61" s="556">
        <v>12258</v>
      </c>
      <c r="E61" s="556">
        <v>54835</v>
      </c>
      <c r="F61" s="353">
        <v>29289</v>
      </c>
      <c r="G61" s="353">
        <v>23864</v>
      </c>
      <c r="H61" s="210">
        <v>46939</v>
      </c>
      <c r="I61" s="210">
        <v>57431</v>
      </c>
      <c r="J61" s="465">
        <v>96595</v>
      </c>
      <c r="K61" s="465">
        <v>44146</v>
      </c>
      <c r="L61" s="465">
        <v>49266</v>
      </c>
      <c r="M61" s="25" t="s">
        <v>385</v>
      </c>
    </row>
    <row r="62" spans="1:13">
      <c r="A62" s="556" t="s">
        <v>374</v>
      </c>
      <c r="B62" s="556" t="s">
        <v>386</v>
      </c>
      <c r="C62" s="556">
        <f>15908</f>
        <v>15908</v>
      </c>
      <c r="D62" s="556">
        <v>7958</v>
      </c>
      <c r="E62" s="556">
        <v>53893</v>
      </c>
      <c r="F62" s="353">
        <v>18911</v>
      </c>
      <c r="G62" s="353">
        <v>8927</v>
      </c>
      <c r="H62" s="210">
        <v>46071</v>
      </c>
      <c r="I62" s="210">
        <v>63705</v>
      </c>
      <c r="J62" s="465">
        <v>76067</v>
      </c>
      <c r="K62" s="465">
        <v>59648</v>
      </c>
      <c r="L62" s="465">
        <v>54602</v>
      </c>
      <c r="M62" s="556"/>
    </row>
    <row r="63" spans="1:13">
      <c r="A63" s="556" t="s">
        <v>374</v>
      </c>
      <c r="B63" s="556" t="s">
        <v>359</v>
      </c>
      <c r="C63" s="556">
        <v>19095</v>
      </c>
      <c r="D63" s="556">
        <v>10530</v>
      </c>
      <c r="E63" s="556">
        <v>41164</v>
      </c>
      <c r="F63" s="353">
        <v>21560</v>
      </c>
      <c r="G63" s="353">
        <v>22732</v>
      </c>
      <c r="H63" s="210">
        <v>43462</v>
      </c>
      <c r="I63" s="210">
        <v>54543</v>
      </c>
      <c r="J63" s="465">
        <v>51840</v>
      </c>
      <c r="K63" s="465">
        <v>48608</v>
      </c>
      <c r="L63" s="465">
        <v>46821</v>
      </c>
      <c r="M63" s="556"/>
    </row>
    <row r="64" spans="1:13">
      <c r="A64" s="556" t="s">
        <v>374</v>
      </c>
      <c r="B64" s="442" t="s">
        <v>387</v>
      </c>
      <c r="C64" s="442">
        <f>17884+7990</f>
        <v>25874</v>
      </c>
      <c r="D64" s="556">
        <f>9017+4548</f>
        <v>13565</v>
      </c>
      <c r="E64" s="556">
        <v>43303</v>
      </c>
      <c r="F64" s="353">
        <f>13390+7576</f>
        <v>20966</v>
      </c>
      <c r="G64" s="353">
        <f>15941+6872</f>
        <v>22813</v>
      </c>
      <c r="H64" s="210">
        <v>42997</v>
      </c>
      <c r="I64" s="210">
        <v>39709</v>
      </c>
      <c r="J64" s="465">
        <v>76511</v>
      </c>
      <c r="K64" s="465">
        <v>99314</v>
      </c>
      <c r="L64" s="465">
        <v>109300</v>
      </c>
      <c r="M64" s="25" t="s">
        <v>388</v>
      </c>
    </row>
    <row r="65" spans="1:13">
      <c r="A65" s="556"/>
      <c r="B65" s="442" t="s">
        <v>389</v>
      </c>
      <c r="C65" s="442"/>
      <c r="D65" s="556"/>
      <c r="E65" s="556">
        <v>156</v>
      </c>
      <c r="F65" s="353"/>
      <c r="G65" s="353"/>
      <c r="H65" s="444">
        <v>36</v>
      </c>
      <c r="I65" s="210">
        <v>164</v>
      </c>
      <c r="J65" s="465"/>
      <c r="K65" s="465"/>
      <c r="L65" s="465"/>
      <c r="M65" s="25"/>
    </row>
    <row r="66" spans="1:13">
      <c r="A66" s="556" t="s">
        <v>374</v>
      </c>
      <c r="B66" s="556" t="s">
        <v>390</v>
      </c>
      <c r="C66" s="556">
        <f>13222</f>
        <v>13222</v>
      </c>
      <c r="D66" s="556">
        <v>6611</v>
      </c>
      <c r="E66" s="556">
        <v>29691</v>
      </c>
      <c r="F66" s="353">
        <v>12994</v>
      </c>
      <c r="G66" s="353">
        <v>17626</v>
      </c>
      <c r="H66" s="210">
        <v>42669</v>
      </c>
      <c r="I66" s="210">
        <v>23969</v>
      </c>
      <c r="J66" s="465">
        <v>24119</v>
      </c>
      <c r="K66" s="465">
        <v>25649</v>
      </c>
      <c r="L66" s="465">
        <v>24175</v>
      </c>
      <c r="M66" s="556"/>
    </row>
    <row r="67" spans="1:13">
      <c r="A67" s="556" t="s">
        <v>391</v>
      </c>
      <c r="B67" s="442" t="s">
        <v>392</v>
      </c>
      <c r="C67" s="442">
        <f>6142+4831</f>
        <v>10973</v>
      </c>
      <c r="D67" s="556">
        <f>4085+1123</f>
        <v>5208</v>
      </c>
      <c r="E67" s="556">
        <v>15274</v>
      </c>
      <c r="F67" s="353">
        <f>1723+2793</f>
        <v>4516</v>
      </c>
      <c r="G67" s="353">
        <f>8555+4508</f>
        <v>13063</v>
      </c>
      <c r="H67" s="210">
        <v>23822</v>
      </c>
      <c r="I67" s="210">
        <v>41639</v>
      </c>
      <c r="J67" s="465">
        <v>23791</v>
      </c>
      <c r="K67" s="465">
        <v>23622</v>
      </c>
      <c r="L67" s="465">
        <v>7286</v>
      </c>
      <c r="M67" s="556"/>
    </row>
    <row r="68" spans="1:13">
      <c r="A68" s="556"/>
      <c r="B68" s="442" t="s">
        <v>393</v>
      </c>
      <c r="C68" s="442"/>
      <c r="D68" s="556"/>
      <c r="E68" s="556">
        <v>3679</v>
      </c>
      <c r="F68" s="353"/>
      <c r="G68" s="353"/>
      <c r="H68" s="444">
        <v>5497</v>
      </c>
      <c r="I68" s="210">
        <v>1611</v>
      </c>
      <c r="J68" s="465"/>
      <c r="K68" s="465"/>
      <c r="L68" s="465"/>
      <c r="M68" s="556"/>
    </row>
    <row r="69" spans="1:13">
      <c r="A69" s="556" t="s">
        <v>374</v>
      </c>
      <c r="B69" s="556" t="s">
        <v>394</v>
      </c>
      <c r="C69" s="556">
        <f>4305+9838</f>
        <v>14143</v>
      </c>
      <c r="D69" s="556">
        <f>2173+5315</f>
        <v>7488</v>
      </c>
      <c r="E69" s="556">
        <v>24328</v>
      </c>
      <c r="F69" s="353">
        <f>4639+8902</f>
        <v>13541</v>
      </c>
      <c r="G69" s="353">
        <f>5039+10419</f>
        <v>15458</v>
      </c>
      <c r="H69" s="210">
        <v>28373</v>
      </c>
      <c r="I69" s="210">
        <v>32412</v>
      </c>
      <c r="J69" s="465">
        <v>33368</v>
      </c>
      <c r="K69" s="465">
        <v>38805</v>
      </c>
      <c r="L69" s="465">
        <v>36491</v>
      </c>
      <c r="M69" s="556"/>
    </row>
    <row r="70" spans="1:13">
      <c r="A70" s="556" t="s">
        <v>374</v>
      </c>
      <c r="B70" s="556" t="s">
        <v>367</v>
      </c>
      <c r="C70" s="556">
        <f>10982</f>
        <v>10982</v>
      </c>
      <c r="D70" s="556">
        <v>5891</v>
      </c>
      <c r="E70" s="556">
        <v>21536</v>
      </c>
      <c r="F70" s="353">
        <v>11009</v>
      </c>
      <c r="G70" s="353">
        <v>11290</v>
      </c>
      <c r="H70" s="210">
        <v>22199</v>
      </c>
      <c r="I70" s="210">
        <v>23682</v>
      </c>
      <c r="J70" s="465">
        <v>23252</v>
      </c>
      <c r="K70" s="465">
        <v>21563</v>
      </c>
      <c r="L70" s="465">
        <v>19755</v>
      </c>
      <c r="M70" s="556"/>
    </row>
    <row r="71" spans="1:13">
      <c r="A71" s="556" t="s">
        <v>374</v>
      </c>
      <c r="B71" s="442" t="s">
        <v>395</v>
      </c>
      <c r="C71" s="442">
        <f>7095</f>
        <v>7095</v>
      </c>
      <c r="D71" s="556">
        <f>_xlfn.XLOOKUP(B71,'[1]G&amp;A Expenses'!$A:$A,'[1]G&amp;A Expenses'!$D:$D)</f>
        <v>4126</v>
      </c>
      <c r="E71" s="556">
        <v>21002</v>
      </c>
      <c r="F71" s="353">
        <v>9564</v>
      </c>
      <c r="G71" s="353">
        <v>11638</v>
      </c>
      <c r="H71" s="210">
        <v>20600</v>
      </c>
      <c r="I71" s="210">
        <v>32828</v>
      </c>
      <c r="J71" s="465">
        <v>33223</v>
      </c>
      <c r="K71" s="465">
        <v>26639</v>
      </c>
      <c r="L71" s="465">
        <v>26432</v>
      </c>
      <c r="M71" s="556"/>
    </row>
    <row r="72" spans="1:13">
      <c r="A72" s="556"/>
      <c r="B72" s="442" t="s">
        <v>396</v>
      </c>
      <c r="C72" s="442"/>
      <c r="D72" s="556"/>
      <c r="E72" s="556">
        <v>1339</v>
      </c>
      <c r="F72" s="353"/>
      <c r="G72" s="353"/>
      <c r="H72" s="444">
        <v>1093</v>
      </c>
      <c r="I72" s="210">
        <v>1158</v>
      </c>
      <c r="J72" s="465"/>
      <c r="K72" s="465"/>
      <c r="L72" s="465"/>
      <c r="M72" s="556"/>
    </row>
    <row r="73" spans="1:13">
      <c r="A73" s="556" t="s">
        <v>374</v>
      </c>
      <c r="B73" s="356" t="s">
        <v>86</v>
      </c>
      <c r="C73" s="356">
        <f>38088</f>
        <v>38088</v>
      </c>
      <c r="D73" s="556">
        <f>_xlfn.XLOOKUP(B73,'[1]G&amp;A Expenses'!$A:$A,'[1]G&amp;A Expenses'!$D:$D)</f>
        <v>34120</v>
      </c>
      <c r="E73" s="356"/>
      <c r="F73" s="353">
        <v>59055</v>
      </c>
      <c r="G73" s="353">
        <v>73000</v>
      </c>
      <c r="H73" s="210">
        <v>0</v>
      </c>
      <c r="I73" s="210">
        <v>0</v>
      </c>
      <c r="J73" s="465">
        <v>0</v>
      </c>
      <c r="K73" s="465">
        <v>0</v>
      </c>
      <c r="L73" s="465">
        <v>0</v>
      </c>
      <c r="M73" s="556"/>
    </row>
    <row r="74" spans="1:13">
      <c r="A74" s="556" t="s">
        <v>374</v>
      </c>
      <c r="B74" s="442" t="s">
        <v>397</v>
      </c>
      <c r="C74" s="442">
        <f>7143</f>
        <v>7143</v>
      </c>
      <c r="D74" s="556">
        <f>_xlfn.XLOOKUP(B74,'[1]G&amp;A Expenses'!$A:$A,'[1]G&amp;A Expenses'!$D:$D)</f>
        <v>6925</v>
      </c>
      <c r="E74" s="356">
        <v>5430</v>
      </c>
      <c r="F74" s="353">
        <f>1648</f>
        <v>1648</v>
      </c>
      <c r="G74" s="353">
        <v>6231</v>
      </c>
      <c r="H74" s="210">
        <v>10599</v>
      </c>
      <c r="I74" s="210">
        <v>7875</v>
      </c>
      <c r="J74" s="465">
        <v>8928</v>
      </c>
      <c r="K74" s="465">
        <v>12153</v>
      </c>
      <c r="L74" s="465">
        <v>17311</v>
      </c>
      <c r="M74" s="556"/>
    </row>
    <row r="75" spans="1:13">
      <c r="A75" s="556"/>
      <c r="B75" s="442" t="s">
        <v>398</v>
      </c>
      <c r="C75" s="442"/>
      <c r="D75" s="556"/>
      <c r="E75" s="356"/>
      <c r="F75" s="353"/>
      <c r="G75" s="353"/>
      <c r="H75" s="444">
        <v>550</v>
      </c>
      <c r="I75" s="210">
        <v>400</v>
      </c>
      <c r="J75" s="465"/>
      <c r="K75" s="465"/>
      <c r="L75" s="465"/>
      <c r="M75" s="556"/>
    </row>
    <row r="76" spans="1:13">
      <c r="A76" s="556" t="s">
        <v>391</v>
      </c>
      <c r="B76" s="556" t="s">
        <v>76</v>
      </c>
      <c r="C76" s="556">
        <f>1531</f>
        <v>1531</v>
      </c>
      <c r="D76" s="556">
        <f>_xlfn.XLOOKUP(B76,'[1]G&amp;A Expenses'!$A:$A,'[1]G&amp;A Expenses'!$D:$D)</f>
        <v>515</v>
      </c>
      <c r="E76" s="556">
        <v>7823</v>
      </c>
      <c r="F76" s="353">
        <v>3474</v>
      </c>
      <c r="G76" s="353">
        <v>8845</v>
      </c>
      <c r="H76" s="210">
        <v>10995</v>
      </c>
      <c r="I76" s="210">
        <v>12447</v>
      </c>
      <c r="J76" s="465">
        <v>25516</v>
      </c>
      <c r="K76" s="465">
        <v>0</v>
      </c>
      <c r="L76" s="465">
        <v>0</v>
      </c>
      <c r="M76" s="556"/>
    </row>
    <row r="77" spans="1:13">
      <c r="A77" s="556" t="s">
        <v>374</v>
      </c>
      <c r="B77" s="442" t="s">
        <v>399</v>
      </c>
      <c r="C77" s="442">
        <f>1739</f>
        <v>1739</v>
      </c>
      <c r="D77" s="556">
        <f>_xlfn.XLOOKUP(B77,'[1]G&amp;A Expenses'!$A:$A,'[1]G&amp;A Expenses'!$D:$D)</f>
        <v>1074</v>
      </c>
      <c r="E77" s="556">
        <v>3405</v>
      </c>
      <c r="F77" s="353">
        <v>1561</v>
      </c>
      <c r="G77" s="353">
        <v>2187</v>
      </c>
      <c r="H77" s="210">
        <v>4009</v>
      </c>
      <c r="I77" s="210">
        <v>6408</v>
      </c>
      <c r="J77" s="465">
        <v>5824</v>
      </c>
      <c r="K77" s="465">
        <v>1339</v>
      </c>
      <c r="L77" s="465">
        <v>8669</v>
      </c>
      <c r="M77" s="556"/>
    </row>
    <row r="78" spans="1:13">
      <c r="A78" s="556"/>
      <c r="B78" s="442" t="s">
        <v>400</v>
      </c>
      <c r="C78" s="442"/>
      <c r="D78" s="556"/>
      <c r="E78" s="556">
        <v>266</v>
      </c>
      <c r="F78" s="353"/>
      <c r="G78" s="353"/>
      <c r="H78" s="444">
        <v>261</v>
      </c>
      <c r="I78" s="210">
        <v>181</v>
      </c>
      <c r="J78" s="465"/>
      <c r="K78" s="465"/>
      <c r="L78" s="465"/>
      <c r="M78" s="556"/>
    </row>
    <row r="79" spans="1:13">
      <c r="A79" s="556" t="s">
        <v>391</v>
      </c>
      <c r="B79" s="556" t="s">
        <v>75</v>
      </c>
      <c r="C79" s="556">
        <f>1534</f>
        <v>1534</v>
      </c>
      <c r="D79" s="556">
        <v>552</v>
      </c>
      <c r="E79" s="556">
        <v>505</v>
      </c>
      <c r="F79" s="353">
        <v>207</v>
      </c>
      <c r="G79" s="353">
        <v>1734</v>
      </c>
      <c r="H79" s="210">
        <v>1753</v>
      </c>
      <c r="I79" s="210">
        <v>10325</v>
      </c>
      <c r="J79" s="464">
        <v>571</v>
      </c>
      <c r="K79" s="464">
        <v>129</v>
      </c>
      <c r="L79" s="465">
        <v>0</v>
      </c>
      <c r="M79" s="556"/>
    </row>
    <row r="80" spans="1:13">
      <c r="A80" s="556" t="s">
        <v>374</v>
      </c>
      <c r="B80" s="556" t="s">
        <v>401</v>
      </c>
      <c r="C80" s="556">
        <f>0</f>
        <v>0</v>
      </c>
      <c r="D80" s="556">
        <v>0</v>
      </c>
      <c r="E80" s="556">
        <v>1000</v>
      </c>
      <c r="F80" s="353">
        <v>500</v>
      </c>
      <c r="G80" s="353">
        <v>750</v>
      </c>
      <c r="H80" s="210">
        <v>1500</v>
      </c>
      <c r="I80" s="210">
        <v>7429</v>
      </c>
      <c r="J80" s="464">
        <v>241</v>
      </c>
      <c r="K80" s="464">
        <v>566</v>
      </c>
      <c r="L80" s="464">
        <v>18</v>
      </c>
      <c r="M80" s="556"/>
    </row>
    <row r="81" spans="1:12">
      <c r="A81" s="556" t="s">
        <v>374</v>
      </c>
      <c r="B81" s="556" t="s">
        <v>402</v>
      </c>
      <c r="C81" s="556">
        <f>1000+235</f>
        <v>1235</v>
      </c>
      <c r="D81" s="556">
        <f>1000+55</f>
        <v>1055</v>
      </c>
      <c r="E81" s="556">
        <v>4290</v>
      </c>
      <c r="F81" s="353">
        <f>135+1070</f>
        <v>1205</v>
      </c>
      <c r="G81" s="353">
        <f>85+1070</f>
        <v>1155</v>
      </c>
      <c r="H81" s="210">
        <v>1425</v>
      </c>
      <c r="I81" s="210">
        <v>1410</v>
      </c>
      <c r="J81" s="465">
        <v>1834</v>
      </c>
      <c r="K81" s="465">
        <v>3033</v>
      </c>
      <c r="L81" s="465">
        <v>1260</v>
      </c>
    </row>
    <row r="82" spans="1:12">
      <c r="A82" s="556" t="s">
        <v>374</v>
      </c>
      <c r="B82" s="442" t="s">
        <v>403</v>
      </c>
      <c r="C82" s="442"/>
      <c r="D82" s="556"/>
      <c r="E82" s="556">
        <v>2227</v>
      </c>
      <c r="F82" s="353">
        <v>0</v>
      </c>
      <c r="G82" s="353"/>
      <c r="H82" s="210">
        <v>-24</v>
      </c>
      <c r="I82" s="210">
        <v>0</v>
      </c>
      <c r="J82" s="464">
        <v>68</v>
      </c>
      <c r="K82" s="464">
        <v>56</v>
      </c>
      <c r="L82" s="464">
        <v>806</v>
      </c>
    </row>
    <row r="83" spans="1:12">
      <c r="A83" s="556"/>
      <c r="B83" s="442" t="s">
        <v>404</v>
      </c>
      <c r="C83" s="442"/>
      <c r="D83" s="556"/>
      <c r="E83" s="556"/>
      <c r="F83" s="353"/>
      <c r="G83" s="353"/>
      <c r="H83" s="210">
        <v>1279</v>
      </c>
      <c r="I83" s="210">
        <v>576</v>
      </c>
    </row>
    <row r="84" spans="1:12">
      <c r="A84" s="556" t="s">
        <v>391</v>
      </c>
      <c r="B84" s="442" t="s">
        <v>405</v>
      </c>
      <c r="C84" s="442">
        <v>0</v>
      </c>
      <c r="D84" s="556">
        <v>0</v>
      </c>
      <c r="E84" s="556">
        <v>6</v>
      </c>
      <c r="F84" s="353">
        <v>8</v>
      </c>
      <c r="G84" s="353">
        <v>99</v>
      </c>
      <c r="H84" s="210">
        <v>99</v>
      </c>
      <c r="I84" s="210">
        <v>99</v>
      </c>
      <c r="J84" s="464">
        <v>298</v>
      </c>
      <c r="K84" s="464">
        <v>299</v>
      </c>
      <c r="L84" s="464">
        <v>95</v>
      </c>
    </row>
    <row r="85" spans="1:12">
      <c r="A85" s="556"/>
      <c r="B85" s="442" t="s">
        <v>406</v>
      </c>
      <c r="C85" s="442"/>
      <c r="D85" s="556"/>
      <c r="E85" s="556">
        <v>171</v>
      </c>
      <c r="F85" s="353"/>
      <c r="G85" s="353"/>
      <c r="H85" s="444">
        <v>166</v>
      </c>
      <c r="I85" s="210">
        <v>160</v>
      </c>
    </row>
    <row r="86" spans="1:12">
      <c r="A86" s="556" t="s">
        <v>391</v>
      </c>
      <c r="B86" s="356" t="s">
        <v>407</v>
      </c>
      <c r="C86" s="356">
        <f>148173</f>
        <v>148173</v>
      </c>
      <c r="D86" s="556">
        <f>_xlfn.XLOOKUP(B86,'[1]G&amp;A Expenses'!$A:$A,'[1]G&amp;A Expenses'!$D:$D)</f>
        <v>74126</v>
      </c>
      <c r="E86" s="356"/>
      <c r="F86" s="353">
        <v>165564</v>
      </c>
      <c r="G86" s="353">
        <v>167528</v>
      </c>
    </row>
    <row r="87" spans="1:12">
      <c r="A87" s="556" t="s">
        <v>391</v>
      </c>
      <c r="B87" s="356" t="s">
        <v>78</v>
      </c>
      <c r="C87" s="356">
        <f>62136</f>
        <v>62136</v>
      </c>
      <c r="D87" s="556">
        <v>30702</v>
      </c>
      <c r="E87" s="356"/>
      <c r="F87" s="353">
        <v>61884</v>
      </c>
      <c r="G87" s="353">
        <v>74441</v>
      </c>
    </row>
    <row r="88" spans="1:12">
      <c r="A88" s="25" t="s">
        <v>374</v>
      </c>
      <c r="B88" s="356" t="s">
        <v>408</v>
      </c>
      <c r="C88" s="356">
        <v>0</v>
      </c>
      <c r="D88" s="556">
        <v>0</v>
      </c>
      <c r="E88" s="356"/>
      <c r="F88" s="353">
        <f>-1322</f>
        <v>-1322</v>
      </c>
      <c r="G88" s="353">
        <v>18713</v>
      </c>
    </row>
    <row r="89" spans="1:12">
      <c r="A89" s="556"/>
      <c r="B89" s="556" t="s">
        <v>409</v>
      </c>
      <c r="C89" s="210">
        <f>SUM(C54:C88)</f>
        <v>625603</v>
      </c>
      <c r="D89" s="210">
        <f>SUM(D54:D88)</f>
        <v>338739</v>
      </c>
      <c r="E89" s="210">
        <f>SUM(E54:E88)</f>
        <v>1470901</v>
      </c>
      <c r="F89" s="210">
        <f>SUM(F54:F88)</f>
        <v>646648</v>
      </c>
      <c r="G89" s="210">
        <f>SUM(G54:G88)</f>
        <v>697515</v>
      </c>
      <c r="H89" s="210">
        <f>SUM(H54:H85)</f>
        <v>1420825</v>
      </c>
      <c r="I89" s="210">
        <f>SUM(I54:I85)</f>
        <v>1510480</v>
      </c>
      <c r="J89" s="467">
        <f>SUM(J54:J84)</f>
        <v>1701425</v>
      </c>
      <c r="K89" s="467">
        <f>SUM(K54:K84)</f>
        <v>1568681</v>
      </c>
      <c r="L89" s="467">
        <f>SUM(L54:L84)</f>
        <v>1355237</v>
      </c>
    </row>
    <row r="90" spans="1:12">
      <c r="A90" s="556"/>
      <c r="B90" s="556"/>
      <c r="C90" s="556"/>
      <c r="D90" s="556"/>
      <c r="E90" s="556"/>
      <c r="F90" s="353"/>
      <c r="G90" s="353"/>
    </row>
    <row r="91" spans="1:12">
      <c r="A91" s="556"/>
      <c r="B91" s="556" t="s">
        <v>410</v>
      </c>
      <c r="C91" s="210">
        <f>C3+C5-C50-C89</f>
        <v>335855</v>
      </c>
      <c r="D91" s="210">
        <f>D3+D5-D50-D89</f>
        <v>281937</v>
      </c>
      <c r="E91" s="210">
        <f>E52-E89</f>
        <v>137630</v>
      </c>
      <c r="F91" s="210">
        <f>F3+F5-F50-F89</f>
        <v>147430</v>
      </c>
      <c r="G91" s="210">
        <f>G3+G5-G50-G89</f>
        <v>-55610</v>
      </c>
      <c r="H91" s="210">
        <f>H52-H89</f>
        <v>-132912</v>
      </c>
      <c r="I91" s="210">
        <f>I52-I89</f>
        <v>121832</v>
      </c>
      <c r="J91" s="467">
        <f>J3+J5-J50-J89</f>
        <v>647531</v>
      </c>
      <c r="K91" s="467">
        <f>K3+K5-K50-K89</f>
        <v>160593</v>
      </c>
      <c r="L91" s="467">
        <f>L3+L5-L50-L89</f>
        <v>221940</v>
      </c>
    </row>
    <row r="92" spans="1:12">
      <c r="A92" s="556"/>
      <c r="B92" s="556"/>
      <c r="C92" s="556"/>
      <c r="D92" s="556"/>
      <c r="E92" s="556"/>
      <c r="F92" s="353"/>
      <c r="G92" s="353"/>
    </row>
    <row r="93" spans="1:12">
      <c r="A93" s="556" t="s">
        <v>334</v>
      </c>
      <c r="B93" s="556" t="s">
        <v>99</v>
      </c>
      <c r="C93" s="556">
        <v>-11022</v>
      </c>
      <c r="D93" s="556">
        <v>-8329</v>
      </c>
      <c r="E93" s="556">
        <v>-31884</v>
      </c>
      <c r="F93" s="353">
        <v>-15604</v>
      </c>
      <c r="G93" s="353">
        <v>-9669</v>
      </c>
      <c r="H93" s="210">
        <v>7</v>
      </c>
      <c r="I93" s="210">
        <v>-22060</v>
      </c>
      <c r="J93" s="465">
        <v>-121245</v>
      </c>
      <c r="K93" s="465">
        <v>-88472</v>
      </c>
      <c r="L93" s="465">
        <v>-137472</v>
      </c>
    </row>
    <row r="94" spans="1:12">
      <c r="A94" s="556" t="s">
        <v>334</v>
      </c>
      <c r="B94" s="556" t="s">
        <v>337</v>
      </c>
      <c r="C94" s="556">
        <f>9237</f>
        <v>9237</v>
      </c>
      <c r="D94" s="556">
        <v>1257</v>
      </c>
      <c r="E94" s="556">
        <v>16553</v>
      </c>
      <c r="F94" s="353">
        <v>5717</v>
      </c>
      <c r="G94" s="353"/>
      <c r="H94" s="210">
        <v>-19149</v>
      </c>
      <c r="I94" s="210">
        <v>0</v>
      </c>
      <c r="J94" s="464">
        <v>0</v>
      </c>
      <c r="K94" s="464">
        <v>0</v>
      </c>
      <c r="L94" s="464">
        <v>0</v>
      </c>
    </row>
    <row r="95" spans="1:12">
      <c r="A95" s="556" t="s">
        <v>334</v>
      </c>
      <c r="B95" s="556" t="s">
        <v>411</v>
      </c>
      <c r="C95" s="556">
        <v>0</v>
      </c>
      <c r="D95" s="556"/>
      <c r="E95" s="556"/>
      <c r="F95" s="353">
        <v>0</v>
      </c>
      <c r="G95" s="353">
        <v>2666</v>
      </c>
      <c r="H95" s="210">
        <v>2667</v>
      </c>
      <c r="I95" s="210">
        <v>0</v>
      </c>
      <c r="J95" s="464">
        <v>0</v>
      </c>
      <c r="K95" s="465">
        <v>1500</v>
      </c>
      <c r="L95" s="464">
        <v>0</v>
      </c>
    </row>
    <row r="96" spans="1:12">
      <c r="A96" s="25" t="s">
        <v>334</v>
      </c>
      <c r="B96" s="356" t="s">
        <v>101</v>
      </c>
      <c r="C96" s="356"/>
      <c r="D96" s="356"/>
      <c r="E96" s="356"/>
      <c r="F96" s="353">
        <v>576</v>
      </c>
      <c r="G96" s="353"/>
      <c r="K96" s="465"/>
    </row>
    <row r="97" spans="1:12">
      <c r="A97" s="25" t="s">
        <v>334</v>
      </c>
      <c r="B97" s="356" t="s">
        <v>102</v>
      </c>
      <c r="C97" s="356">
        <v>-4</v>
      </c>
      <c r="D97" s="356">
        <v>-4</v>
      </c>
      <c r="E97" s="356"/>
      <c r="F97" s="353"/>
      <c r="G97" s="353">
        <v>-15</v>
      </c>
      <c r="K97" s="465"/>
    </row>
    <row r="98" spans="1:12">
      <c r="A98" s="556" t="s">
        <v>334</v>
      </c>
      <c r="B98" s="556" t="s">
        <v>104</v>
      </c>
      <c r="C98" s="556">
        <f>133786</f>
        <v>133786</v>
      </c>
      <c r="D98" s="556"/>
      <c r="E98" s="556"/>
      <c r="F98" s="353"/>
      <c r="G98" s="353"/>
      <c r="H98" s="210">
        <v>0</v>
      </c>
      <c r="I98" s="210">
        <v>0</v>
      </c>
      <c r="J98" s="465">
        <v>688137</v>
      </c>
      <c r="K98" s="465">
        <v>862310</v>
      </c>
      <c r="L98" s="464">
        <v>0</v>
      </c>
    </row>
    <row r="99" spans="1:12">
      <c r="A99" s="556" t="s">
        <v>334</v>
      </c>
      <c r="B99" s="25" t="s">
        <v>412</v>
      </c>
      <c r="C99" s="25"/>
      <c r="D99" s="25"/>
      <c r="E99" s="25"/>
      <c r="F99" s="354"/>
      <c r="G99" s="354"/>
      <c r="H99" s="210">
        <v>0</v>
      </c>
      <c r="I99" s="210">
        <v>0</v>
      </c>
      <c r="J99" s="464">
        <v>0</v>
      </c>
      <c r="K99" s="465">
        <v>1352277</v>
      </c>
      <c r="L99" s="464">
        <v>0</v>
      </c>
    </row>
    <row r="100" spans="1:12">
      <c r="A100" s="556"/>
      <c r="B100" s="556"/>
      <c r="C100" s="556"/>
      <c r="D100" s="556"/>
      <c r="E100" s="556"/>
      <c r="F100" s="353"/>
      <c r="G100" s="353"/>
    </row>
    <row r="101" spans="1:12">
      <c r="A101" s="556"/>
      <c r="B101" s="556" t="s">
        <v>413</v>
      </c>
      <c r="C101" s="210">
        <f>C91+C93+C94+C95+C96+C97+C98</f>
        <v>467852</v>
      </c>
      <c r="D101" s="210">
        <f>D91+D93+D94+D95+D96+D97</f>
        <v>274861</v>
      </c>
      <c r="E101" s="210">
        <f>E91+E93+E94+E95+E96</f>
        <v>122299</v>
      </c>
      <c r="F101" s="210">
        <f>F91+F93+F94+F95+F96</f>
        <v>138119</v>
      </c>
      <c r="G101" s="210">
        <f>G91+G93+G94+G95+G97</f>
        <v>-62628</v>
      </c>
      <c r="H101" s="210">
        <f>H91+H93+H94+H95</f>
        <v>-149387</v>
      </c>
      <c r="I101" s="210">
        <f>I91+I93+I94+I95</f>
        <v>99772</v>
      </c>
      <c r="J101" s="467">
        <f>J91+J93+J94+J95+J98+J99</f>
        <v>1214423</v>
      </c>
      <c r="K101" s="467">
        <f>K91+K93+K94+K95+K98+K99</f>
        <v>2288208</v>
      </c>
      <c r="L101" s="467">
        <f>L91+L93+L94+L95+L98+L99</f>
        <v>84468</v>
      </c>
    </row>
    <row r="102" spans="1:12">
      <c r="A102" s="556"/>
      <c r="B102" s="556"/>
      <c r="C102" s="556"/>
      <c r="D102" s="556"/>
      <c r="E102" s="556"/>
      <c r="F102" s="353"/>
      <c r="G102" s="353"/>
    </row>
    <row r="103" spans="1:12">
      <c r="A103" s="556"/>
      <c r="B103" s="556"/>
      <c r="C103" s="556"/>
      <c r="D103" s="556"/>
      <c r="E103" s="556"/>
      <c r="F103" s="353"/>
      <c r="G103" s="353"/>
    </row>
    <row r="104" spans="1:12">
      <c r="A104" s="556"/>
      <c r="B104" s="556"/>
      <c r="C104" s="556">
        <v>467828</v>
      </c>
      <c r="D104" s="556">
        <v>274840</v>
      </c>
      <c r="E104" s="556"/>
      <c r="F104" s="353">
        <v>138098</v>
      </c>
      <c r="G104" s="353">
        <v>-62638</v>
      </c>
    </row>
    <row r="105" spans="1:12">
      <c r="A105" s="556"/>
      <c r="B105" s="556"/>
      <c r="C105" s="353">
        <f t="shared" ref="C105:E105" si="2">C101-C104</f>
        <v>24</v>
      </c>
      <c r="D105" s="353">
        <f t="shared" si="2"/>
        <v>21</v>
      </c>
      <c r="E105" s="353">
        <f t="shared" si="2"/>
        <v>122299</v>
      </c>
      <c r="F105" s="353">
        <f>F101-F104</f>
        <v>21</v>
      </c>
      <c r="G105" s="353">
        <f>G101-G104</f>
        <v>10</v>
      </c>
    </row>
    <row r="106" spans="1:12">
      <c r="A106" s="556"/>
      <c r="B106" s="556"/>
      <c r="C106" s="364">
        <f>C105/2</f>
        <v>12</v>
      </c>
      <c r="D106" s="364">
        <f>D105/2</f>
        <v>10.5</v>
      </c>
      <c r="E106" s="556"/>
      <c r="F106" s="353"/>
      <c r="G106" s="353"/>
    </row>
    <row r="107" spans="1:12">
      <c r="A107" s="556"/>
      <c r="B107" s="556"/>
      <c r="C107" s="556"/>
      <c r="D107" s="556"/>
      <c r="E107" s="556"/>
      <c r="F107" s="353"/>
      <c r="G107" s="353"/>
    </row>
    <row r="108" spans="1:12">
      <c r="A108" s="556"/>
      <c r="B108" s="556"/>
      <c r="C108" s="556"/>
      <c r="D108" s="556"/>
      <c r="E108" s="556"/>
      <c r="F108" s="353">
        <f>F96*2</f>
        <v>1152</v>
      </c>
      <c r="G108" s="353"/>
    </row>
    <row r="109" spans="1:12">
      <c r="A109" s="556"/>
      <c r="B109" s="556"/>
      <c r="C109" s="556"/>
      <c r="D109" s="556"/>
      <c r="E109" s="556"/>
      <c r="F109" s="353">
        <f>F105/2</f>
        <v>10.5</v>
      </c>
      <c r="G109" s="353"/>
    </row>
    <row r="110" spans="1:12">
      <c r="A110" s="556"/>
      <c r="B110" s="556"/>
      <c r="C110" s="556"/>
      <c r="D110" s="556"/>
      <c r="E110" s="556"/>
      <c r="F110" s="354" t="s">
        <v>414</v>
      </c>
      <c r="G110" s="354" t="s">
        <v>414</v>
      </c>
    </row>
    <row r="111" spans="1:12">
      <c r="A111" s="556"/>
      <c r="B111" s="556"/>
      <c r="C111" s="556"/>
      <c r="D111" s="556"/>
      <c r="E111" s="556"/>
      <c r="F111" s="353"/>
      <c r="G111" s="353"/>
    </row>
    <row r="112" spans="1:12">
      <c r="A112" s="556"/>
      <c r="B112" s="556"/>
      <c r="C112" s="556"/>
      <c r="D112" s="556"/>
      <c r="E112" s="556"/>
      <c r="F112" s="353"/>
      <c r="G112" s="353"/>
    </row>
    <row r="113" spans="2:7">
      <c r="B113" s="556"/>
      <c r="C113" s="556"/>
      <c r="D113" s="556"/>
      <c r="E113" s="556"/>
      <c r="F113" s="353"/>
      <c r="G113" s="353"/>
    </row>
    <row r="114" spans="2:7">
      <c r="B114" s="556"/>
      <c r="C114" s="556"/>
      <c r="D114" s="556"/>
      <c r="E114" s="556"/>
      <c r="F114" s="353"/>
      <c r="G114" s="353"/>
    </row>
    <row r="115" spans="2:7">
      <c r="B115" s="556"/>
      <c r="C115" s="556"/>
      <c r="D115" s="556"/>
      <c r="E115" s="556"/>
      <c r="F115" s="353"/>
      <c r="G115" s="353"/>
    </row>
    <row r="116" spans="2:7">
      <c r="B116" s="556"/>
      <c r="C116" s="556"/>
      <c r="D116" s="556"/>
      <c r="E116" s="556"/>
      <c r="F116" s="353"/>
      <c r="G116" s="353"/>
    </row>
    <row r="117" spans="2:7">
      <c r="B117" s="556"/>
      <c r="C117" s="556"/>
      <c r="D117" s="556"/>
      <c r="E117" s="556"/>
      <c r="F117" s="353"/>
      <c r="G117" s="353"/>
    </row>
    <row r="118" spans="2:7">
      <c r="B118" s="556"/>
      <c r="C118" s="556"/>
      <c r="D118" s="556"/>
      <c r="E118" s="556"/>
      <c r="F118" s="353"/>
      <c r="G118" s="353"/>
    </row>
    <row r="119" spans="2:7">
      <c r="B119" s="25" t="s">
        <v>415</v>
      </c>
      <c r="C119" s="353">
        <v>17884</v>
      </c>
      <c r="D119" s="353">
        <v>9018</v>
      </c>
      <c r="E119" s="353"/>
      <c r="F119" s="353">
        <f>13390</f>
        <v>13390</v>
      </c>
      <c r="G119" s="353">
        <f>15941</f>
        <v>15941</v>
      </c>
    </row>
    <row r="120" spans="2:7">
      <c r="B120" s="556"/>
      <c r="C120" s="556"/>
      <c r="D120" s="556"/>
      <c r="E120" s="556"/>
      <c r="F120" s="353"/>
      <c r="G120" s="353"/>
    </row>
    <row r="121" spans="2:7">
      <c r="B121" s="556"/>
      <c r="C121" s="556"/>
      <c r="D121" s="556"/>
      <c r="E121" s="556"/>
      <c r="F121" s="353"/>
      <c r="G121" s="353"/>
    </row>
    <row r="122" spans="2:7">
      <c r="B122" s="556"/>
      <c r="C122" s="556"/>
      <c r="D122" s="556"/>
      <c r="E122" s="556"/>
      <c r="F122" s="353"/>
      <c r="G122" s="353"/>
    </row>
    <row r="123" spans="2:7">
      <c r="B123" s="556"/>
      <c r="C123" s="556"/>
      <c r="D123" s="556"/>
      <c r="E123" s="556"/>
      <c r="F123" s="353"/>
      <c r="G123" s="353"/>
    </row>
    <row r="124" spans="2:7">
      <c r="B124" s="556"/>
      <c r="C124" s="556"/>
      <c r="D124" s="556"/>
      <c r="E124" s="556"/>
      <c r="F124" s="353"/>
      <c r="G124" s="353"/>
    </row>
    <row r="125" spans="2:7">
      <c r="B125" s="556"/>
      <c r="C125" s="556"/>
      <c r="D125" s="556"/>
      <c r="E125" s="556"/>
      <c r="F125" s="353"/>
      <c r="G125" s="353"/>
    </row>
    <row r="126" spans="2:7">
      <c r="B126" s="556"/>
      <c r="C126" s="556"/>
      <c r="D126" s="556"/>
      <c r="E126" s="556"/>
      <c r="F126" s="353"/>
      <c r="G126" s="353"/>
    </row>
    <row r="127" spans="2:7">
      <c r="B127" s="556"/>
      <c r="C127" s="556"/>
      <c r="D127" s="556"/>
      <c r="E127" s="556"/>
      <c r="F127" s="353"/>
      <c r="G127" s="353"/>
    </row>
    <row r="128" spans="2:7">
      <c r="B128" s="556"/>
      <c r="C128" s="556"/>
      <c r="D128" s="556"/>
      <c r="E128" s="556"/>
      <c r="F128" s="353"/>
      <c r="G128" s="353"/>
    </row>
    <row r="129" spans="4:7">
      <c r="D129" s="556"/>
      <c r="E129" s="556"/>
      <c r="F129" s="353"/>
      <c r="G129" s="353"/>
    </row>
    <row r="130" spans="4:7">
      <c r="D130" s="556"/>
      <c r="E130" s="556"/>
      <c r="F130" s="353"/>
      <c r="G130" s="353"/>
    </row>
    <row r="131" spans="4:7">
      <c r="D131" s="556">
        <v>1066084</v>
      </c>
      <c r="E131" s="556"/>
      <c r="F131" s="556"/>
      <c r="G131" s="556"/>
    </row>
    <row r="132" spans="4:7">
      <c r="D132" s="556">
        <v>825307</v>
      </c>
      <c r="E132" s="556"/>
      <c r="F132" s="556"/>
      <c r="G132" s="556"/>
    </row>
    <row r="133" spans="4:7">
      <c r="D133" s="556">
        <v>541969</v>
      </c>
      <c r="E133" s="556"/>
      <c r="F133" s="556"/>
      <c r="G133" s="556"/>
    </row>
    <row r="135" spans="4:7">
      <c r="D135" s="556">
        <v>-27819</v>
      </c>
      <c r="E135" s="556"/>
      <c r="F135" s="556"/>
      <c r="G135" s="556"/>
    </row>
    <row r="136" spans="4:7">
      <c r="D136" s="556">
        <v>-1885</v>
      </c>
      <c r="E136" s="556"/>
      <c r="F136" s="556"/>
      <c r="G136" s="556"/>
    </row>
    <row r="137" spans="4:7">
      <c r="D137" s="556">
        <v>-1257</v>
      </c>
      <c r="E137" s="556"/>
      <c r="F137" s="556"/>
      <c r="G137" s="556"/>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65F59-A32D-476E-83AF-C61A299150CD}">
  <sheetPr codeName="Sheet10">
    <tabColor rgb="FF00B050"/>
  </sheetPr>
  <dimension ref="A1:F72"/>
  <sheetViews>
    <sheetView workbookViewId="0"/>
  </sheetViews>
  <sheetFormatPr defaultRowHeight="12.75"/>
  <cols>
    <col min="2" max="2" width="33.140625" customWidth="1"/>
    <col min="3" max="3" width="14.85546875" style="210" customWidth="1"/>
    <col min="4" max="4" width="14.140625" style="210" bestFit="1" customWidth="1"/>
  </cols>
  <sheetData>
    <row r="1" spans="2:6">
      <c r="B1" s="556"/>
      <c r="C1" s="212">
        <v>2024</v>
      </c>
      <c r="D1" s="212">
        <v>2023</v>
      </c>
      <c r="E1" s="211">
        <v>2022</v>
      </c>
      <c r="F1" s="211">
        <v>2021</v>
      </c>
    </row>
    <row r="3" spans="2:6">
      <c r="B3" s="556" t="s">
        <v>416</v>
      </c>
      <c r="C3" s="210">
        <v>8855077</v>
      </c>
      <c r="D3" s="210">
        <v>10655460</v>
      </c>
      <c r="E3" s="556"/>
      <c r="F3" s="556"/>
    </row>
    <row r="4" spans="2:6">
      <c r="B4" s="556" t="s">
        <v>334</v>
      </c>
      <c r="C4" s="210">
        <v>126021</v>
      </c>
      <c r="D4" s="210">
        <v>206685</v>
      </c>
      <c r="E4" s="556"/>
      <c r="F4" s="556"/>
    </row>
    <row r="6" spans="2:6">
      <c r="B6" s="556" t="s">
        <v>417</v>
      </c>
      <c r="C6" s="210">
        <v>1051427</v>
      </c>
      <c r="D6" s="210">
        <v>1733922</v>
      </c>
      <c r="E6" s="556"/>
      <c r="F6" s="556"/>
    </row>
    <row r="7" spans="2:6">
      <c r="B7" s="556" t="s">
        <v>350</v>
      </c>
      <c r="E7" s="556"/>
      <c r="F7" s="556"/>
    </row>
    <row r="8" spans="2:6">
      <c r="B8" s="556" t="s">
        <v>29</v>
      </c>
      <c r="C8" s="210">
        <v>3692358</v>
      </c>
      <c r="D8" s="210">
        <v>3982914</v>
      </c>
      <c r="E8" s="556"/>
      <c r="F8" s="556"/>
    </row>
    <row r="9" spans="2:6">
      <c r="B9" s="556" t="s">
        <v>418</v>
      </c>
      <c r="C9" s="210">
        <v>965420</v>
      </c>
      <c r="D9" s="210">
        <f>1219010-136379</f>
        <v>1082631</v>
      </c>
      <c r="E9" s="556"/>
      <c r="F9" s="556"/>
    </row>
    <row r="10" spans="2:6">
      <c r="B10" s="556" t="s">
        <v>353</v>
      </c>
      <c r="C10" s="210">
        <v>523378</v>
      </c>
      <c r="D10" s="210">
        <v>608621</v>
      </c>
      <c r="E10" s="556"/>
      <c r="F10" s="556"/>
    </row>
    <row r="11" spans="2:6">
      <c r="B11" s="556" t="s">
        <v>355</v>
      </c>
      <c r="C11" s="210">
        <v>383282</v>
      </c>
      <c r="D11" s="210">
        <v>476537</v>
      </c>
      <c r="E11" s="556"/>
      <c r="F11" s="556"/>
    </row>
    <row r="12" spans="2:6">
      <c r="B12" s="556" t="s">
        <v>419</v>
      </c>
      <c r="C12" s="210">
        <v>327826</v>
      </c>
      <c r="D12" s="210">
        <f>331999-2177</f>
        <v>329822</v>
      </c>
      <c r="E12" s="556"/>
      <c r="F12" s="556"/>
    </row>
    <row r="13" spans="2:6">
      <c r="B13" s="556" t="s">
        <v>420</v>
      </c>
      <c r="C13" s="210">
        <v>69427</v>
      </c>
      <c r="D13" s="210">
        <f>257467-166233</f>
        <v>91234</v>
      </c>
      <c r="E13" s="556"/>
      <c r="F13" s="556"/>
    </row>
    <row r="14" spans="2:6">
      <c r="B14" s="556" t="s">
        <v>421</v>
      </c>
      <c r="C14" s="210">
        <v>268102</v>
      </c>
      <c r="D14" s="210">
        <f>280397</f>
        <v>280397</v>
      </c>
      <c r="E14" s="556"/>
      <c r="F14" s="556"/>
    </row>
    <row r="15" spans="2:6">
      <c r="B15" s="556" t="s">
        <v>274</v>
      </c>
      <c r="C15" s="210">
        <v>238882</v>
      </c>
      <c r="D15" s="210">
        <v>258091</v>
      </c>
      <c r="E15" s="556"/>
      <c r="F15" s="556"/>
    </row>
    <row r="16" spans="2:6">
      <c r="B16" s="556" t="s">
        <v>359</v>
      </c>
      <c r="C16" s="210">
        <v>200385</v>
      </c>
      <c r="D16" s="210">
        <v>232730</v>
      </c>
      <c r="E16" s="556"/>
      <c r="F16" s="556"/>
    </row>
    <row r="17" spans="2:4">
      <c r="B17" s="556" t="s">
        <v>34</v>
      </c>
      <c r="C17" s="210">
        <v>180668</v>
      </c>
      <c r="D17" s="210">
        <v>225574</v>
      </c>
    </row>
    <row r="18" spans="2:4">
      <c r="B18" s="556" t="s">
        <v>422</v>
      </c>
      <c r="C18" s="210">
        <f>166575-9600</f>
        <v>156975</v>
      </c>
      <c r="D18" s="210">
        <f>160446-9600</f>
        <v>150846</v>
      </c>
    </row>
    <row r="19" spans="2:4">
      <c r="B19" s="556" t="s">
        <v>362</v>
      </c>
      <c r="C19" s="210">
        <v>166471</v>
      </c>
      <c r="D19" s="210">
        <v>185159</v>
      </c>
    </row>
    <row r="20" spans="2:4">
      <c r="B20" s="556" t="s">
        <v>423</v>
      </c>
      <c r="C20" s="210">
        <f>153388-980</f>
        <v>152408</v>
      </c>
      <c r="D20" s="210">
        <f>237506-1027</f>
        <v>236479</v>
      </c>
    </row>
    <row r="21" spans="2:4">
      <c r="B21" s="556" t="s">
        <v>364</v>
      </c>
      <c r="C21" s="210">
        <v>134081</v>
      </c>
      <c r="D21" s="210">
        <v>137702</v>
      </c>
    </row>
    <row r="22" spans="2:4">
      <c r="B22" s="556" t="s">
        <v>365</v>
      </c>
      <c r="C22" s="210">
        <v>119383</v>
      </c>
      <c r="D22" s="210">
        <v>93521</v>
      </c>
    </row>
    <row r="23" spans="2:4">
      <c r="B23" s="556" t="s">
        <v>35</v>
      </c>
      <c r="C23" s="210">
        <v>94918</v>
      </c>
      <c r="D23" s="210">
        <v>94148</v>
      </c>
    </row>
    <row r="24" spans="2:4">
      <c r="B24" s="556" t="s">
        <v>367</v>
      </c>
      <c r="C24" s="210">
        <v>53479</v>
      </c>
      <c r="D24" s="210">
        <v>52088</v>
      </c>
    </row>
    <row r="25" spans="2:4">
      <c r="B25" s="556" t="s">
        <v>36</v>
      </c>
      <c r="C25" s="210">
        <v>31056</v>
      </c>
      <c r="D25" s="210">
        <v>33531</v>
      </c>
    </row>
    <row r="26" spans="2:4">
      <c r="B26" s="556" t="s">
        <v>37</v>
      </c>
      <c r="C26" s="210">
        <v>6961</v>
      </c>
      <c r="D26" s="210">
        <v>6603</v>
      </c>
    </row>
    <row r="27" spans="2:4">
      <c r="B27" s="556" t="s">
        <v>368</v>
      </c>
      <c r="C27" s="210">
        <v>4385</v>
      </c>
      <c r="D27" s="210">
        <v>4385</v>
      </c>
    </row>
    <row r="28" spans="2:4">
      <c r="B28" s="556" t="s">
        <v>38</v>
      </c>
      <c r="C28" s="210">
        <v>2773</v>
      </c>
      <c r="D28" s="210">
        <v>0</v>
      </c>
    </row>
    <row r="29" spans="2:4">
      <c r="B29" s="556" t="s">
        <v>248</v>
      </c>
      <c r="C29" s="210">
        <f>1901-1901</f>
        <v>0</v>
      </c>
      <c r="D29" s="210">
        <f>48614-48614</f>
        <v>0</v>
      </c>
    </row>
    <row r="30" spans="2:4">
      <c r="B30" s="556" t="s">
        <v>61</v>
      </c>
      <c r="C30" s="210">
        <v>82</v>
      </c>
      <c r="D30" s="210">
        <v>2219</v>
      </c>
    </row>
    <row r="31" spans="2:4">
      <c r="B31" s="556" t="s">
        <v>424</v>
      </c>
      <c r="C31" s="210">
        <f>-25983-4792</f>
        <v>-30775</v>
      </c>
      <c r="D31" s="210">
        <f>13336-4163</f>
        <v>9173</v>
      </c>
    </row>
    <row r="32" spans="2:4">
      <c r="B32" s="556" t="s">
        <v>98</v>
      </c>
      <c r="C32" s="210">
        <f>-62632+246</f>
        <v>-62386</v>
      </c>
      <c r="D32" s="210">
        <f>-85166+210</f>
        <v>-84956</v>
      </c>
    </row>
    <row r="33" spans="2:4">
      <c r="B33" s="556" t="s">
        <v>425</v>
      </c>
      <c r="C33" s="210">
        <f>SUM(C6:C32)</f>
        <v>8730966</v>
      </c>
      <c r="D33" s="210">
        <f>SUM(D6:D32)</f>
        <v>10223371</v>
      </c>
    </row>
    <row r="34" spans="2:4">
      <c r="B34" s="556" t="s">
        <v>282</v>
      </c>
      <c r="C34" s="210">
        <f>-1021535</f>
        <v>-1021535</v>
      </c>
      <c r="D34" s="210">
        <f>-1051427</f>
        <v>-1051427</v>
      </c>
    </row>
    <row r="36" spans="2:4">
      <c r="B36" s="556" t="s">
        <v>288</v>
      </c>
      <c r="C36" s="210">
        <f>SUM(C33:C34)</f>
        <v>7709431</v>
      </c>
      <c r="D36" s="210">
        <f>SUM(D33:D34)</f>
        <v>9171944</v>
      </c>
    </row>
    <row r="38" spans="2:4">
      <c r="B38" s="556" t="s">
        <v>376</v>
      </c>
      <c r="C38" s="210">
        <f>C3+C4-C36</f>
        <v>1271667</v>
      </c>
      <c r="D38" s="210">
        <f>D3+D4-D36</f>
        <v>1690201</v>
      </c>
    </row>
    <row r="40" spans="2:4">
      <c r="B40" s="556" t="s">
        <v>377</v>
      </c>
      <c r="C40" s="210">
        <v>575317</v>
      </c>
      <c r="D40" s="210">
        <v>634812</v>
      </c>
    </row>
    <row r="41" spans="2:4">
      <c r="B41" s="556" t="s">
        <v>378</v>
      </c>
      <c r="C41" s="210">
        <v>146115</v>
      </c>
      <c r="D41" s="210">
        <v>147445</v>
      </c>
    </row>
    <row r="42" spans="2:4">
      <c r="B42" s="556" t="s">
        <v>379</v>
      </c>
      <c r="C42" s="210">
        <v>128935</v>
      </c>
      <c r="D42" s="210">
        <v>127950</v>
      </c>
    </row>
    <row r="43" spans="2:4">
      <c r="B43" s="556" t="s">
        <v>380</v>
      </c>
      <c r="C43" s="210">
        <v>90099</v>
      </c>
      <c r="D43" s="210">
        <v>112984</v>
      </c>
    </row>
    <row r="44" spans="2:4">
      <c r="B44" s="556" t="s">
        <v>59</v>
      </c>
      <c r="C44" s="210">
        <v>66605</v>
      </c>
      <c r="D44" s="210">
        <v>57511</v>
      </c>
    </row>
    <row r="45" spans="2:4">
      <c r="B45" s="556" t="s">
        <v>383</v>
      </c>
      <c r="C45" s="210">
        <v>50879</v>
      </c>
      <c r="D45" s="210">
        <v>1704</v>
      </c>
    </row>
    <row r="46" spans="2:4">
      <c r="B46" s="556" t="s">
        <v>384</v>
      </c>
      <c r="C46" s="210">
        <v>46939</v>
      </c>
      <c r="D46" s="210">
        <v>57431</v>
      </c>
    </row>
    <row r="47" spans="2:4">
      <c r="B47" s="556" t="s">
        <v>386</v>
      </c>
      <c r="C47" s="210">
        <v>46071</v>
      </c>
      <c r="D47" s="210">
        <v>63705</v>
      </c>
    </row>
    <row r="48" spans="2:4">
      <c r="B48" s="556" t="s">
        <v>359</v>
      </c>
      <c r="C48" s="210">
        <v>43462</v>
      </c>
      <c r="D48" s="210">
        <v>54543</v>
      </c>
    </row>
    <row r="49" spans="1:4">
      <c r="A49" s="556"/>
      <c r="B49" s="556" t="s">
        <v>426</v>
      </c>
      <c r="C49" s="210">
        <v>42997</v>
      </c>
      <c r="D49" s="210">
        <v>39709</v>
      </c>
    </row>
    <row r="50" spans="1:4">
      <c r="A50" s="556"/>
      <c r="B50" s="556" t="s">
        <v>390</v>
      </c>
      <c r="C50" s="210">
        <v>42669</v>
      </c>
      <c r="D50" s="210">
        <v>23969</v>
      </c>
    </row>
    <row r="51" spans="1:4">
      <c r="A51" s="556" t="s">
        <v>391</v>
      </c>
      <c r="B51" s="556" t="s">
        <v>427</v>
      </c>
      <c r="C51" s="210">
        <v>23822</v>
      </c>
      <c r="D51" s="210">
        <v>41639</v>
      </c>
    </row>
    <row r="52" spans="1:4">
      <c r="A52" s="556"/>
      <c r="B52" s="556" t="s">
        <v>394</v>
      </c>
      <c r="C52" s="210">
        <v>28373</v>
      </c>
      <c r="D52" s="210">
        <v>32412</v>
      </c>
    </row>
    <row r="53" spans="1:4">
      <c r="A53" s="556"/>
      <c r="B53" s="556" t="s">
        <v>367</v>
      </c>
      <c r="C53" s="210">
        <v>22199</v>
      </c>
      <c r="D53" s="210">
        <v>23682</v>
      </c>
    </row>
    <row r="54" spans="1:4">
      <c r="A54" s="556"/>
      <c r="B54" s="556" t="s">
        <v>395</v>
      </c>
      <c r="C54" s="210">
        <v>20600</v>
      </c>
      <c r="D54" s="210">
        <v>32828</v>
      </c>
    </row>
    <row r="55" spans="1:4">
      <c r="A55" s="556"/>
      <c r="B55" s="556" t="s">
        <v>397</v>
      </c>
      <c r="C55" s="210">
        <v>10599</v>
      </c>
      <c r="D55" s="210">
        <v>7875</v>
      </c>
    </row>
    <row r="56" spans="1:4">
      <c r="A56" s="556"/>
      <c r="B56" s="556" t="s">
        <v>76</v>
      </c>
      <c r="C56" s="210">
        <v>10995</v>
      </c>
      <c r="D56" s="210">
        <v>12447</v>
      </c>
    </row>
    <row r="57" spans="1:4">
      <c r="A57" s="556"/>
      <c r="B57" s="556" t="s">
        <v>399</v>
      </c>
      <c r="C57" s="210">
        <v>4009</v>
      </c>
      <c r="D57" s="210">
        <v>6408</v>
      </c>
    </row>
    <row r="58" spans="1:4">
      <c r="A58" s="556" t="s">
        <v>391</v>
      </c>
      <c r="B58" s="556" t="s">
        <v>75</v>
      </c>
      <c r="C58" s="210">
        <v>1753</v>
      </c>
      <c r="D58" s="210">
        <v>10325</v>
      </c>
    </row>
    <row r="59" spans="1:4">
      <c r="A59" s="556"/>
      <c r="B59" s="556" t="s">
        <v>401</v>
      </c>
      <c r="C59" s="210">
        <v>1500</v>
      </c>
      <c r="D59" s="210">
        <v>7429</v>
      </c>
    </row>
    <row r="60" spans="1:4">
      <c r="A60" s="556"/>
      <c r="B60" s="556" t="s">
        <v>402</v>
      </c>
      <c r="C60" s="210">
        <v>1425</v>
      </c>
      <c r="D60" s="210">
        <v>1410</v>
      </c>
    </row>
    <row r="61" spans="1:4">
      <c r="A61" s="556"/>
      <c r="B61" s="556" t="s">
        <v>428</v>
      </c>
      <c r="C61" s="210">
        <v>-24</v>
      </c>
      <c r="D61" s="210">
        <v>0</v>
      </c>
    </row>
    <row r="62" spans="1:4">
      <c r="A62" s="556" t="s">
        <v>391</v>
      </c>
      <c r="B62" s="556" t="s">
        <v>429</v>
      </c>
      <c r="C62" s="210">
        <v>99</v>
      </c>
      <c r="D62" s="210">
        <v>99</v>
      </c>
    </row>
    <row r="63" spans="1:4">
      <c r="A63" s="556"/>
      <c r="B63" s="556" t="s">
        <v>409</v>
      </c>
      <c r="C63" s="210">
        <f>SUM(C40:C62)</f>
        <v>1405438</v>
      </c>
      <c r="D63" s="210">
        <f>SUM(D40:D62)</f>
        <v>1498317</v>
      </c>
    </row>
    <row r="65" spans="2:4">
      <c r="B65" s="556" t="s">
        <v>410</v>
      </c>
      <c r="C65" s="210">
        <f>C3+C4-C36-C63</f>
        <v>-133771</v>
      </c>
      <c r="D65" s="210">
        <f>D3+D4-D36-D63</f>
        <v>191884</v>
      </c>
    </row>
    <row r="67" spans="2:4">
      <c r="B67" s="556" t="s">
        <v>99</v>
      </c>
      <c r="C67" s="210">
        <v>7</v>
      </c>
      <c r="D67" s="210">
        <v>-22060</v>
      </c>
    </row>
    <row r="68" spans="2:4">
      <c r="B68" s="556" t="s">
        <v>337</v>
      </c>
      <c r="C68" s="210">
        <v>-19149</v>
      </c>
    </row>
    <row r="69" spans="2:4">
      <c r="B69" s="556" t="s">
        <v>411</v>
      </c>
      <c r="C69" s="210">
        <v>2667</v>
      </c>
    </row>
    <row r="72" spans="2:4">
      <c r="B72" s="556" t="s">
        <v>413</v>
      </c>
      <c r="C72" s="210">
        <f>C65+C67+C68+C69</f>
        <v>-150246</v>
      </c>
      <c r="D72" s="210">
        <f>D65+D67</f>
        <v>169824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E80E2-2365-4554-B848-B5AC3F336FD9}">
  <sheetPr codeName="Sheet11"/>
  <dimension ref="C12:G21"/>
  <sheetViews>
    <sheetView workbookViewId="0"/>
  </sheetViews>
  <sheetFormatPr defaultRowHeight="12.75"/>
  <cols>
    <col min="3" max="3" width="12.7109375" customWidth="1"/>
    <col min="7" max="7" width="24.28515625" customWidth="1"/>
  </cols>
  <sheetData>
    <row r="12" spans="3:7">
      <c r="C12" s="556" t="s">
        <v>359</v>
      </c>
      <c r="D12" s="353">
        <v>21560</v>
      </c>
      <c r="E12" s="556"/>
      <c r="F12" s="556"/>
      <c r="G12" s="556"/>
    </row>
    <row r="13" spans="3:7">
      <c r="C13" s="556" t="s">
        <v>426</v>
      </c>
      <c r="D13" s="353">
        <f>13390+7576</f>
        <v>20966</v>
      </c>
      <c r="E13" s="556"/>
      <c r="F13" s="556"/>
      <c r="G13" s="355" t="s">
        <v>269</v>
      </c>
    </row>
    <row r="14" spans="3:7">
      <c r="C14" s="556" t="s">
        <v>390</v>
      </c>
      <c r="D14" s="353">
        <v>12994</v>
      </c>
      <c r="E14" s="556"/>
      <c r="F14" s="556"/>
      <c r="G14" s="356" t="s">
        <v>86</v>
      </c>
    </row>
    <row r="15" spans="3:7">
      <c r="C15" s="556" t="s">
        <v>427</v>
      </c>
      <c r="D15" s="353">
        <f>1723+1793</f>
        <v>3516</v>
      </c>
      <c r="E15" s="556"/>
      <c r="F15" s="556"/>
      <c r="G15" s="356" t="s">
        <v>407</v>
      </c>
    </row>
    <row r="16" spans="3:7">
      <c r="C16" s="556" t="s">
        <v>394</v>
      </c>
      <c r="D16" s="353">
        <f>4639+8902</f>
        <v>13541</v>
      </c>
      <c r="E16" s="556"/>
      <c r="F16" s="556"/>
      <c r="G16" s="356" t="s">
        <v>78</v>
      </c>
    </row>
    <row r="17" spans="3:7">
      <c r="C17" s="556" t="s">
        <v>367</v>
      </c>
      <c r="D17" s="353">
        <v>11009</v>
      </c>
      <c r="E17" s="556"/>
      <c r="F17" s="556"/>
      <c r="G17" s="356" t="s">
        <v>408</v>
      </c>
    </row>
    <row r="18" spans="3:7">
      <c r="C18" s="556" t="s">
        <v>395</v>
      </c>
      <c r="D18" s="353">
        <v>9564</v>
      </c>
      <c r="E18" s="556"/>
      <c r="F18" s="556"/>
      <c r="G18" s="356" t="s">
        <v>101</v>
      </c>
    </row>
    <row r="19" spans="3:7">
      <c r="C19" s="25" t="s">
        <v>86</v>
      </c>
      <c r="D19" s="353">
        <v>59055</v>
      </c>
      <c r="E19" s="556"/>
      <c r="F19" s="556"/>
      <c r="G19" s="356" t="s">
        <v>102</v>
      </c>
    </row>
    <row r="20" spans="3:7">
      <c r="C20" s="556" t="s">
        <v>397</v>
      </c>
      <c r="D20" s="353">
        <f>1648</f>
        <v>1648</v>
      </c>
      <c r="E20" s="556"/>
      <c r="F20" s="556"/>
      <c r="G20" s="556"/>
    </row>
    <row r="21" spans="3:7">
      <c r="C21" s="556" t="s">
        <v>76</v>
      </c>
      <c r="D21" s="353">
        <v>3474</v>
      </c>
      <c r="E21" s="556"/>
      <c r="F21" s="556"/>
      <c r="G21" s="556"/>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E97D4-F57C-433D-AA37-1A06557EAB68}">
  <sheetPr codeName="Sheet12"/>
  <dimension ref="B1:K273"/>
  <sheetViews>
    <sheetView topLeftCell="A4" workbookViewId="0"/>
  </sheetViews>
  <sheetFormatPr defaultColWidth="8.85546875" defaultRowHeight="15"/>
  <cols>
    <col min="1" max="1" width="1.85546875" style="307" customWidth="1"/>
    <col min="2" max="2" width="45.7109375" style="307" customWidth="1"/>
    <col min="3" max="3" width="11.5703125" style="307" bestFit="1" customWidth="1"/>
    <col min="4" max="4" width="12.28515625" style="307" bestFit="1" customWidth="1"/>
    <col min="5" max="5" width="13.28515625" style="307" customWidth="1"/>
    <col min="6" max="7" width="11.5703125" style="307" bestFit="1" customWidth="1"/>
    <col min="8" max="8" width="12" style="307" customWidth="1"/>
    <col min="9" max="9" width="34" style="307" customWidth="1"/>
    <col min="10" max="10" width="13" style="307" customWidth="1"/>
    <col min="11" max="16384" width="8.85546875" style="307"/>
  </cols>
  <sheetData>
    <row r="1" spans="2:10" hidden="1"/>
    <row r="2" spans="2:10" hidden="1"/>
    <row r="3" spans="2:10" hidden="1"/>
    <row r="4" spans="2:10" ht="28.9" customHeight="1">
      <c r="B4" s="324"/>
      <c r="C4" s="323" t="s">
        <v>240</v>
      </c>
      <c r="D4" s="323" t="s">
        <v>241</v>
      </c>
      <c r="E4" s="323" t="s">
        <v>242</v>
      </c>
      <c r="F4" s="323" t="s">
        <v>243</v>
      </c>
      <c r="G4" s="323" t="s">
        <v>240</v>
      </c>
      <c r="H4" s="323"/>
    </row>
    <row r="5" spans="2:10" ht="15.75">
      <c r="B5" s="320" t="s">
        <v>20</v>
      </c>
      <c r="C5" s="321">
        <f>SUM(D5:F5)</f>
        <v>9008622</v>
      </c>
      <c r="D5" s="321">
        <v>4669840</v>
      </c>
      <c r="E5" s="318">
        <v>537398</v>
      </c>
      <c r="F5" s="321">
        <v>3801384</v>
      </c>
      <c r="G5" s="318">
        <f>SUM(D5:F5)</f>
        <v>9008622</v>
      </c>
      <c r="H5" s="317"/>
    </row>
    <row r="6" spans="2:10" ht="15.75">
      <c r="B6" s="320" t="s">
        <v>285</v>
      </c>
      <c r="C6" s="321">
        <f>SUM(D6:F6)</f>
        <v>673988</v>
      </c>
      <c r="D6" s="321">
        <v>339450</v>
      </c>
      <c r="E6" s="318">
        <v>0</v>
      </c>
      <c r="F6" s="321">
        <v>334538</v>
      </c>
      <c r="G6" s="318">
        <f>SUM(D6:F6)</f>
        <v>673988</v>
      </c>
      <c r="H6" s="317"/>
      <c r="I6" s="317">
        <f>-F6</f>
        <v>-334538</v>
      </c>
    </row>
    <row r="7" spans="2:10" ht="15.75">
      <c r="B7" s="320" t="s">
        <v>286</v>
      </c>
      <c r="C7" s="321">
        <f>SUM(D7:F7)</f>
        <v>-153544</v>
      </c>
      <c r="D7" s="321">
        <v>-76847</v>
      </c>
      <c r="E7" s="318">
        <v>0</v>
      </c>
      <c r="F7" s="321">
        <v>-76697</v>
      </c>
      <c r="G7" s="318">
        <f>SUM(D7:F7)</f>
        <v>-153544</v>
      </c>
      <c r="H7" s="317"/>
    </row>
    <row r="8" spans="2:10" ht="15.75">
      <c r="B8" s="320" t="s">
        <v>287</v>
      </c>
      <c r="C8" s="321">
        <f>SUM(D8:F8)</f>
        <v>9529066</v>
      </c>
      <c r="D8" s="321">
        <f>SUM(D5:D7)</f>
        <v>4932443</v>
      </c>
      <c r="E8" s="321">
        <f>SUM(E5:E7)</f>
        <v>537398</v>
      </c>
      <c r="F8" s="321">
        <f>SUM(F5:F7)</f>
        <v>4059225</v>
      </c>
      <c r="G8" s="318">
        <f>SUM(D8:F8)</f>
        <v>9529066</v>
      </c>
      <c r="H8" s="317"/>
    </row>
    <row r="9" spans="2:10" ht="15.75">
      <c r="B9" s="320"/>
      <c r="C9" s="321"/>
      <c r="D9" s="321"/>
      <c r="E9" s="321"/>
      <c r="F9" s="321"/>
      <c r="G9" s="318"/>
      <c r="H9" s="317"/>
    </row>
    <row r="10" spans="2:10" ht="15.75">
      <c r="B10" s="320" t="s">
        <v>288</v>
      </c>
      <c r="C10" s="321"/>
      <c r="D10" s="321"/>
      <c r="E10" s="321"/>
      <c r="F10" s="321"/>
      <c r="G10" s="318"/>
      <c r="H10" s="317"/>
    </row>
    <row r="11" spans="2:10" ht="15.75">
      <c r="B11" s="320"/>
      <c r="C11" s="321"/>
      <c r="D11" s="321"/>
      <c r="E11" s="321"/>
      <c r="F11" s="321"/>
      <c r="G11" s="318"/>
      <c r="H11" s="317"/>
    </row>
    <row r="12" spans="2:10" ht="15.75">
      <c r="B12" s="320" t="s">
        <v>289</v>
      </c>
      <c r="C12" s="321">
        <f>SUM(D12:F12)</f>
        <v>313472</v>
      </c>
      <c r="D12" s="321">
        <f>'Mfg. Costs'!D47</f>
        <v>68571</v>
      </c>
      <c r="E12" s="321">
        <f>'Mfg. Costs'!E47</f>
        <v>0</v>
      </c>
      <c r="F12" s="321">
        <f>'Mfg. Costs'!F47</f>
        <v>244901</v>
      </c>
      <c r="G12" s="318">
        <f>SUM(D12:F12)</f>
        <v>313472</v>
      </c>
      <c r="H12" s="317"/>
    </row>
    <row r="13" spans="2:10" ht="15.75">
      <c r="B13" s="320" t="s">
        <v>290</v>
      </c>
      <c r="C13" s="321"/>
      <c r="D13" s="321"/>
      <c r="E13" s="321"/>
      <c r="F13" s="321"/>
      <c r="G13" s="318"/>
      <c r="H13" s="317"/>
    </row>
    <row r="14" spans="2:10" ht="15.75">
      <c r="B14" s="320"/>
      <c r="C14" s="321"/>
      <c r="D14" s="321"/>
      <c r="E14" s="321"/>
      <c r="F14" s="321"/>
      <c r="G14" s="318"/>
      <c r="H14" s="317"/>
    </row>
    <row r="15" spans="2:10" ht="15.75">
      <c r="B15" s="320" t="s">
        <v>29</v>
      </c>
      <c r="C15" s="321">
        <f t="shared" ref="C15:C22" si="0">SUM(D15:F15)</f>
        <v>3635090</v>
      </c>
      <c r="D15" s="321">
        <f>'Mfg. Costs'!D7</f>
        <v>1914909</v>
      </c>
      <c r="E15" s="321">
        <f>'Mfg. Costs'!E7</f>
        <v>-382</v>
      </c>
      <c r="F15" s="321">
        <f>'Mfg. Costs'!F7</f>
        <v>1720563</v>
      </c>
      <c r="G15" s="318">
        <f t="shared" ref="G15:G23" si="1">SUM(D15:F15)</f>
        <v>3635090</v>
      </c>
      <c r="H15" s="317"/>
      <c r="I15" s="307" t="s">
        <v>291</v>
      </c>
      <c r="J15" s="318">
        <f>SUM(D44:F44)</f>
        <v>7692598</v>
      </c>
    </row>
    <row r="16" spans="2:10" ht="15.75">
      <c r="B16" s="320" t="s">
        <v>292</v>
      </c>
      <c r="C16" s="321">
        <f t="shared" si="0"/>
        <v>187628</v>
      </c>
      <c r="D16" s="321">
        <f>'Mfg. Costs'!D8+'Mfg. Costs'!D9</f>
        <v>101577</v>
      </c>
      <c r="E16" s="321">
        <f>'Mfg. Costs'!E8+'Mfg. Costs'!E9</f>
        <v>0</v>
      </c>
      <c r="F16" s="321">
        <f>'Mfg. Costs'!F8+'Mfg. Costs'!F9</f>
        <v>86051</v>
      </c>
      <c r="G16" s="318">
        <f t="shared" si="1"/>
        <v>187628</v>
      </c>
      <c r="H16" s="317"/>
      <c r="I16" s="307" t="s">
        <v>293</v>
      </c>
      <c r="J16" s="318">
        <v>172398</v>
      </c>
    </row>
    <row r="17" spans="2:11" ht="15.75">
      <c r="B17" s="320" t="s">
        <v>35</v>
      </c>
      <c r="C17" s="321">
        <f t="shared" si="0"/>
        <v>94917</v>
      </c>
      <c r="D17" s="321">
        <f>'Mfg. Costs'!D10</f>
        <v>76717</v>
      </c>
      <c r="E17" s="321">
        <f>'Mfg. Costs'!E10</f>
        <v>1873</v>
      </c>
      <c r="F17" s="321">
        <f>'Mfg. Costs'!F10</f>
        <v>16327</v>
      </c>
      <c r="G17" s="318">
        <f t="shared" si="1"/>
        <v>94917</v>
      </c>
      <c r="H17" s="317"/>
      <c r="I17" s="307" t="s">
        <v>294</v>
      </c>
      <c r="J17" s="318">
        <f>SUM(J15:J16)</f>
        <v>7864996</v>
      </c>
    </row>
    <row r="18" spans="2:11" ht="15.75">
      <c r="B18" s="320" t="s">
        <v>250</v>
      </c>
      <c r="C18" s="321">
        <f t="shared" si="0"/>
        <v>206347</v>
      </c>
      <c r="D18" s="321">
        <f>'Mfg. Costs'!D11</f>
        <v>138195</v>
      </c>
      <c r="E18" s="321">
        <f>'Mfg. Costs'!E11</f>
        <v>4832</v>
      </c>
      <c r="F18" s="321">
        <f>'Mfg. Costs'!F11</f>
        <v>63320</v>
      </c>
      <c r="G18" s="318">
        <f t="shared" si="1"/>
        <v>206347</v>
      </c>
      <c r="H18" s="317"/>
    </row>
    <row r="19" spans="2:11" ht="15.75">
      <c r="B19" s="320" t="s">
        <v>251</v>
      </c>
      <c r="C19" s="321">
        <f t="shared" si="0"/>
        <v>121477</v>
      </c>
      <c r="D19" s="321">
        <f>'Mfg. Costs'!D12</f>
        <v>0</v>
      </c>
      <c r="E19" s="321">
        <f>'Mfg. Costs'!E12</f>
        <v>0</v>
      </c>
      <c r="F19" s="321">
        <f>'Mfg. Costs'!F12</f>
        <v>121477</v>
      </c>
      <c r="G19" s="318">
        <f t="shared" si="1"/>
        <v>121477</v>
      </c>
      <c r="H19" s="317"/>
    </row>
    <row r="20" spans="2:11" ht="15.75">
      <c r="B20" s="320" t="s">
        <v>252</v>
      </c>
      <c r="C20" s="321">
        <f t="shared" si="0"/>
        <v>69426</v>
      </c>
      <c r="D20" s="321">
        <f>'Mfg. Costs'!D13</f>
        <v>69426</v>
      </c>
      <c r="E20" s="321">
        <f>'Mfg. Costs'!E13</f>
        <v>0</v>
      </c>
      <c r="F20" s="321">
        <f>'Mfg. Costs'!F13</f>
        <v>0</v>
      </c>
      <c r="G20" s="318">
        <f t="shared" si="1"/>
        <v>69426</v>
      </c>
      <c r="H20" s="317"/>
      <c r="I20" s="307" t="s">
        <v>295</v>
      </c>
      <c r="J20" s="322">
        <f>D44/J15</f>
        <v>0.52657125720075326</v>
      </c>
    </row>
    <row r="21" spans="2:11" ht="15.75">
      <c r="B21" s="320" t="s">
        <v>36</v>
      </c>
      <c r="C21" s="321">
        <f t="shared" si="0"/>
        <v>31055</v>
      </c>
      <c r="D21" s="321">
        <v>31055</v>
      </c>
      <c r="E21" s="321">
        <v>0</v>
      </c>
      <c r="F21" s="321">
        <v>0</v>
      </c>
      <c r="G21" s="318">
        <f t="shared" si="1"/>
        <v>31055</v>
      </c>
      <c r="H21" s="317"/>
      <c r="I21" s="307" t="s">
        <v>296</v>
      </c>
      <c r="J21" s="322">
        <f>E44/J15</f>
        <v>5.0661948018081798E-2</v>
      </c>
    </row>
    <row r="22" spans="2:11" ht="15.75">
      <c r="B22" s="320" t="s">
        <v>38</v>
      </c>
      <c r="C22" s="321">
        <f t="shared" si="0"/>
        <v>2773</v>
      </c>
      <c r="D22" s="321">
        <v>0</v>
      </c>
      <c r="E22" s="321">
        <v>0</v>
      </c>
      <c r="F22" s="321">
        <v>2773</v>
      </c>
      <c r="G22" s="318">
        <f t="shared" si="1"/>
        <v>2773</v>
      </c>
      <c r="H22" s="317"/>
      <c r="I22" s="307" t="s">
        <v>297</v>
      </c>
      <c r="J22" s="322">
        <f>F44/J15</f>
        <v>0.42276679478116497</v>
      </c>
    </row>
    <row r="23" spans="2:11" ht="15.75">
      <c r="B23" s="320" t="s">
        <v>298</v>
      </c>
      <c r="C23" s="321">
        <f>SUM(C15:C22)</f>
        <v>4348713</v>
      </c>
      <c r="D23" s="321">
        <f>SUM(D15:D22)</f>
        <v>2331879</v>
      </c>
      <c r="E23" s="321">
        <f>SUM(E15:E22)</f>
        <v>6323</v>
      </c>
      <c r="F23" s="321">
        <f>SUM(F15:F22)</f>
        <v>2010511</v>
      </c>
      <c r="G23" s="318">
        <f t="shared" si="1"/>
        <v>4348713</v>
      </c>
      <c r="H23" s="317"/>
    </row>
    <row r="24" spans="2:11" ht="15.75">
      <c r="B24" s="320"/>
      <c r="C24" s="321"/>
      <c r="D24" s="321"/>
      <c r="E24" s="321"/>
      <c r="F24" s="321"/>
      <c r="G24" s="318"/>
      <c r="H24" s="317"/>
    </row>
    <row r="25" spans="2:11" ht="15.75">
      <c r="B25" s="320" t="s">
        <v>256</v>
      </c>
      <c r="C25" s="321"/>
      <c r="D25" s="321"/>
      <c r="E25" s="321"/>
      <c r="F25" s="321"/>
      <c r="G25" s="318"/>
      <c r="H25" s="317"/>
      <c r="I25" s="307" t="s">
        <v>299</v>
      </c>
      <c r="J25" s="318">
        <v>1011807</v>
      </c>
    </row>
    <row r="26" spans="2:11" ht="15.75">
      <c r="B26" s="320" t="str">
        <f>'Mfg. Costs'!B18</f>
        <v>Direct Labor Wages</v>
      </c>
      <c r="C26" s="321">
        <f t="shared" ref="C26:C31" si="2">SUM(D26:F26)</f>
        <v>1171096</v>
      </c>
      <c r="D26" s="321">
        <f>'Mfg. Costs'!D18</f>
        <v>723248</v>
      </c>
      <c r="E26" s="321">
        <f>'Mfg. Costs'!E18</f>
        <v>139496</v>
      </c>
      <c r="F26" s="321">
        <f>'Mfg. Costs'!F18</f>
        <v>308352</v>
      </c>
      <c r="G26" s="318">
        <f t="shared" ref="G26:G32" si="3">SUM(D26:F26)</f>
        <v>1171096</v>
      </c>
      <c r="H26" s="317"/>
      <c r="I26" s="307" t="s">
        <v>300</v>
      </c>
      <c r="J26" s="318">
        <f>34059+88</f>
        <v>34147</v>
      </c>
      <c r="K26" s="307" t="s">
        <v>301</v>
      </c>
    </row>
    <row r="27" spans="2:11" ht="15.75">
      <c r="B27" s="320" t="str">
        <f>'Mfg. Costs'!B19</f>
        <v>Indirect Labor Wages</v>
      </c>
      <c r="C27" s="321">
        <f t="shared" si="2"/>
        <v>638970</v>
      </c>
      <c r="D27" s="321">
        <f>'Mfg. Costs'!D19</f>
        <v>236265</v>
      </c>
      <c r="E27" s="321">
        <f>'Mfg. Costs'!E19</f>
        <v>82781</v>
      </c>
      <c r="F27" s="321">
        <f>'Mfg. Costs'!F19</f>
        <v>319924</v>
      </c>
      <c r="G27" s="318">
        <f t="shared" si="3"/>
        <v>638970</v>
      </c>
      <c r="H27" s="317"/>
      <c r="I27" s="307" t="s">
        <v>302</v>
      </c>
      <c r="J27" s="318">
        <v>276</v>
      </c>
    </row>
    <row r="28" spans="2:11" ht="15.75">
      <c r="B28" s="320" t="str">
        <f>'Mfg. Costs'!B29</f>
        <v>Taxes - Prod Payroll</v>
      </c>
      <c r="C28" s="321">
        <f t="shared" si="2"/>
        <v>177233</v>
      </c>
      <c r="D28" s="318">
        <f>'Mfg. Costs'!D29</f>
        <v>77804</v>
      </c>
      <c r="E28" s="318">
        <f>'Mfg. Costs'!E29</f>
        <v>23956</v>
      </c>
      <c r="F28" s="318">
        <f>'Mfg. Costs'!F29</f>
        <v>75473</v>
      </c>
      <c r="G28" s="318">
        <f t="shared" si="3"/>
        <v>177233</v>
      </c>
      <c r="H28" s="317"/>
      <c r="J28" s="318"/>
    </row>
    <row r="29" spans="2:11" ht="15.75">
      <c r="B29" s="320" t="str">
        <f>'Mfg. Costs'!B20</f>
        <v>Supervisor's Salaries</v>
      </c>
      <c r="C29" s="321">
        <f t="shared" si="2"/>
        <v>-32017</v>
      </c>
      <c r="D29" s="318">
        <f>'Mfg. Costs'!D20</f>
        <v>0</v>
      </c>
      <c r="E29" s="318">
        <f>'Mfg. Costs'!E20</f>
        <v>-32017</v>
      </c>
      <c r="F29" s="318">
        <f>'Mfg. Costs'!F20</f>
        <v>0</v>
      </c>
      <c r="G29" s="318">
        <f t="shared" si="3"/>
        <v>-32017</v>
      </c>
      <c r="H29" s="317"/>
      <c r="J29" s="318"/>
    </row>
    <row r="30" spans="2:11" ht="15.75">
      <c r="B30" s="320" t="str">
        <f>'Mfg. Costs'!B26</f>
        <v>Caretaking-Production</v>
      </c>
      <c r="C30" s="321">
        <f t="shared" si="2"/>
        <v>29974</v>
      </c>
      <c r="D30" s="318">
        <f>'Mfg. Costs'!D26</f>
        <v>19408</v>
      </c>
      <c r="E30" s="318">
        <f>'Mfg. Costs'!E26</f>
        <v>3472</v>
      </c>
      <c r="F30" s="318">
        <f>'Mfg. Costs'!F26</f>
        <v>7094</v>
      </c>
      <c r="G30" s="318">
        <f t="shared" si="3"/>
        <v>29974</v>
      </c>
      <c r="H30" s="317"/>
      <c r="I30" s="307" t="s">
        <v>303</v>
      </c>
      <c r="J30" s="318">
        <v>530386</v>
      </c>
    </row>
    <row r="31" spans="2:11" ht="15.75">
      <c r="B31" s="320" t="s">
        <v>304</v>
      </c>
      <c r="C31" s="321">
        <f t="shared" si="2"/>
        <v>400267</v>
      </c>
      <c r="D31" s="318">
        <f>'Mfg. Costs'!D28+'Mfg. Costs'!D30</f>
        <v>199401</v>
      </c>
      <c r="E31" s="318">
        <f>'Mfg. Costs'!E28+'Mfg. Costs'!E30</f>
        <v>74985</v>
      </c>
      <c r="F31" s="318">
        <f>'Mfg. Costs'!F28+'Mfg. Costs'!F30</f>
        <v>125881</v>
      </c>
      <c r="G31" s="318">
        <f t="shared" si="3"/>
        <v>400267</v>
      </c>
      <c r="H31" s="317"/>
      <c r="I31" s="307" t="s">
        <v>305</v>
      </c>
      <c r="J31" s="318">
        <v>136816</v>
      </c>
    </row>
    <row r="32" spans="2:11" ht="15.75">
      <c r="B32" s="320" t="s">
        <v>306</v>
      </c>
      <c r="C32" s="318">
        <f>SUM(C26:C31)</f>
        <v>2385523</v>
      </c>
      <c r="D32" s="318">
        <f>SUM(D26:D31)</f>
        <v>1256126</v>
      </c>
      <c r="E32" s="318">
        <f>SUM(E26:E31)</f>
        <v>292673</v>
      </c>
      <c r="F32" s="318">
        <f>SUM(F26:F31)</f>
        <v>836724</v>
      </c>
      <c r="G32" s="318">
        <f t="shared" si="3"/>
        <v>2385523</v>
      </c>
      <c r="H32" s="317"/>
      <c r="I32" s="307" t="s">
        <v>307</v>
      </c>
      <c r="J32" s="318">
        <v>320852</v>
      </c>
    </row>
    <row r="33" spans="2:10" ht="15.75">
      <c r="B33" s="320"/>
      <c r="C33" s="321"/>
      <c r="D33" s="321"/>
      <c r="E33" s="321"/>
      <c r="F33" s="321"/>
      <c r="G33" s="318"/>
      <c r="H33" s="317"/>
      <c r="I33" s="307" t="s">
        <v>308</v>
      </c>
      <c r="J33" s="318">
        <v>-34148</v>
      </c>
    </row>
    <row r="34" spans="2:10" ht="15.75">
      <c r="B34" s="320" t="s">
        <v>253</v>
      </c>
      <c r="C34" s="321"/>
      <c r="D34" s="321"/>
      <c r="E34" s="321"/>
      <c r="F34" s="321"/>
      <c r="G34" s="318"/>
      <c r="H34" s="317"/>
      <c r="I34" s="307" t="s">
        <v>309</v>
      </c>
      <c r="J34" s="318">
        <v>-1110653</v>
      </c>
    </row>
    <row r="35" spans="2:10" ht="15.75">
      <c r="B35" s="320" t="s">
        <v>272</v>
      </c>
      <c r="C35" s="321">
        <f t="shared" ref="C35:C40" si="4">SUM(D35:F35)</f>
        <v>126000</v>
      </c>
      <c r="D35" s="321">
        <f>'Mfg. Costs'!D34</f>
        <v>0</v>
      </c>
      <c r="E35" s="321">
        <f>'Mfg. Costs'!E34</f>
        <v>30000</v>
      </c>
      <c r="F35" s="321">
        <f>'Mfg. Costs'!F34</f>
        <v>96000</v>
      </c>
      <c r="G35" s="318">
        <f t="shared" ref="G35:G41" si="5">SUM(D35:F35)</f>
        <v>126000</v>
      </c>
      <c r="H35" s="317"/>
      <c r="I35" s="307" t="s">
        <v>240</v>
      </c>
      <c r="J35" s="318">
        <f>SUM(J30:J34)</f>
        <v>-156747</v>
      </c>
    </row>
    <row r="36" spans="2:10" ht="15.75">
      <c r="B36" s="320" t="s">
        <v>274</v>
      </c>
      <c r="C36" s="321">
        <f t="shared" si="4"/>
        <v>238879</v>
      </c>
      <c r="D36" s="321">
        <f>'Mfg. Costs'!D37</f>
        <v>110041</v>
      </c>
      <c r="E36" s="321">
        <f>'Mfg. Costs'!E37</f>
        <v>24643</v>
      </c>
      <c r="F36" s="321">
        <f>'Mfg. Costs'!F37</f>
        <v>104195</v>
      </c>
      <c r="G36" s="318">
        <f t="shared" si="5"/>
        <v>238879</v>
      </c>
      <c r="H36" s="317"/>
      <c r="J36" s="318"/>
    </row>
    <row r="37" spans="2:10" ht="15.75">
      <c r="B37" s="320" t="s">
        <v>59</v>
      </c>
      <c r="C37" s="321">
        <f t="shared" si="4"/>
        <v>170855</v>
      </c>
      <c r="D37" s="321">
        <f>'Mfg. Costs'!D24+'Mfg. Costs'!D25</f>
        <v>100486</v>
      </c>
      <c r="E37" s="321">
        <f>'Mfg. Costs'!E24+'Mfg. Costs'!E25</f>
        <v>3757</v>
      </c>
      <c r="F37" s="321">
        <f>'Mfg. Costs'!F24+'Mfg. Costs'!F25</f>
        <v>66612</v>
      </c>
      <c r="G37" s="318">
        <f t="shared" si="5"/>
        <v>170855</v>
      </c>
      <c r="H37" s="317"/>
      <c r="J37" s="318"/>
    </row>
    <row r="38" spans="2:10" ht="15.75">
      <c r="B38" s="320" t="s">
        <v>310</v>
      </c>
      <c r="C38" s="321">
        <f t="shared" si="4"/>
        <v>137971</v>
      </c>
      <c r="D38" s="321">
        <f>'Mfg. Costs'!D35</f>
        <v>67316</v>
      </c>
      <c r="E38" s="321">
        <f>'Mfg. Costs'!E35</f>
        <v>22352</v>
      </c>
      <c r="F38" s="321">
        <f>'Mfg. Costs'!F35</f>
        <v>48303</v>
      </c>
      <c r="G38" s="318">
        <f t="shared" si="5"/>
        <v>137971</v>
      </c>
      <c r="H38" s="317"/>
      <c r="J38" s="318"/>
    </row>
    <row r="39" spans="2:10" ht="15.75">
      <c r="B39" s="320" t="s">
        <v>311</v>
      </c>
      <c r="C39" s="321">
        <f t="shared" si="4"/>
        <v>134079</v>
      </c>
      <c r="D39" s="321">
        <f>'Mfg. Costs'!D14</f>
        <v>105961</v>
      </c>
      <c r="E39" s="321">
        <f>'Mfg. Costs'!E14</f>
        <v>0</v>
      </c>
      <c r="F39" s="321">
        <f>'Mfg. Costs'!F14</f>
        <v>28118</v>
      </c>
      <c r="G39" s="318">
        <f t="shared" si="5"/>
        <v>134079</v>
      </c>
      <c r="H39" s="317"/>
      <c r="I39" s="307" t="s">
        <v>312</v>
      </c>
      <c r="J39" s="318">
        <v>27919</v>
      </c>
    </row>
    <row r="40" spans="2:10" ht="15.75">
      <c r="B40" s="320" t="s">
        <v>313</v>
      </c>
      <c r="C40" s="321">
        <f t="shared" si="4"/>
        <v>101009</v>
      </c>
      <c r="D40" s="321">
        <f>'Mfg. Costs'!D31+'Mfg. Costs'!D32+'Mfg. Costs'!D33+'Mfg. Costs'!D36</f>
        <v>41545</v>
      </c>
      <c r="E40" s="321">
        <f>'Mfg. Costs'!E31+'Mfg. Costs'!E32+'Mfg. Costs'!E33+'Mfg. Costs'!E36</f>
        <v>9974</v>
      </c>
      <c r="F40" s="321">
        <f>'Mfg. Costs'!F31+'Mfg. Costs'!F32+'Mfg. Costs'!F33+'Mfg. Costs'!F36</f>
        <v>49490</v>
      </c>
      <c r="G40" s="318">
        <f t="shared" si="5"/>
        <v>101009</v>
      </c>
      <c r="H40" s="317"/>
      <c r="I40" s="307" t="s">
        <v>314</v>
      </c>
      <c r="J40" s="318">
        <v>7</v>
      </c>
    </row>
    <row r="41" spans="2:10" ht="15.75">
      <c r="B41" s="320" t="s">
        <v>315</v>
      </c>
      <c r="C41" s="321">
        <f>SUM(C35:C40)</f>
        <v>908793</v>
      </c>
      <c r="D41" s="321">
        <f>SUM(D35:D40)</f>
        <v>425349</v>
      </c>
      <c r="E41" s="321">
        <f>SUM(E35:E40)</f>
        <v>90726</v>
      </c>
      <c r="F41" s="321">
        <f>SUM(F35:F40)</f>
        <v>392718</v>
      </c>
      <c r="G41" s="318">
        <f t="shared" si="5"/>
        <v>908793</v>
      </c>
      <c r="H41" s="317"/>
      <c r="I41" s="307" t="s">
        <v>316</v>
      </c>
      <c r="J41" s="318">
        <v>-19149</v>
      </c>
    </row>
    <row r="42" spans="2:10" ht="15.75">
      <c r="C42" s="318"/>
      <c r="D42" s="318"/>
      <c r="E42" s="318"/>
      <c r="F42" s="318"/>
      <c r="G42" s="318"/>
      <c r="H42" s="317"/>
      <c r="I42" s="307" t="s">
        <v>317</v>
      </c>
      <c r="J42" s="318">
        <v>2666</v>
      </c>
    </row>
    <row r="43" spans="2:10" ht="15.75">
      <c r="B43" s="320" t="s">
        <v>318</v>
      </c>
      <c r="C43" s="318">
        <f>SUM(D43:F43)</f>
        <v>-226313</v>
      </c>
      <c r="D43" s="318">
        <f>-'Mfg. Costs'!D48</f>
        <v>-73583</v>
      </c>
      <c r="E43" s="318">
        <f>-'Mfg. Costs'!E48</f>
        <v>0</v>
      </c>
      <c r="F43" s="318">
        <f>-'Mfg. Costs'!F48</f>
        <v>-152730</v>
      </c>
      <c r="G43" s="318">
        <f>SUM(D43:F43)</f>
        <v>-226313</v>
      </c>
      <c r="H43" s="317"/>
      <c r="I43" s="307" t="s">
        <v>319</v>
      </c>
      <c r="J43" s="318">
        <v>62385</v>
      </c>
    </row>
    <row r="44" spans="2:10" ht="15.75">
      <c r="B44" s="320" t="s">
        <v>320</v>
      </c>
      <c r="C44" s="318">
        <f>SUM(D44:F44)</f>
        <v>7692598</v>
      </c>
      <c r="D44" s="318">
        <f>SUM(D15:D20,D26:D31,D35:D40)+D46</f>
        <v>4050701</v>
      </c>
      <c r="E44" s="318">
        <f>SUM(E15:E20,E26:E31,E35:E40)+E46</f>
        <v>389722</v>
      </c>
      <c r="F44" s="318">
        <f>SUM(F15:F20,F26:F31,F35:F40)+F46</f>
        <v>3252175</v>
      </c>
      <c r="G44" s="318">
        <f>SUM(D44:F44)</f>
        <v>7692598</v>
      </c>
      <c r="H44" s="317"/>
      <c r="J44" s="318"/>
    </row>
    <row r="45" spans="2:10" ht="15.75">
      <c r="C45" s="318"/>
      <c r="D45" s="318"/>
      <c r="E45" s="318"/>
      <c r="F45" s="318"/>
      <c r="G45" s="318"/>
      <c r="H45" s="317"/>
      <c r="J45" s="318"/>
    </row>
    <row r="46" spans="2:10" ht="15.75">
      <c r="B46" s="320" t="s">
        <v>321</v>
      </c>
      <c r="C46" s="318">
        <f>SUM(D46:F46)</f>
        <v>83397</v>
      </c>
      <c r="D46" s="318">
        <f>'Mfg. Costs'!D38</f>
        <v>68402</v>
      </c>
      <c r="E46" s="318">
        <f>'Mfg. Costs'!E38</f>
        <v>0</v>
      </c>
      <c r="F46" s="318">
        <f>'Mfg. Costs'!F38</f>
        <v>14995</v>
      </c>
      <c r="G46" s="318">
        <f>SUM(D46:F46)</f>
        <v>83397</v>
      </c>
      <c r="H46" s="317"/>
      <c r="I46" s="307" t="s">
        <v>322</v>
      </c>
      <c r="J46" s="318">
        <v>1051427</v>
      </c>
    </row>
    <row r="47" spans="2:10" ht="15.75">
      <c r="B47" s="320" t="s">
        <v>323</v>
      </c>
      <c r="C47" s="318">
        <f>SUM(D47:F47)</f>
        <v>540101</v>
      </c>
      <c r="D47" s="318">
        <v>268916</v>
      </c>
      <c r="E47" s="318">
        <v>0</v>
      </c>
      <c r="F47" s="318">
        <v>271185</v>
      </c>
      <c r="G47" s="318">
        <f>SUM(D47:F47)</f>
        <v>540101</v>
      </c>
      <c r="H47" s="317"/>
      <c r="I47" s="307" t="s">
        <v>324</v>
      </c>
      <c r="J47" s="318">
        <v>-1021535</v>
      </c>
    </row>
    <row r="48" spans="2:10" ht="15.75">
      <c r="B48" s="320" t="s">
        <v>325</v>
      </c>
      <c r="C48" s="318">
        <f>SUM(D48:F48)</f>
        <v>8812</v>
      </c>
      <c r="D48" s="318">
        <v>6256</v>
      </c>
      <c r="E48" s="318">
        <v>0</v>
      </c>
      <c r="F48" s="318">
        <v>2556</v>
      </c>
      <c r="G48" s="318">
        <f>SUM(D48:F48)</f>
        <v>8812</v>
      </c>
      <c r="H48" s="317"/>
      <c r="J48" s="318">
        <f>J46+J47</f>
        <v>29892</v>
      </c>
    </row>
    <row r="49" spans="2:10" ht="15.75">
      <c r="B49" s="320" t="s">
        <v>326</v>
      </c>
      <c r="C49" s="318">
        <f>SUM(D49:F49)</f>
        <v>10536</v>
      </c>
      <c r="D49" s="318">
        <v>4407</v>
      </c>
      <c r="E49" s="318">
        <v>0</v>
      </c>
      <c r="F49" s="318">
        <v>6129</v>
      </c>
      <c r="G49" s="318">
        <f>SUM(D49:F49)</f>
        <v>10536</v>
      </c>
      <c r="H49" s="317"/>
      <c r="J49" s="318"/>
    </row>
    <row r="50" spans="2:10" ht="15.75">
      <c r="B50" s="320" t="s">
        <v>302</v>
      </c>
      <c r="C50" s="318">
        <f>SUM(D50:F50)</f>
        <v>276</v>
      </c>
      <c r="D50" s="318">
        <f>J27*J20</f>
        <v>145.3336669874079</v>
      </c>
      <c r="E50" s="318">
        <f>J27*J21</f>
        <v>13.982697652990577</v>
      </c>
      <c r="F50" s="318">
        <f>J27*J22</f>
        <v>116.68363535960152</v>
      </c>
      <c r="G50" s="318">
        <f>SUM(D50:F50)</f>
        <v>276</v>
      </c>
      <c r="H50" s="317"/>
      <c r="J50" s="318"/>
    </row>
    <row r="51" spans="2:10" ht="15.75">
      <c r="B51" s="320"/>
      <c r="C51" s="318"/>
      <c r="D51" s="318"/>
      <c r="E51" s="318"/>
      <c r="F51" s="318"/>
      <c r="G51" s="318"/>
      <c r="H51" s="317"/>
    </row>
    <row r="52" spans="2:10" ht="15.75">
      <c r="B52" s="320" t="s">
        <v>327</v>
      </c>
      <c r="C52" s="318">
        <f>SUM(D52:F52)</f>
        <v>643122</v>
      </c>
      <c r="D52" s="318">
        <f>SUM(D46:D50)</f>
        <v>348126.33366698743</v>
      </c>
      <c r="E52" s="318">
        <f>SUM(E46:E50)</f>
        <v>13.982697652990577</v>
      </c>
      <c r="F52" s="318">
        <f>SUM(F46:F50)</f>
        <v>294981.68363535963</v>
      </c>
      <c r="G52" s="318">
        <f>SUM(D52:F52)</f>
        <v>643122</v>
      </c>
      <c r="H52" s="317"/>
    </row>
    <row r="53" spans="2:10" ht="15.75">
      <c r="C53" s="318"/>
      <c r="D53" s="318"/>
      <c r="E53" s="318"/>
      <c r="F53" s="318"/>
      <c r="G53" s="318"/>
      <c r="H53" s="317"/>
    </row>
    <row r="54" spans="2:10" ht="15.75">
      <c r="B54" s="320" t="s">
        <v>328</v>
      </c>
      <c r="C54" s="318">
        <f>SUM(C23,C32,C41,C12,C43,C52,C56)</f>
        <v>8545708</v>
      </c>
      <c r="D54" s="318">
        <f>SUM(D23,D32,D41,D12,D43,D52,D56)</f>
        <v>4447248.1652658833</v>
      </c>
      <c r="E54" s="318">
        <f>SUM(E23,E32,E41,E12,E43,E52,E56)</f>
        <v>398470.00121207425</v>
      </c>
      <c r="F54" s="318">
        <f>SUM(F23,F32,F41,F12,F43,F52,F56)</f>
        <v>3699989.8335220427</v>
      </c>
      <c r="G54" s="318">
        <f>SUM(D54:F54)</f>
        <v>8545708</v>
      </c>
      <c r="H54" s="317"/>
    </row>
    <row r="55" spans="2:10" ht="15.75">
      <c r="C55" s="318"/>
      <c r="D55" s="318"/>
      <c r="E55" s="318"/>
      <c r="F55" s="318"/>
      <c r="G55" s="318"/>
      <c r="H55" s="317"/>
    </row>
    <row r="56" spans="2:10" ht="15.75">
      <c r="B56" s="320" t="s">
        <v>293</v>
      </c>
      <c r="C56" s="318">
        <f>SUM(D56:F56)</f>
        <v>172398</v>
      </c>
      <c r="D56" s="318">
        <f>J20*J16</f>
        <v>90779.831598895456</v>
      </c>
      <c r="E56" s="318">
        <f>J21*J16</f>
        <v>8734.0185144212664</v>
      </c>
      <c r="F56" s="318">
        <f>J22*J16</f>
        <v>72884.149886683284</v>
      </c>
      <c r="G56" s="318">
        <f>SUM(D56:F56)</f>
        <v>172398</v>
      </c>
      <c r="H56" s="317"/>
    </row>
    <row r="57" spans="2:10" ht="15.75">
      <c r="C57" s="318"/>
      <c r="D57" s="318"/>
      <c r="E57" s="318"/>
      <c r="F57" s="318"/>
      <c r="G57" s="318"/>
      <c r="H57" s="317"/>
    </row>
    <row r="58" spans="2:10" ht="15.75">
      <c r="B58" s="307" t="s">
        <v>329</v>
      </c>
      <c r="C58" s="318">
        <f>SUM(D58:F58)</f>
        <v>266433</v>
      </c>
      <c r="D58" s="318">
        <v>133332</v>
      </c>
      <c r="E58" s="318">
        <v>15954</v>
      </c>
      <c r="F58" s="318">
        <v>117147</v>
      </c>
      <c r="G58" s="318">
        <f>SUM(D58:F58)</f>
        <v>266433</v>
      </c>
      <c r="H58" s="317"/>
    </row>
    <row r="59" spans="2:10" ht="15.75">
      <c r="B59" s="307" t="s">
        <v>330</v>
      </c>
      <c r="C59" s="318">
        <f>SUM(D59:F59)</f>
        <v>1011807</v>
      </c>
      <c r="D59" s="318">
        <f>J20*J25</f>
        <v>532788.48403452255</v>
      </c>
      <c r="E59" s="318">
        <f>J21*J25</f>
        <v>51260.113638331291</v>
      </c>
      <c r="F59" s="318">
        <f>J22*J25</f>
        <v>427758.40232714621</v>
      </c>
      <c r="G59" s="318">
        <f>SUM(D59:F59)</f>
        <v>1011807</v>
      </c>
      <c r="H59" s="317"/>
    </row>
    <row r="60" spans="2:10" ht="15.75">
      <c r="B60" s="307" t="s">
        <v>331</v>
      </c>
      <c r="C60" s="318">
        <f>SUM(D60:F60)</f>
        <v>34147</v>
      </c>
      <c r="D60" s="318">
        <f>J26*J20</f>
        <v>17980.828719634123</v>
      </c>
      <c r="E60" s="318">
        <f>J21*J26</f>
        <v>1729.9535389734392</v>
      </c>
      <c r="F60" s="318">
        <f>J22*J26</f>
        <v>14436.21774139244</v>
      </c>
      <c r="G60" s="318">
        <f>SUM(D60:F60)</f>
        <v>34147</v>
      </c>
      <c r="H60" s="317"/>
    </row>
    <row r="61" spans="2:10" ht="15.75">
      <c r="C61" s="318"/>
      <c r="D61" s="318"/>
      <c r="E61" s="318"/>
      <c r="F61" s="318"/>
      <c r="G61" s="318"/>
      <c r="H61" s="317"/>
    </row>
    <row r="62" spans="2:10" ht="15.75">
      <c r="B62" s="307" t="s">
        <v>332</v>
      </c>
      <c r="C62" s="318">
        <f>C8-C54</f>
        <v>983358</v>
      </c>
      <c r="D62" s="318">
        <f>D8-D54</f>
        <v>485194.83473411668</v>
      </c>
      <c r="E62" s="318">
        <f>E8-E54</f>
        <v>138927.99878792575</v>
      </c>
      <c r="F62" s="318">
        <f>F8-F54</f>
        <v>359235.16647795727</v>
      </c>
      <c r="G62" s="318">
        <f>SUM(D62:F62)</f>
        <v>983357.99999999977</v>
      </c>
      <c r="H62" s="317"/>
    </row>
    <row r="63" spans="2:10" ht="15.75">
      <c r="C63" s="319">
        <f>C62/C8</f>
        <v>0.10319563323414907</v>
      </c>
      <c r="D63" s="319">
        <f>D62/D8</f>
        <v>9.8368057113709509E-2</v>
      </c>
      <c r="E63" s="319">
        <f>E62/E8</f>
        <v>0.25851975405179356</v>
      </c>
      <c r="F63" s="319">
        <f>F62/F8</f>
        <v>8.8498461277203719E-2</v>
      </c>
      <c r="G63" s="319">
        <f>G62/G8</f>
        <v>0.10319563323414906</v>
      </c>
      <c r="H63" s="317"/>
    </row>
    <row r="64" spans="2:10" ht="15.75">
      <c r="C64" s="318"/>
      <c r="D64" s="318"/>
      <c r="E64" s="318"/>
      <c r="F64" s="318"/>
      <c r="G64" s="318"/>
      <c r="H64" s="317"/>
    </row>
    <row r="65" spans="2:8" ht="15.75">
      <c r="B65" s="307" t="s">
        <v>333</v>
      </c>
      <c r="C65" s="318">
        <f>C62-C58-C59-C60</f>
        <v>-329029</v>
      </c>
      <c r="D65" s="318">
        <f>D62-D58-D59-D60</f>
        <v>-198906.47802004</v>
      </c>
      <c r="E65" s="318">
        <f>E62-E58-E59-E60</f>
        <v>69983.931610621017</v>
      </c>
      <c r="F65" s="318">
        <f>F62-F58-F59-F60</f>
        <v>-200106.45359058137</v>
      </c>
      <c r="G65" s="318">
        <f>SUM(D65:F65)</f>
        <v>-329029.00000000035</v>
      </c>
      <c r="H65" s="317"/>
    </row>
    <row r="66" spans="2:8" ht="15.75">
      <c r="C66" s="318"/>
      <c r="D66" s="318"/>
      <c r="E66" s="318"/>
      <c r="F66" s="318"/>
      <c r="G66" s="318"/>
      <c r="H66" s="317"/>
    </row>
    <row r="67" spans="2:8" ht="15.75">
      <c r="B67" s="307" t="s">
        <v>334</v>
      </c>
      <c r="C67" s="318"/>
      <c r="D67" s="318"/>
      <c r="E67" s="318"/>
      <c r="F67" s="318"/>
      <c r="G67" s="318"/>
      <c r="H67" s="317"/>
    </row>
    <row r="68" spans="2:8" ht="15.75">
      <c r="B68" s="307" t="s">
        <v>335</v>
      </c>
      <c r="C68" s="318">
        <f t="shared" ref="C68:C78" si="6">SUM(D68:F68)</f>
        <v>98050</v>
      </c>
      <c r="D68" s="318">
        <v>87202</v>
      </c>
      <c r="E68" s="318">
        <v>5100</v>
      </c>
      <c r="F68" s="318">
        <v>5748</v>
      </c>
      <c r="G68" s="318">
        <f t="shared" ref="G68:G79" si="7">SUM(D68:F68)</f>
        <v>98050</v>
      </c>
      <c r="H68" s="317"/>
    </row>
    <row r="69" spans="2:8" ht="15.75">
      <c r="B69" s="307" t="s">
        <v>336</v>
      </c>
      <c r="C69" s="318">
        <f t="shared" si="6"/>
        <v>74</v>
      </c>
      <c r="D69" s="318">
        <v>50</v>
      </c>
      <c r="E69" s="318">
        <v>0</v>
      </c>
      <c r="F69" s="318">
        <v>24</v>
      </c>
      <c r="G69" s="318">
        <f t="shared" si="7"/>
        <v>74</v>
      </c>
      <c r="H69" s="317"/>
    </row>
    <row r="70" spans="2:8" ht="15.75">
      <c r="B70" s="307" t="s">
        <v>337</v>
      </c>
      <c r="C70" s="318">
        <f t="shared" si="6"/>
        <v>0</v>
      </c>
      <c r="D70" s="318">
        <v>0</v>
      </c>
      <c r="E70" s="318">
        <v>0</v>
      </c>
      <c r="F70" s="318">
        <v>0</v>
      </c>
      <c r="G70" s="318">
        <f t="shared" si="7"/>
        <v>0</v>
      </c>
      <c r="H70" s="317"/>
    </row>
    <row r="71" spans="2:8" ht="15.75">
      <c r="B71" s="307" t="s">
        <v>99</v>
      </c>
      <c r="C71" s="318">
        <f t="shared" si="6"/>
        <v>0</v>
      </c>
      <c r="D71" s="318">
        <v>0</v>
      </c>
      <c r="E71" s="318">
        <v>0</v>
      </c>
      <c r="F71" s="318">
        <v>0</v>
      </c>
      <c r="G71" s="318">
        <f t="shared" si="7"/>
        <v>0</v>
      </c>
      <c r="H71" s="317"/>
    </row>
    <row r="72" spans="2:8" ht="15.75">
      <c r="B72" s="307" t="s">
        <v>338</v>
      </c>
      <c r="C72" s="318">
        <f t="shared" si="6"/>
        <v>0</v>
      </c>
      <c r="D72" s="318">
        <v>0</v>
      </c>
      <c r="E72" s="318">
        <v>0</v>
      </c>
      <c r="F72" s="318">
        <v>0</v>
      </c>
      <c r="G72" s="318">
        <f t="shared" si="7"/>
        <v>0</v>
      </c>
      <c r="H72" s="317"/>
    </row>
    <row r="73" spans="2:8" ht="15.75">
      <c r="B73" s="307" t="s">
        <v>98</v>
      </c>
      <c r="C73" s="318">
        <f t="shared" si="6"/>
        <v>0</v>
      </c>
      <c r="D73" s="318">
        <v>0</v>
      </c>
      <c r="E73" s="318">
        <v>0</v>
      </c>
      <c r="F73" s="318">
        <v>0</v>
      </c>
      <c r="G73" s="318">
        <f t="shared" si="7"/>
        <v>0</v>
      </c>
      <c r="H73" s="317"/>
    </row>
    <row r="74" spans="2:8" ht="15.75">
      <c r="B74" s="307" t="s">
        <v>312</v>
      </c>
      <c r="C74" s="318">
        <f t="shared" si="6"/>
        <v>27919</v>
      </c>
      <c r="D74" s="318">
        <f>J39*$J$20</f>
        <v>14701.34292978783</v>
      </c>
      <c r="E74" s="318">
        <f>$J$21*J39</f>
        <v>1414.4309267168258</v>
      </c>
      <c r="F74" s="318">
        <f>J39*$J$22</f>
        <v>11803.226143495345</v>
      </c>
      <c r="G74" s="318">
        <f t="shared" si="7"/>
        <v>27919</v>
      </c>
      <c r="H74" s="317"/>
    </row>
    <row r="75" spans="2:8" ht="15.75">
      <c r="B75" s="307" t="s">
        <v>314</v>
      </c>
      <c r="C75" s="318">
        <f t="shared" si="6"/>
        <v>7</v>
      </c>
      <c r="D75" s="318">
        <f>J40*$J$20</f>
        <v>3.6859988004052728</v>
      </c>
      <c r="E75" s="318">
        <f>$J$21*J40</f>
        <v>0.35463363612657262</v>
      </c>
      <c r="F75" s="318">
        <f>J40*$J$22</f>
        <v>2.9593675634681547</v>
      </c>
      <c r="G75" s="318">
        <f t="shared" si="7"/>
        <v>7</v>
      </c>
      <c r="H75" s="317"/>
    </row>
    <row r="76" spans="2:8" ht="15.75">
      <c r="B76" s="307" t="s">
        <v>316</v>
      </c>
      <c r="C76" s="318">
        <f t="shared" si="6"/>
        <v>-19149</v>
      </c>
      <c r="D76" s="318">
        <f>J41*$J$20</f>
        <v>-10083.313004137224</v>
      </c>
      <c r="E76" s="318">
        <f>$J$21*J41</f>
        <v>-970.12564259824831</v>
      </c>
      <c r="F76" s="318">
        <f>J41*$J$22</f>
        <v>-8095.5613532645284</v>
      </c>
      <c r="G76" s="318">
        <f t="shared" si="7"/>
        <v>-19149</v>
      </c>
      <c r="H76" s="317"/>
    </row>
    <row r="77" spans="2:8" ht="15.75">
      <c r="B77" s="307" t="s">
        <v>317</v>
      </c>
      <c r="C77" s="318">
        <f t="shared" si="6"/>
        <v>2666</v>
      </c>
      <c r="D77" s="318">
        <f>J42*$J$20</f>
        <v>1403.8389716972083</v>
      </c>
      <c r="E77" s="318">
        <f>$J$21*J42</f>
        <v>135.06475341620609</v>
      </c>
      <c r="F77" s="318">
        <f>J42*$J$22</f>
        <v>1127.0962748865859</v>
      </c>
      <c r="G77" s="318">
        <f t="shared" si="7"/>
        <v>2666</v>
      </c>
      <c r="H77" s="317"/>
    </row>
    <row r="78" spans="2:8" ht="15.75">
      <c r="B78" s="307" t="s">
        <v>319</v>
      </c>
      <c r="C78" s="318">
        <f t="shared" si="6"/>
        <v>62385</v>
      </c>
      <c r="D78" s="318">
        <f>J43*$J$20</f>
        <v>32850.14788046899</v>
      </c>
      <c r="E78" s="318">
        <f>$J$21*J43</f>
        <v>3160.5456271080329</v>
      </c>
      <c r="F78" s="318">
        <f>J43*$J$22</f>
        <v>26374.306492422977</v>
      </c>
      <c r="G78" s="318">
        <f t="shared" si="7"/>
        <v>62385</v>
      </c>
      <c r="H78" s="317"/>
    </row>
    <row r="79" spans="2:8" ht="15.75">
      <c r="B79" s="307" t="s">
        <v>339</v>
      </c>
      <c r="C79" s="318">
        <f>SUM(C68:C78)</f>
        <v>171952</v>
      </c>
      <c r="D79" s="318">
        <f>SUM(D68:D78)</f>
        <v>126127.7027766172</v>
      </c>
      <c r="E79" s="318">
        <f>SUM(E68:E78)</f>
        <v>8840.2702982789433</v>
      </c>
      <c r="F79" s="318">
        <f>SUM(F68:F78)</f>
        <v>36984.026925103848</v>
      </c>
      <c r="G79" s="318">
        <f t="shared" si="7"/>
        <v>171952</v>
      </c>
      <c r="H79" s="317"/>
    </row>
    <row r="80" spans="2:8" ht="15.75">
      <c r="C80" s="318"/>
      <c r="D80" s="318"/>
      <c r="E80" s="318"/>
      <c r="F80" s="318"/>
      <c r="G80" s="318"/>
      <c r="H80" s="317"/>
    </row>
    <row r="81" spans="2:8" ht="15.75">
      <c r="B81" s="307" t="s">
        <v>340</v>
      </c>
      <c r="C81" s="318">
        <f>SUM(C68:C73)</f>
        <v>98124</v>
      </c>
      <c r="D81" s="318">
        <f>SUM(D68:D73)</f>
        <v>87252</v>
      </c>
      <c r="E81" s="318">
        <f>SUM(E68:E73)</f>
        <v>5100</v>
      </c>
      <c r="F81" s="318">
        <f>SUM(F68:F73)</f>
        <v>5772</v>
      </c>
      <c r="G81" s="318">
        <f>SUM(D81:F81)</f>
        <v>98124</v>
      </c>
      <c r="H81" s="317"/>
    </row>
    <row r="82" spans="2:8" ht="15.75">
      <c r="C82" s="318"/>
      <c r="D82" s="318"/>
      <c r="E82" s="318"/>
      <c r="F82" s="318"/>
      <c r="G82" s="318"/>
      <c r="H82" s="317"/>
    </row>
    <row r="83" spans="2:8" ht="15.75">
      <c r="B83" s="307" t="s">
        <v>341</v>
      </c>
      <c r="C83" s="318">
        <f>C65+C79</f>
        <v>-157077</v>
      </c>
      <c r="D83" s="318">
        <f>D65+D79</f>
        <v>-72778.775243422802</v>
      </c>
      <c r="E83" s="318">
        <f>E65+E79</f>
        <v>78824.201908899966</v>
      </c>
      <c r="F83" s="318">
        <f>F65+F79</f>
        <v>-163122.42666547751</v>
      </c>
      <c r="G83" s="318">
        <f>SUM(D83:F83)</f>
        <v>-157077.00000000035</v>
      </c>
      <c r="H83" s="317"/>
    </row>
    <row r="84" spans="2:8">
      <c r="C84" s="317"/>
      <c r="D84" s="317"/>
      <c r="E84" s="317"/>
      <c r="F84" s="317"/>
    </row>
    <row r="85" spans="2:8">
      <c r="C85" s="317"/>
      <c r="D85" s="317"/>
      <c r="E85" s="317"/>
      <c r="F85" s="317"/>
    </row>
    <row r="86" spans="2:8">
      <c r="C86" s="317">
        <f>C83+335-5</f>
        <v>-156747</v>
      </c>
      <c r="D86" s="317"/>
      <c r="E86" s="317"/>
      <c r="F86" s="317"/>
    </row>
    <row r="87" spans="2:8">
      <c r="C87" s="317"/>
      <c r="D87" s="317"/>
      <c r="E87" s="317"/>
      <c r="F87" s="317"/>
    </row>
    <row r="88" spans="2:8">
      <c r="C88" s="317"/>
      <c r="D88" s="317"/>
      <c r="E88" s="317"/>
      <c r="F88" s="317"/>
    </row>
    <row r="89" spans="2:8">
      <c r="C89" s="317"/>
      <c r="D89" s="317"/>
      <c r="E89" s="317"/>
      <c r="F89" s="317"/>
    </row>
    <row r="90" spans="2:8">
      <c r="C90" s="317"/>
      <c r="D90" s="317"/>
      <c r="E90" s="317"/>
      <c r="F90" s="317"/>
    </row>
    <row r="91" spans="2:8">
      <c r="C91" s="317"/>
      <c r="D91" s="317"/>
      <c r="E91" s="317"/>
      <c r="F91" s="317"/>
    </row>
    <row r="92" spans="2:8">
      <c r="C92" s="317"/>
      <c r="D92" s="317"/>
      <c r="E92" s="317"/>
      <c r="F92" s="317"/>
    </row>
    <row r="93" spans="2:8">
      <c r="C93" s="317"/>
      <c r="D93" s="317"/>
      <c r="E93" s="317"/>
      <c r="F93" s="317"/>
    </row>
    <row r="94" spans="2:8">
      <c r="C94" s="317"/>
      <c r="D94" s="317"/>
      <c r="E94" s="317"/>
      <c r="F94" s="317"/>
    </row>
    <row r="95" spans="2:8">
      <c r="C95" s="317"/>
      <c r="D95" s="317"/>
      <c r="E95" s="317"/>
      <c r="F95" s="317"/>
    </row>
    <row r="96" spans="2:8">
      <c r="C96" s="317"/>
      <c r="D96" s="317"/>
      <c r="E96" s="317"/>
      <c r="F96" s="317"/>
    </row>
    <row r="97" spans="3:6">
      <c r="C97" s="317"/>
      <c r="D97" s="317"/>
      <c r="E97" s="317"/>
      <c r="F97" s="317"/>
    </row>
    <row r="98" spans="3:6">
      <c r="C98" s="317"/>
      <c r="D98" s="317"/>
      <c r="E98" s="317"/>
      <c r="F98" s="317"/>
    </row>
    <row r="99" spans="3:6">
      <c r="C99" s="317"/>
      <c r="D99" s="317"/>
      <c r="E99" s="317"/>
      <c r="F99" s="317"/>
    </row>
    <row r="100" spans="3:6">
      <c r="C100" s="317"/>
      <c r="D100" s="317"/>
      <c r="E100" s="317"/>
      <c r="F100" s="317"/>
    </row>
    <row r="101" spans="3:6">
      <c r="C101" s="317"/>
      <c r="D101" s="317"/>
      <c r="E101" s="317"/>
      <c r="F101" s="317"/>
    </row>
    <row r="102" spans="3:6">
      <c r="C102" s="317"/>
      <c r="D102" s="317"/>
      <c r="E102" s="317"/>
      <c r="F102" s="317"/>
    </row>
    <row r="103" spans="3:6">
      <c r="C103" s="317"/>
      <c r="D103" s="317"/>
      <c r="E103" s="317"/>
      <c r="F103" s="317"/>
    </row>
    <row r="104" spans="3:6">
      <c r="C104" s="317"/>
      <c r="D104" s="317"/>
      <c r="E104" s="317"/>
      <c r="F104" s="317"/>
    </row>
    <row r="105" spans="3:6">
      <c r="C105" s="317"/>
      <c r="D105" s="317"/>
      <c r="E105" s="317"/>
      <c r="F105" s="317"/>
    </row>
    <row r="106" spans="3:6">
      <c r="C106" s="317"/>
      <c r="D106" s="317"/>
      <c r="E106" s="317"/>
      <c r="F106" s="317"/>
    </row>
    <row r="107" spans="3:6">
      <c r="C107" s="317"/>
      <c r="D107" s="317"/>
      <c r="E107" s="317"/>
      <c r="F107" s="317"/>
    </row>
    <row r="108" spans="3:6">
      <c r="C108" s="317"/>
      <c r="D108" s="317"/>
      <c r="E108" s="317"/>
      <c r="F108" s="317"/>
    </row>
    <row r="109" spans="3:6">
      <c r="C109" s="317"/>
      <c r="D109" s="317"/>
      <c r="E109" s="317"/>
      <c r="F109" s="317"/>
    </row>
    <row r="110" spans="3:6">
      <c r="C110" s="317"/>
      <c r="D110" s="317"/>
      <c r="E110" s="317"/>
      <c r="F110" s="317"/>
    </row>
    <row r="111" spans="3:6">
      <c r="C111" s="317"/>
      <c r="D111" s="317"/>
      <c r="E111" s="317"/>
      <c r="F111" s="317"/>
    </row>
    <row r="112" spans="3:6">
      <c r="C112" s="317"/>
      <c r="D112" s="317"/>
      <c r="E112" s="317"/>
      <c r="F112" s="317"/>
    </row>
    <row r="113" spans="3:6">
      <c r="C113" s="317"/>
      <c r="D113" s="317"/>
      <c r="E113" s="317"/>
      <c r="F113" s="317"/>
    </row>
    <row r="114" spans="3:6">
      <c r="C114" s="317"/>
      <c r="D114" s="317"/>
      <c r="E114" s="317"/>
      <c r="F114" s="317"/>
    </row>
    <row r="115" spans="3:6">
      <c r="C115" s="317"/>
      <c r="D115" s="317"/>
      <c r="E115" s="317"/>
      <c r="F115" s="317"/>
    </row>
    <row r="116" spans="3:6">
      <c r="C116" s="317"/>
      <c r="D116" s="317"/>
      <c r="E116" s="317"/>
      <c r="F116" s="317"/>
    </row>
    <row r="117" spans="3:6">
      <c r="C117" s="317"/>
      <c r="D117" s="317"/>
      <c r="E117" s="317"/>
      <c r="F117" s="317"/>
    </row>
    <row r="118" spans="3:6">
      <c r="C118" s="317"/>
      <c r="D118" s="317"/>
      <c r="E118" s="317"/>
      <c r="F118" s="317"/>
    </row>
    <row r="119" spans="3:6">
      <c r="C119" s="317"/>
      <c r="D119" s="317"/>
      <c r="E119" s="317"/>
      <c r="F119" s="317"/>
    </row>
    <row r="120" spans="3:6">
      <c r="C120" s="317"/>
      <c r="D120" s="317"/>
      <c r="E120" s="317"/>
      <c r="F120" s="317"/>
    </row>
    <row r="121" spans="3:6">
      <c r="C121" s="317"/>
      <c r="D121" s="317"/>
      <c r="E121" s="317"/>
      <c r="F121" s="317"/>
    </row>
    <row r="122" spans="3:6">
      <c r="C122" s="317"/>
      <c r="D122" s="317"/>
      <c r="E122" s="317"/>
      <c r="F122" s="317"/>
    </row>
    <row r="123" spans="3:6">
      <c r="C123" s="317"/>
      <c r="D123" s="317"/>
      <c r="E123" s="317"/>
      <c r="F123" s="317"/>
    </row>
    <row r="124" spans="3:6">
      <c r="C124" s="317"/>
      <c r="D124" s="317"/>
      <c r="E124" s="317"/>
      <c r="F124" s="317"/>
    </row>
    <row r="125" spans="3:6">
      <c r="C125" s="317"/>
      <c r="D125" s="317"/>
      <c r="E125" s="317"/>
      <c r="F125" s="317"/>
    </row>
    <row r="126" spans="3:6">
      <c r="C126" s="317"/>
      <c r="D126" s="317"/>
      <c r="E126" s="317"/>
      <c r="F126" s="317"/>
    </row>
    <row r="127" spans="3:6">
      <c r="C127" s="317"/>
      <c r="D127" s="317"/>
      <c r="E127" s="317"/>
      <c r="F127" s="317"/>
    </row>
    <row r="128" spans="3:6">
      <c r="C128" s="317"/>
      <c r="D128" s="317"/>
      <c r="E128" s="317"/>
      <c r="F128" s="317"/>
    </row>
    <row r="129" spans="3:6">
      <c r="C129" s="317"/>
      <c r="D129" s="317"/>
      <c r="E129" s="317"/>
      <c r="F129" s="317"/>
    </row>
    <row r="130" spans="3:6">
      <c r="C130" s="317"/>
      <c r="D130" s="317"/>
      <c r="E130" s="317"/>
      <c r="F130" s="317"/>
    </row>
    <row r="131" spans="3:6">
      <c r="C131" s="317"/>
      <c r="D131" s="317"/>
      <c r="E131" s="317"/>
      <c r="F131" s="317"/>
    </row>
    <row r="132" spans="3:6">
      <c r="C132" s="317"/>
      <c r="D132" s="317"/>
      <c r="E132" s="317"/>
      <c r="F132" s="317"/>
    </row>
    <row r="133" spans="3:6">
      <c r="C133" s="317"/>
      <c r="D133" s="317"/>
      <c r="E133" s="317"/>
      <c r="F133" s="317"/>
    </row>
    <row r="134" spans="3:6">
      <c r="C134" s="317"/>
      <c r="D134" s="317"/>
      <c r="E134" s="317"/>
      <c r="F134" s="317"/>
    </row>
    <row r="135" spans="3:6">
      <c r="C135" s="317"/>
      <c r="D135" s="317"/>
      <c r="E135" s="317"/>
      <c r="F135" s="317"/>
    </row>
    <row r="136" spans="3:6">
      <c r="C136" s="317"/>
      <c r="D136" s="317"/>
      <c r="E136" s="317"/>
      <c r="F136" s="317"/>
    </row>
    <row r="137" spans="3:6">
      <c r="C137" s="317"/>
      <c r="D137" s="317"/>
      <c r="E137" s="317"/>
      <c r="F137" s="317"/>
    </row>
    <row r="138" spans="3:6">
      <c r="C138" s="317"/>
      <c r="D138" s="317"/>
      <c r="E138" s="317"/>
      <c r="F138" s="317"/>
    </row>
    <row r="139" spans="3:6">
      <c r="C139" s="317"/>
      <c r="D139" s="317"/>
      <c r="E139" s="317"/>
      <c r="F139" s="317"/>
    </row>
    <row r="140" spans="3:6">
      <c r="C140" s="317"/>
      <c r="D140" s="317"/>
      <c r="E140" s="317"/>
      <c r="F140" s="317"/>
    </row>
    <row r="141" spans="3:6">
      <c r="C141" s="317"/>
      <c r="D141" s="317"/>
      <c r="E141" s="317"/>
      <c r="F141" s="317"/>
    </row>
    <row r="142" spans="3:6">
      <c r="C142" s="317"/>
      <c r="D142" s="317"/>
      <c r="E142" s="317"/>
      <c r="F142" s="317"/>
    </row>
    <row r="143" spans="3:6">
      <c r="C143" s="317"/>
      <c r="D143" s="317"/>
      <c r="E143" s="317"/>
      <c r="F143" s="317"/>
    </row>
    <row r="144" spans="3:6">
      <c r="C144" s="317"/>
      <c r="D144" s="317"/>
      <c r="E144" s="317"/>
      <c r="F144" s="317"/>
    </row>
    <row r="145" spans="3:6">
      <c r="C145" s="317"/>
      <c r="D145" s="317"/>
      <c r="E145" s="317"/>
      <c r="F145" s="317"/>
    </row>
    <row r="146" spans="3:6">
      <c r="C146" s="317"/>
      <c r="D146" s="317"/>
      <c r="E146" s="317"/>
      <c r="F146" s="317"/>
    </row>
    <row r="147" spans="3:6">
      <c r="C147" s="317"/>
      <c r="D147" s="317"/>
      <c r="E147" s="317"/>
      <c r="F147" s="317"/>
    </row>
    <row r="148" spans="3:6">
      <c r="C148" s="317"/>
      <c r="D148" s="317"/>
      <c r="E148" s="317"/>
      <c r="F148" s="317"/>
    </row>
    <row r="149" spans="3:6">
      <c r="C149" s="317"/>
      <c r="D149" s="317"/>
      <c r="E149" s="317"/>
      <c r="F149" s="317"/>
    </row>
    <row r="150" spans="3:6">
      <c r="C150" s="317"/>
      <c r="D150" s="317"/>
      <c r="E150" s="317"/>
      <c r="F150" s="317"/>
    </row>
    <row r="151" spans="3:6">
      <c r="C151" s="317"/>
      <c r="D151" s="317"/>
      <c r="E151" s="317"/>
      <c r="F151" s="317"/>
    </row>
    <row r="152" spans="3:6">
      <c r="C152" s="317"/>
      <c r="D152" s="317"/>
      <c r="E152" s="317"/>
      <c r="F152" s="317"/>
    </row>
    <row r="153" spans="3:6">
      <c r="C153" s="317"/>
      <c r="D153" s="317"/>
      <c r="E153" s="317"/>
      <c r="F153" s="317"/>
    </row>
    <row r="154" spans="3:6">
      <c r="C154" s="317"/>
      <c r="D154" s="317"/>
      <c r="E154" s="317"/>
      <c r="F154" s="317"/>
    </row>
    <row r="155" spans="3:6">
      <c r="C155" s="317"/>
      <c r="D155" s="317"/>
      <c r="E155" s="317"/>
      <c r="F155" s="317"/>
    </row>
    <row r="156" spans="3:6">
      <c r="C156" s="317"/>
      <c r="D156" s="317"/>
      <c r="E156" s="317"/>
      <c r="F156" s="317"/>
    </row>
    <row r="157" spans="3:6">
      <c r="C157" s="317"/>
      <c r="D157" s="317"/>
      <c r="E157" s="317"/>
      <c r="F157" s="317"/>
    </row>
    <row r="158" spans="3:6">
      <c r="C158" s="317"/>
      <c r="D158" s="317"/>
      <c r="E158" s="317"/>
      <c r="F158" s="317"/>
    </row>
    <row r="159" spans="3:6">
      <c r="C159" s="317"/>
      <c r="D159" s="317"/>
      <c r="E159" s="317"/>
      <c r="F159" s="317"/>
    </row>
    <row r="160" spans="3:6">
      <c r="C160" s="317"/>
      <c r="D160" s="317"/>
      <c r="E160" s="317"/>
      <c r="F160" s="317"/>
    </row>
    <row r="161" spans="3:6">
      <c r="C161" s="317"/>
      <c r="D161" s="317"/>
      <c r="E161" s="317"/>
      <c r="F161" s="317"/>
    </row>
    <row r="162" spans="3:6">
      <c r="C162" s="317"/>
      <c r="D162" s="317"/>
      <c r="E162" s="317"/>
      <c r="F162" s="317"/>
    </row>
    <row r="163" spans="3:6">
      <c r="C163" s="317"/>
      <c r="D163" s="317"/>
      <c r="E163" s="317"/>
      <c r="F163" s="317"/>
    </row>
    <row r="164" spans="3:6">
      <c r="C164" s="317"/>
      <c r="D164" s="317"/>
      <c r="E164" s="317"/>
      <c r="F164" s="317"/>
    </row>
    <row r="165" spans="3:6">
      <c r="C165" s="317"/>
      <c r="D165" s="317"/>
      <c r="E165" s="317"/>
      <c r="F165" s="317"/>
    </row>
    <row r="166" spans="3:6">
      <c r="C166" s="317"/>
      <c r="D166" s="317"/>
      <c r="E166" s="317"/>
      <c r="F166" s="317"/>
    </row>
    <row r="167" spans="3:6">
      <c r="C167" s="317"/>
      <c r="D167" s="317"/>
      <c r="E167" s="317"/>
      <c r="F167" s="317"/>
    </row>
    <row r="168" spans="3:6">
      <c r="C168" s="317"/>
      <c r="D168" s="317"/>
      <c r="E168" s="317"/>
      <c r="F168" s="317"/>
    </row>
    <row r="169" spans="3:6">
      <c r="C169" s="317"/>
      <c r="D169" s="317"/>
      <c r="E169" s="317"/>
      <c r="F169" s="317"/>
    </row>
    <row r="170" spans="3:6">
      <c r="C170" s="317"/>
      <c r="D170" s="317"/>
      <c r="E170" s="317"/>
      <c r="F170" s="317"/>
    </row>
    <row r="171" spans="3:6">
      <c r="C171" s="317"/>
      <c r="D171" s="317"/>
      <c r="E171" s="317"/>
      <c r="F171" s="317"/>
    </row>
    <row r="172" spans="3:6">
      <c r="C172" s="317"/>
      <c r="D172" s="317"/>
      <c r="E172" s="317"/>
      <c r="F172" s="317"/>
    </row>
    <row r="173" spans="3:6">
      <c r="C173" s="317"/>
      <c r="D173" s="317"/>
      <c r="E173" s="317"/>
      <c r="F173" s="317"/>
    </row>
    <row r="174" spans="3:6">
      <c r="C174" s="317"/>
      <c r="D174" s="317"/>
      <c r="E174" s="317"/>
      <c r="F174" s="317"/>
    </row>
    <row r="175" spans="3:6">
      <c r="C175" s="317"/>
      <c r="D175" s="317"/>
      <c r="E175" s="317"/>
      <c r="F175" s="317"/>
    </row>
    <row r="176" spans="3:6">
      <c r="C176" s="317"/>
      <c r="D176" s="317"/>
      <c r="E176" s="317"/>
      <c r="F176" s="317"/>
    </row>
    <row r="177" spans="3:6">
      <c r="C177" s="317"/>
      <c r="D177" s="317"/>
      <c r="E177" s="317"/>
      <c r="F177" s="317"/>
    </row>
    <row r="178" spans="3:6">
      <c r="C178" s="317"/>
      <c r="D178" s="317"/>
      <c r="E178" s="317"/>
      <c r="F178" s="317"/>
    </row>
    <row r="179" spans="3:6">
      <c r="C179" s="317"/>
      <c r="D179" s="317"/>
      <c r="E179" s="317"/>
      <c r="F179" s="317"/>
    </row>
    <row r="180" spans="3:6">
      <c r="C180" s="317"/>
      <c r="D180" s="317"/>
      <c r="E180" s="317"/>
      <c r="F180" s="317"/>
    </row>
    <row r="181" spans="3:6">
      <c r="C181" s="317"/>
      <c r="D181" s="317"/>
      <c r="E181" s="317"/>
      <c r="F181" s="317"/>
    </row>
    <row r="182" spans="3:6">
      <c r="C182" s="317"/>
      <c r="D182" s="317"/>
      <c r="E182" s="317"/>
      <c r="F182" s="317"/>
    </row>
    <row r="183" spans="3:6">
      <c r="C183" s="317"/>
      <c r="D183" s="317"/>
      <c r="E183" s="317"/>
      <c r="F183" s="317"/>
    </row>
    <row r="184" spans="3:6">
      <c r="C184" s="317"/>
      <c r="D184" s="317"/>
      <c r="E184" s="317"/>
      <c r="F184" s="317"/>
    </row>
    <row r="185" spans="3:6">
      <c r="C185" s="317"/>
      <c r="D185" s="317"/>
      <c r="E185" s="317"/>
      <c r="F185" s="317"/>
    </row>
    <row r="186" spans="3:6">
      <c r="C186" s="317"/>
      <c r="D186" s="317"/>
      <c r="E186" s="317"/>
      <c r="F186" s="317"/>
    </row>
    <row r="187" spans="3:6">
      <c r="C187" s="317"/>
      <c r="D187" s="317"/>
      <c r="E187" s="317"/>
      <c r="F187" s="317"/>
    </row>
    <row r="188" spans="3:6">
      <c r="C188" s="317"/>
      <c r="D188" s="317"/>
      <c r="E188" s="317"/>
      <c r="F188" s="317"/>
    </row>
    <row r="189" spans="3:6">
      <c r="C189" s="317"/>
      <c r="D189" s="317"/>
      <c r="E189" s="317"/>
      <c r="F189" s="317"/>
    </row>
    <row r="190" spans="3:6">
      <c r="C190" s="317"/>
      <c r="D190" s="317"/>
      <c r="E190" s="317"/>
      <c r="F190" s="317"/>
    </row>
    <row r="191" spans="3:6">
      <c r="C191" s="317"/>
      <c r="D191" s="317"/>
      <c r="E191" s="317"/>
      <c r="F191" s="317"/>
    </row>
    <row r="192" spans="3:6">
      <c r="C192" s="317"/>
      <c r="D192" s="317"/>
      <c r="E192" s="317"/>
      <c r="F192" s="317"/>
    </row>
    <row r="193" spans="3:6">
      <c r="C193" s="317"/>
      <c r="D193" s="317"/>
      <c r="E193" s="317"/>
      <c r="F193" s="317"/>
    </row>
    <row r="194" spans="3:6">
      <c r="C194" s="317"/>
      <c r="D194" s="317"/>
      <c r="E194" s="317"/>
      <c r="F194" s="317"/>
    </row>
    <row r="195" spans="3:6">
      <c r="C195" s="317"/>
      <c r="D195" s="317"/>
      <c r="E195" s="317"/>
      <c r="F195" s="317"/>
    </row>
    <row r="196" spans="3:6">
      <c r="C196" s="317"/>
      <c r="D196" s="317"/>
      <c r="E196" s="317"/>
      <c r="F196" s="317"/>
    </row>
    <row r="197" spans="3:6">
      <c r="C197" s="317"/>
      <c r="D197" s="317"/>
      <c r="E197" s="317"/>
      <c r="F197" s="317"/>
    </row>
    <row r="198" spans="3:6">
      <c r="C198" s="317"/>
      <c r="D198" s="317"/>
      <c r="E198" s="317"/>
      <c r="F198" s="317"/>
    </row>
    <row r="199" spans="3:6">
      <c r="C199" s="317"/>
      <c r="D199" s="317"/>
      <c r="E199" s="317"/>
      <c r="F199" s="317"/>
    </row>
    <row r="200" spans="3:6">
      <c r="C200" s="317"/>
      <c r="D200" s="317"/>
      <c r="E200" s="317"/>
      <c r="F200" s="317"/>
    </row>
    <row r="201" spans="3:6">
      <c r="C201" s="317"/>
      <c r="D201" s="317"/>
      <c r="E201" s="317"/>
      <c r="F201" s="317"/>
    </row>
    <row r="202" spans="3:6">
      <c r="C202" s="317"/>
      <c r="D202" s="317"/>
      <c r="E202" s="317"/>
      <c r="F202" s="317"/>
    </row>
    <row r="203" spans="3:6">
      <c r="C203" s="317"/>
      <c r="D203" s="317"/>
      <c r="E203" s="317"/>
      <c r="F203" s="317"/>
    </row>
    <row r="204" spans="3:6">
      <c r="C204" s="317"/>
      <c r="D204" s="317"/>
      <c r="E204" s="317"/>
      <c r="F204" s="317"/>
    </row>
    <row r="205" spans="3:6">
      <c r="C205" s="317"/>
      <c r="D205" s="317"/>
      <c r="E205" s="317"/>
      <c r="F205" s="317"/>
    </row>
    <row r="206" spans="3:6">
      <c r="C206" s="317"/>
      <c r="D206" s="317"/>
      <c r="E206" s="317"/>
      <c r="F206" s="317"/>
    </row>
    <row r="207" spans="3:6">
      <c r="C207" s="317"/>
      <c r="D207" s="317"/>
      <c r="E207" s="317"/>
      <c r="F207" s="317"/>
    </row>
    <row r="208" spans="3:6">
      <c r="C208" s="317"/>
      <c r="D208" s="317"/>
      <c r="E208" s="317"/>
      <c r="F208" s="317"/>
    </row>
    <row r="209" spans="3:6">
      <c r="C209" s="317"/>
      <c r="D209" s="317"/>
      <c r="E209" s="317"/>
      <c r="F209" s="317"/>
    </row>
    <row r="210" spans="3:6">
      <c r="C210" s="317"/>
      <c r="D210" s="317"/>
      <c r="E210" s="317"/>
      <c r="F210" s="317"/>
    </row>
    <row r="211" spans="3:6">
      <c r="C211" s="317"/>
      <c r="D211" s="317"/>
      <c r="E211" s="317"/>
      <c r="F211" s="317"/>
    </row>
    <row r="212" spans="3:6">
      <c r="C212" s="317"/>
      <c r="D212" s="317"/>
      <c r="E212" s="317"/>
      <c r="F212" s="317"/>
    </row>
    <row r="213" spans="3:6">
      <c r="C213" s="317"/>
      <c r="D213" s="317"/>
      <c r="E213" s="317"/>
      <c r="F213" s="317"/>
    </row>
    <row r="214" spans="3:6">
      <c r="C214" s="317"/>
      <c r="D214" s="317"/>
      <c r="E214" s="317"/>
      <c r="F214" s="317"/>
    </row>
    <row r="215" spans="3:6">
      <c r="C215" s="317"/>
      <c r="D215" s="317"/>
      <c r="E215" s="317"/>
      <c r="F215" s="317"/>
    </row>
    <row r="216" spans="3:6">
      <c r="C216" s="317"/>
      <c r="D216" s="317"/>
      <c r="E216" s="317"/>
      <c r="F216" s="317"/>
    </row>
    <row r="217" spans="3:6">
      <c r="C217" s="317"/>
      <c r="D217" s="317"/>
      <c r="E217" s="317"/>
      <c r="F217" s="317"/>
    </row>
    <row r="218" spans="3:6">
      <c r="C218" s="317"/>
      <c r="D218" s="317"/>
      <c r="E218" s="317"/>
      <c r="F218" s="317"/>
    </row>
    <row r="219" spans="3:6">
      <c r="C219" s="317"/>
      <c r="D219" s="317"/>
      <c r="E219" s="317"/>
      <c r="F219" s="317"/>
    </row>
    <row r="220" spans="3:6">
      <c r="C220" s="317"/>
      <c r="D220" s="317"/>
      <c r="E220" s="317"/>
      <c r="F220" s="317"/>
    </row>
    <row r="221" spans="3:6">
      <c r="C221" s="317"/>
      <c r="D221" s="317"/>
      <c r="E221" s="317"/>
      <c r="F221" s="317"/>
    </row>
    <row r="222" spans="3:6">
      <c r="C222" s="317"/>
      <c r="D222" s="317"/>
      <c r="E222" s="317"/>
      <c r="F222" s="317"/>
    </row>
    <row r="223" spans="3:6">
      <c r="C223" s="317"/>
      <c r="D223" s="317"/>
      <c r="E223" s="317"/>
      <c r="F223" s="317"/>
    </row>
    <row r="224" spans="3:6">
      <c r="C224" s="317"/>
      <c r="D224" s="317"/>
      <c r="E224" s="317"/>
      <c r="F224" s="317"/>
    </row>
    <row r="225" spans="3:6">
      <c r="C225" s="317"/>
      <c r="D225" s="317"/>
      <c r="E225" s="317"/>
      <c r="F225" s="317"/>
    </row>
    <row r="226" spans="3:6">
      <c r="C226" s="317"/>
      <c r="D226" s="317"/>
      <c r="E226" s="317"/>
      <c r="F226" s="317"/>
    </row>
    <row r="227" spans="3:6">
      <c r="C227" s="317"/>
      <c r="D227" s="317"/>
      <c r="E227" s="317"/>
      <c r="F227" s="317"/>
    </row>
    <row r="228" spans="3:6">
      <c r="C228" s="317"/>
      <c r="D228" s="317"/>
      <c r="E228" s="317"/>
      <c r="F228" s="317"/>
    </row>
    <row r="229" spans="3:6">
      <c r="C229" s="317"/>
      <c r="D229" s="317"/>
      <c r="E229" s="317"/>
      <c r="F229" s="317"/>
    </row>
    <row r="230" spans="3:6">
      <c r="C230" s="317"/>
      <c r="D230" s="317"/>
      <c r="E230" s="317"/>
      <c r="F230" s="317"/>
    </row>
    <row r="231" spans="3:6">
      <c r="C231" s="317"/>
      <c r="D231" s="317"/>
      <c r="E231" s="317"/>
      <c r="F231" s="317"/>
    </row>
    <row r="232" spans="3:6">
      <c r="C232" s="317"/>
      <c r="D232" s="317"/>
      <c r="E232" s="317"/>
      <c r="F232" s="317"/>
    </row>
    <row r="233" spans="3:6">
      <c r="C233" s="317"/>
      <c r="D233" s="317"/>
      <c r="E233" s="317"/>
      <c r="F233" s="317"/>
    </row>
    <row r="234" spans="3:6">
      <c r="C234" s="317"/>
      <c r="D234" s="317"/>
      <c r="E234" s="317"/>
      <c r="F234" s="317"/>
    </row>
    <row r="235" spans="3:6">
      <c r="C235" s="317"/>
      <c r="D235" s="317"/>
      <c r="E235" s="317"/>
      <c r="F235" s="317"/>
    </row>
    <row r="236" spans="3:6">
      <c r="C236" s="317"/>
      <c r="D236" s="317"/>
      <c r="E236" s="317"/>
      <c r="F236" s="317"/>
    </row>
    <row r="237" spans="3:6">
      <c r="C237" s="317"/>
      <c r="D237" s="317"/>
      <c r="E237" s="317"/>
      <c r="F237" s="317"/>
    </row>
    <row r="238" spans="3:6">
      <c r="C238" s="317"/>
      <c r="D238" s="317"/>
      <c r="E238" s="317"/>
      <c r="F238" s="317"/>
    </row>
    <row r="239" spans="3:6">
      <c r="C239" s="317"/>
      <c r="D239" s="317"/>
      <c r="E239" s="317"/>
      <c r="F239" s="317"/>
    </row>
    <row r="240" spans="3:6">
      <c r="C240" s="317"/>
      <c r="D240" s="317"/>
      <c r="E240" s="317"/>
      <c r="F240" s="317"/>
    </row>
    <row r="241" spans="3:6">
      <c r="C241" s="317"/>
      <c r="D241" s="317"/>
      <c r="E241" s="317"/>
      <c r="F241" s="317"/>
    </row>
    <row r="242" spans="3:6">
      <c r="C242" s="317"/>
      <c r="D242" s="317"/>
      <c r="E242" s="317"/>
      <c r="F242" s="317"/>
    </row>
    <row r="243" spans="3:6">
      <c r="C243" s="317"/>
      <c r="D243" s="317"/>
      <c r="E243" s="317"/>
      <c r="F243" s="317"/>
    </row>
    <row r="244" spans="3:6">
      <c r="C244" s="317"/>
      <c r="D244" s="317"/>
      <c r="E244" s="317"/>
      <c r="F244" s="317"/>
    </row>
    <row r="245" spans="3:6">
      <c r="C245" s="317"/>
      <c r="D245" s="317"/>
      <c r="E245" s="317"/>
      <c r="F245" s="317"/>
    </row>
    <row r="246" spans="3:6">
      <c r="C246" s="317"/>
      <c r="D246" s="317"/>
      <c r="E246" s="317"/>
      <c r="F246" s="317"/>
    </row>
    <row r="247" spans="3:6">
      <c r="C247" s="317"/>
      <c r="D247" s="317"/>
      <c r="E247" s="317"/>
      <c r="F247" s="317"/>
    </row>
    <row r="248" spans="3:6">
      <c r="C248" s="317"/>
      <c r="D248" s="317"/>
      <c r="E248" s="317"/>
      <c r="F248" s="317"/>
    </row>
    <row r="249" spans="3:6">
      <c r="C249" s="317"/>
      <c r="D249" s="317"/>
      <c r="E249" s="317"/>
      <c r="F249" s="317"/>
    </row>
    <row r="250" spans="3:6">
      <c r="C250" s="317"/>
      <c r="D250" s="317"/>
      <c r="E250" s="317"/>
      <c r="F250" s="317"/>
    </row>
    <row r="251" spans="3:6">
      <c r="C251" s="317"/>
      <c r="D251" s="317"/>
      <c r="E251" s="317"/>
      <c r="F251" s="317"/>
    </row>
    <row r="252" spans="3:6">
      <c r="C252" s="317"/>
      <c r="D252" s="317"/>
      <c r="E252" s="317"/>
      <c r="F252" s="317"/>
    </row>
    <row r="253" spans="3:6">
      <c r="C253" s="317"/>
      <c r="D253" s="317"/>
      <c r="E253" s="317"/>
      <c r="F253" s="317"/>
    </row>
    <row r="254" spans="3:6">
      <c r="C254" s="317"/>
      <c r="D254" s="317"/>
      <c r="E254" s="317"/>
      <c r="F254" s="317"/>
    </row>
    <row r="255" spans="3:6">
      <c r="C255" s="317"/>
      <c r="D255" s="317"/>
      <c r="E255" s="317"/>
      <c r="F255" s="317"/>
    </row>
    <row r="256" spans="3:6">
      <c r="C256" s="317"/>
      <c r="D256" s="317"/>
      <c r="E256" s="317"/>
      <c r="F256" s="317"/>
    </row>
    <row r="257" spans="3:6">
      <c r="C257" s="317"/>
      <c r="D257" s="317"/>
      <c r="E257" s="317"/>
      <c r="F257" s="317"/>
    </row>
    <row r="258" spans="3:6">
      <c r="C258" s="317"/>
      <c r="D258" s="317"/>
      <c r="E258" s="317"/>
      <c r="F258" s="317"/>
    </row>
    <row r="259" spans="3:6">
      <c r="C259" s="317"/>
      <c r="D259" s="317"/>
      <c r="E259" s="317"/>
      <c r="F259" s="317"/>
    </row>
    <row r="260" spans="3:6">
      <c r="C260" s="317"/>
      <c r="D260" s="317"/>
      <c r="E260" s="317"/>
      <c r="F260" s="317"/>
    </row>
    <row r="261" spans="3:6">
      <c r="C261" s="317"/>
      <c r="D261" s="317"/>
      <c r="E261" s="317"/>
      <c r="F261" s="317"/>
    </row>
    <row r="262" spans="3:6">
      <c r="C262" s="317"/>
      <c r="D262" s="317"/>
      <c r="E262" s="317"/>
      <c r="F262" s="317"/>
    </row>
    <row r="263" spans="3:6">
      <c r="C263" s="317"/>
      <c r="D263" s="317"/>
      <c r="E263" s="317"/>
      <c r="F263" s="317"/>
    </row>
    <row r="264" spans="3:6">
      <c r="C264" s="317"/>
      <c r="D264" s="317"/>
      <c r="E264" s="317"/>
      <c r="F264" s="317"/>
    </row>
    <row r="265" spans="3:6">
      <c r="C265" s="317"/>
      <c r="D265" s="317"/>
      <c r="E265" s="317"/>
      <c r="F265" s="317"/>
    </row>
    <row r="266" spans="3:6">
      <c r="C266" s="317"/>
      <c r="D266" s="317"/>
      <c r="E266" s="317"/>
      <c r="F266" s="317"/>
    </row>
    <row r="267" spans="3:6">
      <c r="C267" s="317"/>
      <c r="D267" s="317"/>
      <c r="E267" s="317"/>
      <c r="F267" s="317"/>
    </row>
    <row r="268" spans="3:6">
      <c r="C268" s="317"/>
      <c r="D268" s="317"/>
      <c r="E268" s="317"/>
      <c r="F268" s="317"/>
    </row>
    <row r="269" spans="3:6">
      <c r="C269" s="317"/>
      <c r="D269" s="317"/>
      <c r="E269" s="317"/>
      <c r="F269" s="317"/>
    </row>
    <row r="270" spans="3:6">
      <c r="C270" s="317"/>
      <c r="D270" s="317"/>
      <c r="E270" s="317"/>
      <c r="F270" s="317"/>
    </row>
    <row r="271" spans="3:6">
      <c r="C271" s="317"/>
      <c r="D271" s="317"/>
      <c r="E271" s="317"/>
      <c r="F271" s="317"/>
    </row>
    <row r="272" spans="3:6">
      <c r="C272" s="317"/>
      <c r="D272" s="317"/>
      <c r="E272" s="317"/>
      <c r="F272" s="317"/>
    </row>
    <row r="273" spans="3:6">
      <c r="C273" s="317"/>
      <c r="D273" s="317"/>
      <c r="E273" s="317"/>
      <c r="F273" s="31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B7C3F-FA55-4654-9D52-2CD293359156}">
  <sheetPr codeName="Sheet13"/>
  <dimension ref="A1:V374"/>
  <sheetViews>
    <sheetView workbookViewId="0"/>
  </sheetViews>
  <sheetFormatPr defaultColWidth="8.85546875" defaultRowHeight="15"/>
  <cols>
    <col min="1" max="1" width="15.85546875" style="307" customWidth="1"/>
    <col min="2" max="2" width="23.7109375" style="307" customWidth="1"/>
    <col min="3" max="8" width="12.85546875" style="307" customWidth="1"/>
    <col min="9" max="12" width="8.85546875" style="307"/>
    <col min="13" max="13" width="16.85546875" style="307" bestFit="1" customWidth="1"/>
    <col min="14" max="14" width="2.7109375" style="307" customWidth="1"/>
    <col min="15" max="17" width="11.28515625" style="307" bestFit="1" customWidth="1"/>
    <col min="18" max="18" width="11.85546875" style="307" bestFit="1" customWidth="1"/>
    <col min="19" max="16384" width="8.85546875" style="307"/>
  </cols>
  <sheetData>
    <row r="1" spans="1:22">
      <c r="M1" s="308"/>
      <c r="N1" s="308"/>
      <c r="O1" s="308"/>
      <c r="P1" s="308"/>
      <c r="Q1" s="308"/>
      <c r="R1" s="308"/>
      <c r="S1" s="308"/>
      <c r="T1" s="308"/>
      <c r="U1" s="308"/>
      <c r="V1" s="308"/>
    </row>
    <row r="2" spans="1:22">
      <c r="B2" s="307" t="s">
        <v>15</v>
      </c>
      <c r="C2" s="316" t="s">
        <v>240</v>
      </c>
      <c r="D2" s="316" t="s">
        <v>241</v>
      </c>
      <c r="E2" s="316" t="s">
        <v>242</v>
      </c>
      <c r="F2" s="316" t="s">
        <v>243</v>
      </c>
      <c r="G2" s="316" t="s">
        <v>244</v>
      </c>
      <c r="H2" s="316" t="s">
        <v>245</v>
      </c>
      <c r="M2" s="308"/>
      <c r="N2" s="308"/>
      <c r="O2" s="308">
        <v>1271667</v>
      </c>
      <c r="P2" s="308"/>
      <c r="Q2" s="308">
        <v>601238</v>
      </c>
      <c r="R2" s="308"/>
      <c r="S2" s="308"/>
      <c r="T2" s="308"/>
      <c r="U2" s="308"/>
      <c r="V2" s="308"/>
    </row>
    <row r="3" spans="1:22">
      <c r="M3" s="308"/>
      <c r="N3" s="308"/>
      <c r="O3" s="308"/>
      <c r="P3" s="308"/>
      <c r="Q3" s="308">
        <v>475329</v>
      </c>
      <c r="R3" s="308"/>
      <c r="S3" s="308"/>
      <c r="T3" s="308"/>
      <c r="U3" s="308"/>
      <c r="V3" s="308"/>
    </row>
    <row r="4" spans="1:22">
      <c r="B4" s="307" t="s">
        <v>246</v>
      </c>
      <c r="M4" s="308"/>
      <c r="N4" s="308"/>
      <c r="O4" s="308"/>
      <c r="P4" s="308"/>
      <c r="Q4" s="308">
        <v>148011</v>
      </c>
      <c r="R4" s="308"/>
      <c r="S4" s="308"/>
      <c r="T4" s="308"/>
      <c r="U4" s="308"/>
      <c r="V4" s="308"/>
    </row>
    <row r="5" spans="1:22">
      <c r="M5" s="308"/>
      <c r="N5" s="308"/>
      <c r="O5" s="308"/>
      <c r="P5" s="308"/>
      <c r="Q5" s="308">
        <f>SUM(Q2:Q4)</f>
        <v>1224578</v>
      </c>
      <c r="R5" s="308">
        <f>O2-Q5</f>
        <v>47089</v>
      </c>
      <c r="S5" s="308"/>
      <c r="T5" s="308"/>
      <c r="U5" s="308"/>
      <c r="V5" s="308"/>
    </row>
    <row r="6" spans="1:22">
      <c r="B6" s="307" t="s">
        <v>247</v>
      </c>
      <c r="D6" s="308"/>
      <c r="E6" s="308"/>
      <c r="F6" s="308"/>
      <c r="G6" s="308"/>
      <c r="H6" s="308"/>
      <c r="I6" s="308"/>
      <c r="M6" s="308"/>
      <c r="N6" s="308"/>
      <c r="O6" s="308"/>
      <c r="P6" s="308"/>
      <c r="Q6" s="308"/>
      <c r="R6" s="308"/>
      <c r="S6" s="308"/>
      <c r="T6" s="308"/>
      <c r="U6" s="308"/>
      <c r="V6" s="308"/>
    </row>
    <row r="7" spans="1:22">
      <c r="A7" s="307" t="s">
        <v>248</v>
      </c>
      <c r="B7" s="307" t="s">
        <v>29</v>
      </c>
      <c r="C7" s="309">
        <f t="shared" ref="C7:C15" si="0">SUM(D7:F7)</f>
        <v>3635090</v>
      </c>
      <c r="D7" s="308">
        <v>1914909</v>
      </c>
      <c r="E7" s="308">
        <v>-382</v>
      </c>
      <c r="F7" s="308">
        <v>1720563</v>
      </c>
      <c r="G7" s="308"/>
      <c r="H7" s="308">
        <f t="shared" ref="H7:H15" si="1">SUM(D7:F7)</f>
        <v>3635090</v>
      </c>
      <c r="I7" s="308"/>
      <c r="M7" s="308"/>
      <c r="N7" s="308"/>
      <c r="O7" s="308">
        <v>4651591</v>
      </c>
      <c r="P7" s="308">
        <v>4592992</v>
      </c>
      <c r="Q7" s="308"/>
      <c r="R7" s="308"/>
      <c r="S7" s="308"/>
      <c r="T7" s="308"/>
      <c r="U7" s="308"/>
      <c r="V7" s="308"/>
    </row>
    <row r="8" spans="1:22">
      <c r="A8" s="307" t="s">
        <v>248</v>
      </c>
      <c r="B8" s="315" t="s">
        <v>249</v>
      </c>
      <c r="C8" s="309">
        <f t="shared" si="0"/>
        <v>6960</v>
      </c>
      <c r="D8" s="308">
        <v>5661</v>
      </c>
      <c r="E8" s="308">
        <v>0</v>
      </c>
      <c r="F8" s="308">
        <v>1299</v>
      </c>
      <c r="G8" s="308"/>
      <c r="H8" s="308">
        <f t="shared" si="1"/>
        <v>6960</v>
      </c>
      <c r="I8" s="308"/>
      <c r="M8" s="308"/>
      <c r="N8" s="308"/>
      <c r="O8" s="308">
        <v>4050352</v>
      </c>
      <c r="P8" s="308">
        <v>59870</v>
      </c>
      <c r="Q8" s="308"/>
      <c r="R8" s="308"/>
      <c r="S8" s="308"/>
      <c r="T8" s="308"/>
      <c r="U8" s="308"/>
      <c r="V8" s="308"/>
    </row>
    <row r="9" spans="1:22">
      <c r="A9" s="307" t="s">
        <v>248</v>
      </c>
      <c r="B9" s="315" t="s">
        <v>34</v>
      </c>
      <c r="C9" s="309">
        <f t="shared" si="0"/>
        <v>180668</v>
      </c>
      <c r="D9" s="308">
        <v>95916</v>
      </c>
      <c r="E9" s="308"/>
      <c r="F9" s="308">
        <v>84752</v>
      </c>
      <c r="G9" s="308"/>
      <c r="H9" s="308">
        <f t="shared" si="1"/>
        <v>180668</v>
      </c>
      <c r="I9" s="308"/>
      <c r="M9" s="308"/>
      <c r="N9" s="308"/>
      <c r="O9" s="308">
        <f>O7-O8</f>
        <v>601239</v>
      </c>
      <c r="P9" s="308">
        <f>SUM(P7:P8)</f>
        <v>4652862</v>
      </c>
      <c r="Q9" s="308">
        <f>O7-P9</f>
        <v>-1271</v>
      </c>
      <c r="R9" s="308"/>
      <c r="S9" s="308"/>
      <c r="T9" s="308"/>
      <c r="U9" s="308"/>
      <c r="V9" s="308"/>
    </row>
    <row r="10" spans="1:22">
      <c r="A10" s="307" t="s">
        <v>248</v>
      </c>
      <c r="B10" s="307" t="s">
        <v>35</v>
      </c>
      <c r="C10" s="309">
        <f t="shared" si="0"/>
        <v>94917</v>
      </c>
      <c r="D10" s="308">
        <v>76717</v>
      </c>
      <c r="E10" s="308">
        <v>1873</v>
      </c>
      <c r="F10" s="308">
        <v>16327</v>
      </c>
      <c r="G10" s="308"/>
      <c r="H10" s="308">
        <f t="shared" si="1"/>
        <v>94917</v>
      </c>
      <c r="I10" s="308"/>
      <c r="M10" s="308"/>
      <c r="N10" s="308"/>
      <c r="O10" s="308"/>
      <c r="P10" s="308"/>
      <c r="Q10" s="308"/>
      <c r="R10" s="308"/>
      <c r="S10" s="308"/>
      <c r="T10" s="308"/>
      <c r="U10" s="308"/>
      <c r="V10" s="308"/>
    </row>
    <row r="11" spans="1:22">
      <c r="A11" s="307" t="s">
        <v>248</v>
      </c>
      <c r="B11" s="307" t="s">
        <v>250</v>
      </c>
      <c r="C11" s="309">
        <f t="shared" si="0"/>
        <v>206347</v>
      </c>
      <c r="D11" s="308">
        <v>138195</v>
      </c>
      <c r="E11" s="308">
        <v>4832</v>
      </c>
      <c r="F11" s="308">
        <v>63320</v>
      </c>
      <c r="G11" s="308"/>
      <c r="H11" s="308">
        <f t="shared" si="1"/>
        <v>206347</v>
      </c>
      <c r="I11" s="308"/>
      <c r="M11" s="308"/>
      <c r="N11" s="308"/>
      <c r="O11" s="308"/>
      <c r="P11" s="308"/>
      <c r="Q11" s="308"/>
      <c r="R11" s="308">
        <v>530396</v>
      </c>
      <c r="S11" s="308"/>
      <c r="T11" s="308"/>
      <c r="U11" s="308"/>
      <c r="V11" s="308"/>
    </row>
    <row r="12" spans="1:22">
      <c r="A12" s="307" t="s">
        <v>248</v>
      </c>
      <c r="B12" s="307" t="s">
        <v>251</v>
      </c>
      <c r="C12" s="309">
        <f t="shared" si="0"/>
        <v>121477</v>
      </c>
      <c r="D12" s="308"/>
      <c r="E12" s="308">
        <v>0</v>
      </c>
      <c r="F12" s="308">
        <v>121477</v>
      </c>
      <c r="G12" s="308"/>
      <c r="H12" s="308">
        <f t="shared" si="1"/>
        <v>121477</v>
      </c>
      <c r="I12" s="308"/>
      <c r="M12" s="308"/>
      <c r="N12" s="308"/>
      <c r="O12" s="308">
        <v>4076396</v>
      </c>
      <c r="P12" s="308"/>
      <c r="Q12" s="308"/>
      <c r="R12" s="308">
        <v>320852</v>
      </c>
      <c r="S12" s="308"/>
      <c r="T12" s="308"/>
      <c r="U12" s="308"/>
      <c r="V12" s="308"/>
    </row>
    <row r="13" spans="1:22">
      <c r="A13" s="307" t="s">
        <v>248</v>
      </c>
      <c r="B13" s="307" t="s">
        <v>252</v>
      </c>
      <c r="C13" s="309">
        <f t="shared" si="0"/>
        <v>69426</v>
      </c>
      <c r="D13" s="308">
        <v>69426</v>
      </c>
      <c r="E13" s="308">
        <v>0</v>
      </c>
      <c r="F13" s="308">
        <v>0</v>
      </c>
      <c r="G13" s="308"/>
      <c r="H13" s="308">
        <f t="shared" si="1"/>
        <v>69426</v>
      </c>
      <c r="I13" s="308"/>
      <c r="M13" s="308"/>
      <c r="N13" s="308"/>
      <c r="O13" s="308">
        <v>3347128</v>
      </c>
      <c r="P13" s="308"/>
      <c r="Q13" s="308"/>
      <c r="R13" s="308">
        <v>136816</v>
      </c>
      <c r="S13" s="308"/>
      <c r="T13" s="308"/>
      <c r="U13" s="308"/>
      <c r="V13" s="308"/>
    </row>
    <row r="14" spans="1:22">
      <c r="A14" s="307" t="s">
        <v>253</v>
      </c>
      <c r="B14" s="307" t="s">
        <v>254</v>
      </c>
      <c r="C14" s="309">
        <f t="shared" si="0"/>
        <v>134079</v>
      </c>
      <c r="D14" s="308">
        <v>105961</v>
      </c>
      <c r="E14" s="308">
        <v>0</v>
      </c>
      <c r="F14" s="308">
        <v>28118</v>
      </c>
      <c r="G14" s="308"/>
      <c r="H14" s="308">
        <f t="shared" si="1"/>
        <v>134079</v>
      </c>
      <c r="I14" s="308"/>
      <c r="M14" s="308"/>
      <c r="N14" s="308"/>
      <c r="O14" s="308">
        <v>389727</v>
      </c>
      <c r="P14" s="308"/>
      <c r="Q14" s="308"/>
      <c r="R14" s="308">
        <f>SUM(R11:R13)</f>
        <v>988064</v>
      </c>
      <c r="S14" s="308"/>
      <c r="T14" s="308"/>
      <c r="U14" s="308"/>
      <c r="V14" s="308"/>
    </row>
    <row r="15" spans="1:22">
      <c r="B15" s="307" t="s">
        <v>255</v>
      </c>
      <c r="C15" s="309">
        <f t="shared" si="0"/>
        <v>4448964</v>
      </c>
      <c r="D15" s="308">
        <f>SUM(D7:D14)</f>
        <v>2406785</v>
      </c>
      <c r="E15" s="308">
        <f>SUM(E7:E14)</f>
        <v>6323</v>
      </c>
      <c r="F15" s="308">
        <f>SUM(F7:F14)</f>
        <v>2035856</v>
      </c>
      <c r="G15" s="308"/>
      <c r="H15" s="308">
        <f t="shared" si="1"/>
        <v>4448964</v>
      </c>
      <c r="I15" s="308"/>
      <c r="M15" s="308"/>
      <c r="N15" s="308"/>
      <c r="O15" s="308">
        <v>172398</v>
      </c>
      <c r="P15" s="308"/>
      <c r="Q15" s="308"/>
      <c r="R15" s="308">
        <v>-34148</v>
      </c>
      <c r="S15" s="308"/>
      <c r="T15" s="308"/>
      <c r="U15" s="308"/>
      <c r="V15" s="308"/>
    </row>
    <row r="16" spans="1:22">
      <c r="C16" s="309"/>
      <c r="D16" s="308"/>
      <c r="E16" s="308"/>
      <c r="F16" s="308"/>
      <c r="G16" s="308"/>
      <c r="H16" s="308"/>
      <c r="I16" s="308"/>
      <c r="M16" s="308"/>
      <c r="N16" s="308"/>
      <c r="O16" s="308">
        <v>-59870</v>
      </c>
      <c r="P16" s="308"/>
      <c r="Q16" s="308"/>
      <c r="R16" s="308">
        <f>R14+R15</f>
        <v>953916</v>
      </c>
      <c r="S16" s="308"/>
      <c r="T16" s="308"/>
      <c r="U16" s="308"/>
      <c r="V16" s="308"/>
    </row>
    <row r="17" spans="1:22">
      <c r="B17" s="307" t="s">
        <v>256</v>
      </c>
      <c r="C17" s="309"/>
      <c r="D17" s="308"/>
      <c r="E17" s="308"/>
      <c r="F17" s="308"/>
      <c r="G17" s="308"/>
      <c r="H17" s="308"/>
      <c r="I17" s="308"/>
      <c r="M17" s="308"/>
      <c r="N17" s="308"/>
      <c r="O17" s="308">
        <v>-54667</v>
      </c>
      <c r="P17" s="308">
        <v>537739</v>
      </c>
      <c r="Q17" s="308"/>
      <c r="R17" s="308">
        <v>-1110653</v>
      </c>
      <c r="S17" s="308"/>
      <c r="T17" s="308"/>
      <c r="U17" s="308"/>
      <c r="V17" s="308"/>
    </row>
    <row r="18" spans="1:22">
      <c r="A18" s="307" t="s">
        <v>256</v>
      </c>
      <c r="B18" s="307" t="s">
        <v>257</v>
      </c>
      <c r="C18" s="309">
        <f>SUM(D18:F18)</f>
        <v>1171096</v>
      </c>
      <c r="D18" s="308">
        <v>723248</v>
      </c>
      <c r="E18" s="308">
        <v>139496</v>
      </c>
      <c r="F18" s="308">
        <v>308352</v>
      </c>
      <c r="G18" s="308"/>
      <c r="H18" s="308">
        <f>SUM(D18:F18)</f>
        <v>1171096</v>
      </c>
      <c r="I18" s="308"/>
      <c r="M18" s="308"/>
      <c r="N18" s="308"/>
      <c r="O18" s="308">
        <v>276</v>
      </c>
      <c r="P18" s="308">
        <v>-382</v>
      </c>
      <c r="Q18" s="308"/>
      <c r="R18" s="308">
        <f>SUM(R16:R17)</f>
        <v>-156737</v>
      </c>
      <c r="S18" s="308"/>
      <c r="T18" s="308"/>
      <c r="U18" s="308"/>
      <c r="V18" s="308"/>
    </row>
    <row r="19" spans="1:22">
      <c r="A19" s="307" t="s">
        <v>256</v>
      </c>
      <c r="B19" s="307" t="s">
        <v>258</v>
      </c>
      <c r="C19" s="309">
        <f>SUM(D19:F19)</f>
        <v>638970</v>
      </c>
      <c r="D19" s="308">
        <v>236265</v>
      </c>
      <c r="E19" s="308">
        <v>82781</v>
      </c>
      <c r="F19" s="308">
        <v>319924</v>
      </c>
      <c r="G19" s="308"/>
      <c r="H19" s="308">
        <f>SUM(D19:F19)</f>
        <v>638970</v>
      </c>
      <c r="I19" s="308"/>
      <c r="M19" s="308"/>
      <c r="N19" s="308"/>
      <c r="O19" s="308"/>
      <c r="P19" s="308">
        <f>P17+P18</f>
        <v>537357</v>
      </c>
      <c r="Q19" s="308"/>
      <c r="R19" s="308"/>
      <c r="S19" s="308"/>
      <c r="T19" s="308"/>
      <c r="U19" s="308"/>
      <c r="V19" s="308"/>
    </row>
    <row r="20" spans="1:22">
      <c r="A20" s="307" t="s">
        <v>256</v>
      </c>
      <c r="B20" s="307" t="s">
        <v>259</v>
      </c>
      <c r="C20" s="309">
        <f>SUM(D20:F20)</f>
        <v>-32017</v>
      </c>
      <c r="D20" s="308">
        <v>0</v>
      </c>
      <c r="E20" s="308">
        <v>-32017</v>
      </c>
      <c r="F20" s="308">
        <v>0</v>
      </c>
      <c r="G20" s="308"/>
      <c r="H20" s="308">
        <f>SUM(D20:F20)</f>
        <v>-32017</v>
      </c>
      <c r="I20" s="308"/>
      <c r="M20" s="308"/>
      <c r="N20" s="308"/>
      <c r="O20" s="308">
        <f>SUM(O12:O18)</f>
        <v>7871388</v>
      </c>
      <c r="P20" s="308"/>
      <c r="Q20" s="308"/>
      <c r="R20" s="308"/>
      <c r="S20" s="308"/>
      <c r="T20" s="308"/>
      <c r="U20" s="308"/>
      <c r="V20" s="308"/>
    </row>
    <row r="21" spans="1:22">
      <c r="B21" s="307" t="s">
        <v>260</v>
      </c>
      <c r="C21" s="309">
        <f>SUM(D21:F21)</f>
        <v>1778049</v>
      </c>
      <c r="D21" s="308">
        <f>SUM(D18:D20)</f>
        <v>959513</v>
      </c>
      <c r="E21" s="308">
        <f>SUM(E18:E20)</f>
        <v>190260</v>
      </c>
      <c r="F21" s="308">
        <f>SUM(F18:F20)</f>
        <v>628276</v>
      </c>
      <c r="G21" s="308"/>
      <c r="H21" s="308">
        <f>SUM(D21:F21)</f>
        <v>1778049</v>
      </c>
      <c r="I21" s="308"/>
      <c r="M21" s="308"/>
      <c r="N21" s="308"/>
      <c r="O21" s="308"/>
      <c r="P21" s="308"/>
      <c r="Q21" s="308"/>
      <c r="R21" s="308"/>
      <c r="S21" s="308"/>
      <c r="T21" s="308"/>
      <c r="U21" s="308"/>
      <c r="V21" s="308"/>
    </row>
    <row r="22" spans="1:22">
      <c r="C22" s="309"/>
      <c r="D22" s="308"/>
      <c r="E22" s="308"/>
      <c r="F22" s="308"/>
      <c r="G22" s="308"/>
      <c r="H22" s="308"/>
      <c r="I22" s="308"/>
      <c r="M22" s="308"/>
      <c r="N22" s="308"/>
      <c r="O22" s="308">
        <v>7709431</v>
      </c>
      <c r="P22" s="308"/>
      <c r="Q22" s="308"/>
      <c r="R22" s="308"/>
      <c r="S22" s="308"/>
      <c r="T22" s="308"/>
      <c r="U22" s="308"/>
      <c r="V22" s="308"/>
    </row>
    <row r="23" spans="1:22">
      <c r="B23" s="307" t="s">
        <v>261</v>
      </c>
      <c r="C23" s="309"/>
      <c r="E23" s="308"/>
      <c r="F23" s="308"/>
      <c r="G23" s="308"/>
      <c r="H23" s="308"/>
      <c r="I23" s="308"/>
      <c r="M23" s="308"/>
      <c r="N23" s="308"/>
      <c r="O23" s="308">
        <f>O22-O20</f>
        <v>-161957</v>
      </c>
      <c r="P23" s="308"/>
      <c r="Q23" s="308">
        <v>133332</v>
      </c>
      <c r="R23" s="308">
        <v>15954</v>
      </c>
      <c r="S23" s="308"/>
      <c r="T23" s="308"/>
      <c r="U23" s="308"/>
      <c r="V23" s="308"/>
    </row>
    <row r="24" spans="1:22">
      <c r="A24" s="307" t="s">
        <v>253</v>
      </c>
      <c r="B24" s="314" t="s">
        <v>262</v>
      </c>
      <c r="C24" s="309">
        <f t="shared" ref="C24:C39" si="2">SUM(D24:F24)</f>
        <v>166470</v>
      </c>
      <c r="D24" s="308">
        <v>96101</v>
      </c>
      <c r="E24" s="308">
        <v>3757</v>
      </c>
      <c r="F24" s="308">
        <v>66612</v>
      </c>
      <c r="G24" s="308"/>
      <c r="H24" s="308">
        <f t="shared" ref="H24:H39" si="3">SUM(D24:F24)</f>
        <v>166470</v>
      </c>
      <c r="I24" s="308"/>
      <c r="M24" s="308"/>
      <c r="N24" s="308"/>
      <c r="O24" s="308"/>
      <c r="P24" s="308"/>
      <c r="Q24" s="308">
        <v>117147</v>
      </c>
      <c r="R24" s="308">
        <v>131716</v>
      </c>
      <c r="S24" s="308"/>
      <c r="T24" s="308"/>
      <c r="U24" s="308"/>
      <c r="V24" s="308"/>
    </row>
    <row r="25" spans="1:22">
      <c r="A25" s="307" t="s">
        <v>253</v>
      </c>
      <c r="B25" s="314" t="s">
        <v>263</v>
      </c>
      <c r="C25" s="309">
        <f t="shared" si="2"/>
        <v>4385</v>
      </c>
      <c r="D25" s="308">
        <v>4385</v>
      </c>
      <c r="E25" s="308">
        <v>0</v>
      </c>
      <c r="F25" s="308">
        <v>0</v>
      </c>
      <c r="G25" s="308"/>
      <c r="H25" s="308">
        <f t="shared" si="3"/>
        <v>4385</v>
      </c>
      <c r="I25" s="308"/>
      <c r="M25" s="308"/>
      <c r="N25" s="308"/>
      <c r="O25" s="308">
        <f>-1-(O23/O20)</f>
        <v>-0.97942459449337271</v>
      </c>
      <c r="P25" s="308"/>
      <c r="Q25" s="308">
        <v>34059</v>
      </c>
      <c r="R25" s="308"/>
      <c r="S25" s="308"/>
      <c r="T25" s="308"/>
      <c r="U25" s="308"/>
      <c r="V25" s="308"/>
    </row>
    <row r="26" spans="1:22">
      <c r="A26" s="307" t="s">
        <v>256</v>
      </c>
      <c r="B26" s="307" t="s">
        <v>264</v>
      </c>
      <c r="C26" s="309">
        <f t="shared" si="2"/>
        <v>29974</v>
      </c>
      <c r="D26" s="308">
        <v>19408</v>
      </c>
      <c r="E26" s="308">
        <v>3472</v>
      </c>
      <c r="F26" s="308">
        <v>7094</v>
      </c>
      <c r="G26" s="308"/>
      <c r="H26" s="308">
        <f t="shared" si="3"/>
        <v>29974</v>
      </c>
      <c r="I26" s="308"/>
      <c r="M26" s="308"/>
      <c r="N26" s="308"/>
      <c r="O26" s="308"/>
      <c r="P26" s="308"/>
      <c r="Q26" s="308">
        <v>15954</v>
      </c>
      <c r="R26" s="308"/>
      <c r="S26" s="308"/>
      <c r="T26" s="308"/>
      <c r="U26" s="308"/>
      <c r="V26" s="308"/>
    </row>
    <row r="27" spans="1:22">
      <c r="B27" s="307" t="s">
        <v>265</v>
      </c>
      <c r="C27" s="309">
        <f t="shared" si="2"/>
        <v>0</v>
      </c>
      <c r="D27" s="308">
        <v>0</v>
      </c>
      <c r="E27" s="308">
        <v>0</v>
      </c>
      <c r="F27" s="308">
        <v>0</v>
      </c>
      <c r="G27" s="308"/>
      <c r="H27" s="308">
        <f t="shared" si="3"/>
        <v>0</v>
      </c>
      <c r="I27" s="308"/>
      <c r="M27" s="308"/>
      <c r="N27" s="308"/>
      <c r="O27" s="308"/>
      <c r="P27" s="308"/>
      <c r="Q27" s="308">
        <v>1011807</v>
      </c>
      <c r="R27" s="308"/>
      <c r="S27" s="308"/>
      <c r="T27" s="308"/>
      <c r="U27" s="308"/>
      <c r="V27" s="308"/>
    </row>
    <row r="28" spans="1:22">
      <c r="A28" s="307" t="s">
        <v>256</v>
      </c>
      <c r="B28" s="313" t="s">
        <v>266</v>
      </c>
      <c r="C28" s="312">
        <f t="shared" si="2"/>
        <v>355893</v>
      </c>
      <c r="D28" s="311">
        <v>183496</v>
      </c>
      <c r="E28" s="311">
        <v>63575</v>
      </c>
      <c r="F28" s="311">
        <v>108822</v>
      </c>
      <c r="G28" s="308"/>
      <c r="H28" s="308">
        <f t="shared" si="3"/>
        <v>355893</v>
      </c>
      <c r="I28" s="308"/>
      <c r="M28" s="308"/>
      <c r="N28" s="308"/>
      <c r="O28" s="308"/>
      <c r="P28" s="308"/>
      <c r="Q28" s="308"/>
      <c r="R28" s="308"/>
      <c r="S28" s="308"/>
      <c r="T28" s="308"/>
      <c r="U28" s="308"/>
      <c r="V28" s="308"/>
    </row>
    <row r="29" spans="1:22">
      <c r="A29" s="307" t="s">
        <v>256</v>
      </c>
      <c r="B29" s="307" t="s">
        <v>267</v>
      </c>
      <c r="C29" s="309">
        <f t="shared" si="2"/>
        <v>177233</v>
      </c>
      <c r="D29" s="308">
        <v>77804</v>
      </c>
      <c r="E29" s="308">
        <v>23956</v>
      </c>
      <c r="F29" s="308">
        <v>75473</v>
      </c>
      <c r="G29" s="308"/>
      <c r="H29" s="308">
        <f t="shared" si="3"/>
        <v>177233</v>
      </c>
      <c r="I29" s="308"/>
      <c r="M29" s="308"/>
      <c r="N29" s="308"/>
      <c r="O29" s="308"/>
      <c r="P29" s="308"/>
      <c r="Q29" s="308"/>
      <c r="R29" s="308"/>
      <c r="S29" s="308"/>
      <c r="T29" s="308"/>
      <c r="U29" s="308"/>
      <c r="V29" s="308"/>
    </row>
    <row r="30" spans="1:22">
      <c r="A30" s="307" t="s">
        <v>256</v>
      </c>
      <c r="B30" s="313" t="s">
        <v>268</v>
      </c>
      <c r="C30" s="312">
        <f t="shared" si="2"/>
        <v>44374</v>
      </c>
      <c r="D30" s="311">
        <v>15905</v>
      </c>
      <c r="E30" s="311">
        <v>11410</v>
      </c>
      <c r="F30" s="311">
        <v>17059</v>
      </c>
      <c r="G30" s="308"/>
      <c r="H30" s="308">
        <f t="shared" si="3"/>
        <v>44374</v>
      </c>
      <c r="I30" s="308"/>
      <c r="M30" s="308"/>
      <c r="N30" s="308"/>
      <c r="O30" s="308"/>
      <c r="P30" s="308"/>
      <c r="Q30" s="308">
        <f>SUM(Q23:Q29)</f>
        <v>1312299</v>
      </c>
      <c r="R30" s="308"/>
      <c r="S30" s="308"/>
      <c r="T30" s="308"/>
      <c r="U30" s="308"/>
      <c r="V30" s="308"/>
    </row>
    <row r="31" spans="1:22">
      <c r="A31" s="307" t="s">
        <v>253</v>
      </c>
      <c r="B31" s="310" t="s">
        <v>269</v>
      </c>
      <c r="C31" s="309">
        <f t="shared" si="2"/>
        <v>53729</v>
      </c>
      <c r="D31" s="308">
        <v>27996</v>
      </c>
      <c r="E31" s="308">
        <v>3167</v>
      </c>
      <c r="F31" s="308">
        <v>22566</v>
      </c>
      <c r="G31" s="308"/>
      <c r="H31" s="308">
        <f t="shared" si="3"/>
        <v>53729</v>
      </c>
      <c r="I31" s="308"/>
      <c r="M31" s="308"/>
      <c r="N31" s="308"/>
      <c r="O31" s="308"/>
      <c r="P31" s="308"/>
      <c r="Q31" s="308"/>
      <c r="R31" s="308"/>
      <c r="S31" s="308"/>
      <c r="T31" s="308"/>
      <c r="U31" s="308"/>
      <c r="V31" s="308"/>
    </row>
    <row r="32" spans="1:22">
      <c r="A32" s="307" t="s">
        <v>253</v>
      </c>
      <c r="B32" s="310" t="s">
        <v>270</v>
      </c>
      <c r="C32" s="309">
        <f t="shared" si="2"/>
        <v>44005</v>
      </c>
      <c r="D32" s="308">
        <v>10274</v>
      </c>
      <c r="E32" s="308">
        <v>6807</v>
      </c>
      <c r="F32" s="308">
        <v>26924</v>
      </c>
      <c r="G32" s="308"/>
      <c r="H32" s="308">
        <f t="shared" si="3"/>
        <v>44005</v>
      </c>
      <c r="I32" s="308"/>
      <c r="M32" s="308"/>
      <c r="N32" s="308"/>
      <c r="O32" s="308"/>
      <c r="P32" s="308"/>
      <c r="Q32" s="308">
        <v>1405438</v>
      </c>
      <c r="R32" s="308"/>
      <c r="S32" s="308"/>
      <c r="T32" s="308"/>
      <c r="U32" s="308"/>
      <c r="V32" s="308"/>
    </row>
    <row r="33" spans="1:22">
      <c r="A33" s="307" t="s">
        <v>253</v>
      </c>
      <c r="B33" s="310" t="s">
        <v>271</v>
      </c>
      <c r="C33" s="309">
        <f t="shared" si="2"/>
        <v>315</v>
      </c>
      <c r="D33" s="308">
        <v>315</v>
      </c>
      <c r="E33" s="308">
        <v>0</v>
      </c>
      <c r="F33" s="308">
        <v>0</v>
      </c>
      <c r="G33" s="308"/>
      <c r="H33" s="308">
        <f t="shared" si="3"/>
        <v>315</v>
      </c>
      <c r="I33" s="308"/>
      <c r="M33" s="308"/>
      <c r="N33" s="308"/>
      <c r="O33" s="308"/>
      <c r="P33" s="308"/>
      <c r="Q33" s="308">
        <f>Q32-Q30</f>
        <v>93139</v>
      </c>
      <c r="R33" s="308"/>
      <c r="S33" s="308"/>
      <c r="T33" s="308"/>
      <c r="U33" s="308"/>
      <c r="V33" s="308"/>
    </row>
    <row r="34" spans="1:22">
      <c r="A34" s="307" t="s">
        <v>253</v>
      </c>
      <c r="B34" s="307" t="s">
        <v>272</v>
      </c>
      <c r="C34" s="309">
        <f t="shared" si="2"/>
        <v>126000</v>
      </c>
      <c r="D34" s="308">
        <v>0</v>
      </c>
      <c r="E34" s="308">
        <v>30000</v>
      </c>
      <c r="F34" s="308">
        <v>96000</v>
      </c>
      <c r="G34" s="308"/>
      <c r="H34" s="308">
        <f t="shared" si="3"/>
        <v>126000</v>
      </c>
      <c r="I34" s="308"/>
      <c r="M34" s="308"/>
      <c r="N34" s="308"/>
      <c r="O34" s="308"/>
      <c r="P34" s="308"/>
      <c r="R34" s="308"/>
      <c r="S34" s="308"/>
      <c r="T34" s="308"/>
      <c r="U34" s="308"/>
      <c r="V34" s="308"/>
    </row>
    <row r="35" spans="1:22">
      <c r="A35" s="307" t="s">
        <v>253</v>
      </c>
      <c r="B35" s="307" t="s">
        <v>273</v>
      </c>
      <c r="C35" s="309">
        <f t="shared" si="2"/>
        <v>137971</v>
      </c>
      <c r="D35" s="308">
        <v>67316</v>
      </c>
      <c r="E35" s="308">
        <v>22352</v>
      </c>
      <c r="F35" s="308">
        <v>48303</v>
      </c>
      <c r="G35" s="308"/>
      <c r="H35" s="308">
        <f t="shared" si="3"/>
        <v>137971</v>
      </c>
      <c r="I35" s="308"/>
      <c r="M35" s="308"/>
      <c r="N35" s="308"/>
      <c r="O35" s="308"/>
      <c r="P35" s="308"/>
      <c r="Q35" s="307">
        <f>Q33/Q32</f>
        <v>6.6270443804707146E-2</v>
      </c>
      <c r="R35" s="308"/>
      <c r="S35" s="308"/>
      <c r="T35" s="308"/>
      <c r="U35" s="308"/>
      <c r="V35" s="308"/>
    </row>
    <row r="36" spans="1:22">
      <c r="A36" s="307" t="s">
        <v>253</v>
      </c>
      <c r="B36" s="310" t="s">
        <v>61</v>
      </c>
      <c r="C36" s="309">
        <f t="shared" si="2"/>
        <v>2960</v>
      </c>
      <c r="D36" s="308">
        <v>2960</v>
      </c>
      <c r="E36" s="308">
        <v>0</v>
      </c>
      <c r="F36" s="308">
        <v>0</v>
      </c>
      <c r="G36" s="308"/>
      <c r="H36" s="308">
        <f t="shared" si="3"/>
        <v>2960</v>
      </c>
      <c r="I36" s="308"/>
      <c r="M36" s="308"/>
      <c r="N36" s="308"/>
      <c r="O36" s="308"/>
      <c r="P36" s="308"/>
      <c r="R36" s="308"/>
      <c r="S36" s="308"/>
      <c r="T36" s="308"/>
      <c r="U36" s="308"/>
      <c r="V36" s="308"/>
    </row>
    <row r="37" spans="1:22">
      <c r="A37" s="307" t="s">
        <v>253</v>
      </c>
      <c r="B37" s="307" t="s">
        <v>274</v>
      </c>
      <c r="C37" s="309">
        <f t="shared" si="2"/>
        <v>238879</v>
      </c>
      <c r="D37" s="308">
        <v>110041</v>
      </c>
      <c r="E37" s="308">
        <v>24643</v>
      </c>
      <c r="F37" s="308">
        <v>104195</v>
      </c>
      <c r="G37" s="308"/>
      <c r="H37" s="308">
        <f t="shared" si="3"/>
        <v>238879</v>
      </c>
      <c r="I37" s="308"/>
    </row>
    <row r="38" spans="1:22">
      <c r="A38" s="307" t="s">
        <v>275</v>
      </c>
      <c r="B38" s="307" t="s">
        <v>276</v>
      </c>
      <c r="C38" s="309">
        <f t="shared" si="2"/>
        <v>83397</v>
      </c>
      <c r="D38" s="308">
        <v>68402</v>
      </c>
      <c r="E38" s="308">
        <v>0</v>
      </c>
      <c r="F38" s="308">
        <v>14995</v>
      </c>
      <c r="G38" s="308"/>
      <c r="H38" s="308">
        <f t="shared" si="3"/>
        <v>83397</v>
      </c>
      <c r="I38" s="308"/>
    </row>
    <row r="39" spans="1:22">
      <c r="B39" s="307" t="s">
        <v>277</v>
      </c>
      <c r="C39" s="309">
        <f t="shared" si="2"/>
        <v>1465585</v>
      </c>
      <c r="D39" s="308">
        <f>SUM(D24:D38)</f>
        <v>684403</v>
      </c>
      <c r="E39" s="308">
        <f>SUM(E24:E38)</f>
        <v>193139</v>
      </c>
      <c r="F39" s="308">
        <f>SUM(F24:F38)</f>
        <v>588043</v>
      </c>
      <c r="G39" s="308"/>
      <c r="H39" s="308">
        <f t="shared" si="3"/>
        <v>1465585</v>
      </c>
      <c r="I39" s="308"/>
    </row>
    <row r="40" spans="1:22">
      <c r="C40" s="309"/>
      <c r="D40" s="308"/>
      <c r="E40" s="308"/>
      <c r="F40" s="308"/>
      <c r="G40" s="308"/>
      <c r="H40" s="308"/>
      <c r="I40" s="308"/>
    </row>
    <row r="41" spans="1:22">
      <c r="B41" s="307" t="s">
        <v>278</v>
      </c>
      <c r="C41" s="309">
        <f>SUM(D41:F41)</f>
        <v>7692598</v>
      </c>
      <c r="D41" s="308">
        <f>D15+D21+D39</f>
        <v>4050701</v>
      </c>
      <c r="E41" s="308">
        <f>E15+E21+E39</f>
        <v>389722</v>
      </c>
      <c r="F41" s="308">
        <f>F15+F21+F39</f>
        <v>3252175</v>
      </c>
      <c r="G41" s="308">
        <v>172398</v>
      </c>
      <c r="H41" s="308">
        <f>SUM(D41:F41)</f>
        <v>7692598</v>
      </c>
      <c r="I41" s="308"/>
    </row>
    <row r="42" spans="1:22">
      <c r="C42" s="309"/>
      <c r="D42" s="308"/>
      <c r="E42" s="308"/>
      <c r="F42" s="308"/>
      <c r="G42" s="308"/>
      <c r="H42" s="308"/>
      <c r="I42" s="308"/>
    </row>
    <row r="43" spans="1:22">
      <c r="B43" s="307" t="s">
        <v>279</v>
      </c>
      <c r="C43" s="309">
        <f>SUM(D43:F43)</f>
        <v>8916843</v>
      </c>
      <c r="D43" s="308">
        <v>4651591</v>
      </c>
      <c r="E43" s="308">
        <v>537739</v>
      </c>
      <c r="F43" s="308">
        <v>3727513</v>
      </c>
      <c r="G43" s="308"/>
      <c r="H43" s="308">
        <f>SUM(D43:F43)</f>
        <v>8916843</v>
      </c>
      <c r="I43" s="308"/>
    </row>
    <row r="44" spans="1:22">
      <c r="C44" s="309"/>
      <c r="D44" s="308"/>
      <c r="E44" s="308"/>
      <c r="F44" s="308"/>
      <c r="G44" s="308"/>
      <c r="H44" s="308"/>
      <c r="I44" s="308"/>
    </row>
    <row r="45" spans="1:22">
      <c r="B45" s="307" t="s">
        <v>280</v>
      </c>
      <c r="C45" s="309">
        <f>SUM(D45:F45)</f>
        <v>1224245</v>
      </c>
      <c r="D45" s="308">
        <f>D43-D41</f>
        <v>600890</v>
      </c>
      <c r="E45" s="308">
        <f>E43-E41</f>
        <v>148017</v>
      </c>
      <c r="F45" s="308">
        <f>F43-F41</f>
        <v>475338</v>
      </c>
      <c r="G45" s="308"/>
      <c r="H45" s="308">
        <f>SUM(D45:F45)</f>
        <v>1224245</v>
      </c>
      <c r="I45" s="308"/>
    </row>
    <row r="46" spans="1:22">
      <c r="C46" s="309"/>
      <c r="D46" s="308"/>
      <c r="E46" s="308"/>
      <c r="F46" s="308"/>
      <c r="G46" s="308"/>
      <c r="H46" s="308"/>
      <c r="I46" s="308"/>
    </row>
    <row r="47" spans="1:22">
      <c r="B47" s="307" t="s">
        <v>281</v>
      </c>
      <c r="C47" s="309">
        <f>SUM(D47:F47)</f>
        <v>313472</v>
      </c>
      <c r="D47" s="308">
        <v>68571</v>
      </c>
      <c r="E47" s="308">
        <v>0</v>
      </c>
      <c r="F47" s="308">
        <v>244901</v>
      </c>
      <c r="G47" s="308"/>
      <c r="H47" s="308">
        <f>SUM(D47:F47)</f>
        <v>313472</v>
      </c>
      <c r="I47" s="308"/>
    </row>
    <row r="48" spans="1:22">
      <c r="B48" s="307" t="s">
        <v>282</v>
      </c>
      <c r="C48" s="309">
        <f>SUM(D48:F48)</f>
        <v>226313</v>
      </c>
      <c r="D48" s="308">
        <v>73583</v>
      </c>
      <c r="E48" s="308">
        <v>0</v>
      </c>
      <c r="F48" s="308">
        <v>152730</v>
      </c>
      <c r="G48" s="308"/>
      <c r="H48" s="308">
        <f>SUM(D48:F48)</f>
        <v>226313</v>
      </c>
      <c r="I48" s="308"/>
    </row>
    <row r="49" spans="2:9">
      <c r="D49" s="308"/>
      <c r="E49" s="308"/>
      <c r="F49" s="308"/>
      <c r="G49" s="308"/>
      <c r="H49" s="308"/>
      <c r="I49" s="308"/>
    </row>
    <row r="50" spans="2:9">
      <c r="B50" s="307" t="s">
        <v>283</v>
      </c>
      <c r="C50" s="308">
        <f>SUM(D50:G50)</f>
        <v>7985649</v>
      </c>
      <c r="D50" s="308">
        <v>4076396</v>
      </c>
      <c r="E50" s="308">
        <v>389727</v>
      </c>
      <c r="F50" s="308">
        <v>3347128</v>
      </c>
      <c r="G50" s="308">
        <f>172398</f>
        <v>172398</v>
      </c>
      <c r="H50" s="308">
        <f>SUM(D50:G50)</f>
        <v>7985649</v>
      </c>
      <c r="I50" s="308"/>
    </row>
    <row r="51" spans="2:9">
      <c r="D51" s="308"/>
      <c r="E51" s="308"/>
      <c r="F51" s="308"/>
      <c r="G51" s="308"/>
      <c r="H51" s="308"/>
      <c r="I51" s="308"/>
    </row>
    <row r="52" spans="2:9">
      <c r="D52" s="308"/>
      <c r="E52" s="308"/>
      <c r="F52" s="308"/>
      <c r="G52" s="308"/>
      <c r="H52" s="308"/>
      <c r="I52" s="308"/>
    </row>
    <row r="53" spans="2:9">
      <c r="B53" s="307" t="s">
        <v>284</v>
      </c>
      <c r="D53" s="308"/>
      <c r="E53" s="308"/>
      <c r="F53" s="308"/>
      <c r="G53" s="308"/>
      <c r="H53" s="308"/>
      <c r="I53" s="308"/>
    </row>
    <row r="54" spans="2:9">
      <c r="D54" s="308"/>
      <c r="E54" s="308"/>
      <c r="F54" s="308"/>
      <c r="G54" s="308"/>
      <c r="H54" s="308"/>
      <c r="I54" s="308"/>
    </row>
    <row r="55" spans="2:9">
      <c r="D55" s="308"/>
      <c r="E55" s="308"/>
      <c r="F55" s="308"/>
      <c r="G55" s="308"/>
      <c r="H55" s="308"/>
      <c r="I55" s="308"/>
    </row>
    <row r="56" spans="2:9">
      <c r="D56" s="308">
        <v>4050352</v>
      </c>
      <c r="E56" s="308">
        <v>389727</v>
      </c>
      <c r="F56" s="308">
        <v>3252184</v>
      </c>
      <c r="G56" s="308"/>
      <c r="H56" s="308"/>
      <c r="I56" s="308"/>
    </row>
    <row r="57" spans="2:9">
      <c r="D57" s="308">
        <f>D56-D41</f>
        <v>-349</v>
      </c>
      <c r="E57" s="308">
        <f>E56-E41</f>
        <v>5</v>
      </c>
      <c r="F57" s="308">
        <f>F56-F41</f>
        <v>9</v>
      </c>
      <c r="G57" s="308"/>
      <c r="H57" s="308"/>
      <c r="I57" s="308"/>
    </row>
    <row r="58" spans="2:9">
      <c r="D58" s="308"/>
      <c r="E58" s="308"/>
      <c r="F58" s="308"/>
      <c r="G58" s="308"/>
      <c r="H58" s="308"/>
      <c r="I58" s="308"/>
    </row>
    <row r="59" spans="2:9">
      <c r="D59" s="308"/>
      <c r="E59" s="308"/>
      <c r="F59" s="308"/>
      <c r="G59" s="308"/>
      <c r="H59" s="308"/>
      <c r="I59" s="308"/>
    </row>
    <row r="60" spans="2:9">
      <c r="D60" s="308"/>
      <c r="E60" s="308"/>
      <c r="F60" s="308"/>
      <c r="G60" s="308"/>
      <c r="H60" s="308"/>
      <c r="I60" s="308"/>
    </row>
    <row r="61" spans="2:9">
      <c r="D61" s="308"/>
      <c r="E61" s="308"/>
      <c r="F61" s="308"/>
      <c r="G61" s="308"/>
      <c r="H61" s="308"/>
      <c r="I61" s="308"/>
    </row>
    <row r="62" spans="2:9">
      <c r="D62" s="308"/>
      <c r="E62" s="308"/>
      <c r="F62" s="308"/>
      <c r="G62" s="308"/>
      <c r="H62" s="308"/>
      <c r="I62" s="308"/>
    </row>
    <row r="63" spans="2:9">
      <c r="D63" s="308"/>
      <c r="E63" s="308"/>
      <c r="F63" s="308"/>
      <c r="G63" s="308"/>
      <c r="H63" s="308"/>
      <c r="I63" s="308"/>
    </row>
    <row r="64" spans="2:9">
      <c r="D64" s="308"/>
      <c r="E64" s="308"/>
      <c r="F64" s="308"/>
      <c r="G64" s="308"/>
      <c r="H64" s="308"/>
      <c r="I64" s="308"/>
    </row>
    <row r="65" spans="4:9">
      <c r="D65" s="308"/>
      <c r="E65" s="308"/>
      <c r="F65" s="308"/>
      <c r="G65" s="308"/>
      <c r="H65" s="308"/>
      <c r="I65" s="308"/>
    </row>
    <row r="66" spans="4:9">
      <c r="D66" s="308"/>
      <c r="E66" s="308"/>
      <c r="F66" s="308"/>
      <c r="G66" s="308"/>
      <c r="H66" s="308"/>
      <c r="I66" s="308"/>
    </row>
    <row r="67" spans="4:9">
      <c r="D67" s="308"/>
      <c r="E67" s="308"/>
      <c r="F67" s="308"/>
      <c r="G67" s="308"/>
      <c r="H67" s="308"/>
      <c r="I67" s="308"/>
    </row>
    <row r="68" spans="4:9">
      <c r="D68" s="308"/>
      <c r="E68" s="308"/>
      <c r="F68" s="308"/>
      <c r="G68" s="308"/>
      <c r="H68" s="308"/>
      <c r="I68" s="308"/>
    </row>
    <row r="69" spans="4:9">
      <c r="D69" s="308"/>
      <c r="E69" s="308"/>
      <c r="F69" s="308"/>
      <c r="G69" s="308"/>
      <c r="H69" s="308"/>
      <c r="I69" s="308"/>
    </row>
    <row r="70" spans="4:9">
      <c r="D70" s="308"/>
      <c r="E70" s="308"/>
      <c r="F70" s="308"/>
      <c r="G70" s="308"/>
      <c r="H70" s="308"/>
      <c r="I70" s="308"/>
    </row>
    <row r="71" spans="4:9">
      <c r="D71" s="308"/>
      <c r="E71" s="308"/>
      <c r="F71" s="308"/>
      <c r="G71" s="308"/>
      <c r="H71" s="308"/>
      <c r="I71" s="308"/>
    </row>
    <row r="72" spans="4:9">
      <c r="D72" s="308"/>
      <c r="E72" s="308"/>
      <c r="F72" s="308"/>
      <c r="G72" s="308"/>
      <c r="H72" s="308"/>
      <c r="I72" s="308"/>
    </row>
    <row r="73" spans="4:9">
      <c r="D73" s="308"/>
      <c r="E73" s="308"/>
      <c r="F73" s="308"/>
      <c r="G73" s="308"/>
      <c r="H73" s="308"/>
      <c r="I73" s="308"/>
    </row>
    <row r="74" spans="4:9">
      <c r="D74" s="308"/>
      <c r="E74" s="308"/>
      <c r="F74" s="308"/>
      <c r="G74" s="308"/>
      <c r="H74" s="308"/>
      <c r="I74" s="308"/>
    </row>
    <row r="75" spans="4:9">
      <c r="D75" s="308"/>
      <c r="E75" s="308"/>
      <c r="F75" s="308"/>
      <c r="G75" s="308"/>
      <c r="H75" s="308"/>
      <c r="I75" s="308"/>
    </row>
    <row r="76" spans="4:9">
      <c r="D76" s="308"/>
      <c r="E76" s="308"/>
      <c r="F76" s="308"/>
      <c r="G76" s="308"/>
      <c r="H76" s="308"/>
      <c r="I76" s="308"/>
    </row>
    <row r="77" spans="4:9">
      <c r="D77" s="308"/>
      <c r="E77" s="308"/>
      <c r="F77" s="308"/>
      <c r="G77" s="308"/>
      <c r="H77" s="308"/>
      <c r="I77" s="308"/>
    </row>
    <row r="78" spans="4:9">
      <c r="D78" s="308"/>
      <c r="E78" s="308"/>
      <c r="F78" s="308"/>
      <c r="G78" s="308"/>
      <c r="H78" s="308"/>
      <c r="I78" s="308"/>
    </row>
    <row r="79" spans="4:9">
      <c r="D79" s="308"/>
      <c r="E79" s="308"/>
      <c r="F79" s="308"/>
      <c r="G79" s="308"/>
      <c r="H79" s="308"/>
      <c r="I79" s="308"/>
    </row>
    <row r="80" spans="4:9">
      <c r="D80" s="308"/>
      <c r="E80" s="308"/>
      <c r="F80" s="308"/>
      <c r="G80" s="308"/>
      <c r="H80" s="308"/>
      <c r="I80" s="308"/>
    </row>
    <row r="81" spans="4:9">
      <c r="D81" s="308"/>
      <c r="E81" s="308"/>
      <c r="F81" s="308"/>
      <c r="G81" s="308"/>
      <c r="H81" s="308"/>
      <c r="I81" s="308"/>
    </row>
    <row r="82" spans="4:9">
      <c r="D82" s="308"/>
      <c r="E82" s="308"/>
      <c r="F82" s="308"/>
      <c r="G82" s="308"/>
      <c r="H82" s="308"/>
      <c r="I82" s="308"/>
    </row>
    <row r="83" spans="4:9">
      <c r="D83" s="308"/>
      <c r="E83" s="308"/>
      <c r="F83" s="308"/>
      <c r="G83" s="308"/>
      <c r="H83" s="308"/>
      <c r="I83" s="308"/>
    </row>
    <row r="84" spans="4:9">
      <c r="D84" s="308"/>
      <c r="E84" s="308"/>
      <c r="F84" s="308"/>
      <c r="G84" s="308"/>
      <c r="H84" s="308"/>
      <c r="I84" s="308"/>
    </row>
    <row r="85" spans="4:9">
      <c r="D85" s="308"/>
      <c r="E85" s="308"/>
      <c r="F85" s="308"/>
      <c r="G85" s="308"/>
      <c r="H85" s="308"/>
      <c r="I85" s="308"/>
    </row>
    <row r="86" spans="4:9">
      <c r="D86" s="308"/>
      <c r="E86" s="308"/>
      <c r="F86" s="308"/>
      <c r="G86" s="308"/>
      <c r="H86" s="308"/>
      <c r="I86" s="308"/>
    </row>
    <row r="87" spans="4:9">
      <c r="D87" s="308"/>
      <c r="E87" s="308"/>
      <c r="F87" s="308"/>
      <c r="G87" s="308"/>
      <c r="H87" s="308"/>
      <c r="I87" s="308"/>
    </row>
    <row r="88" spans="4:9">
      <c r="D88" s="308"/>
      <c r="E88" s="308"/>
      <c r="F88" s="308"/>
      <c r="G88" s="308"/>
      <c r="H88" s="308"/>
      <c r="I88" s="308"/>
    </row>
    <row r="89" spans="4:9">
      <c r="D89" s="308"/>
      <c r="E89" s="308"/>
      <c r="F89" s="308"/>
      <c r="G89" s="308"/>
      <c r="H89" s="308"/>
      <c r="I89" s="308"/>
    </row>
    <row r="90" spans="4:9">
      <c r="D90" s="308"/>
      <c r="E90" s="308"/>
      <c r="F90" s="308"/>
      <c r="G90" s="308"/>
      <c r="H90" s="308"/>
      <c r="I90" s="308"/>
    </row>
    <row r="91" spans="4:9">
      <c r="D91" s="308"/>
      <c r="E91" s="308"/>
      <c r="F91" s="308"/>
      <c r="G91" s="308"/>
      <c r="H91" s="308"/>
      <c r="I91" s="308"/>
    </row>
    <row r="92" spans="4:9">
      <c r="D92" s="308"/>
      <c r="E92" s="308"/>
      <c r="F92" s="308"/>
      <c r="G92" s="308"/>
      <c r="H92" s="308"/>
      <c r="I92" s="308"/>
    </row>
    <row r="93" spans="4:9">
      <c r="D93" s="308"/>
      <c r="E93" s="308"/>
      <c r="F93" s="308"/>
      <c r="G93" s="308"/>
      <c r="H93" s="308"/>
      <c r="I93" s="308"/>
    </row>
    <row r="94" spans="4:9">
      <c r="D94" s="308"/>
      <c r="E94" s="308"/>
      <c r="F94" s="308"/>
      <c r="G94" s="308"/>
      <c r="H94" s="308"/>
      <c r="I94" s="308"/>
    </row>
    <row r="95" spans="4:9">
      <c r="D95" s="308"/>
      <c r="E95" s="308"/>
      <c r="F95" s="308"/>
      <c r="G95" s="308"/>
      <c r="H95" s="308"/>
      <c r="I95" s="308"/>
    </row>
    <row r="96" spans="4:9">
      <c r="D96" s="308"/>
      <c r="E96" s="308"/>
      <c r="F96" s="308"/>
      <c r="G96" s="308"/>
      <c r="H96" s="308"/>
      <c r="I96" s="308"/>
    </row>
    <row r="97" spans="4:9">
      <c r="D97" s="308"/>
      <c r="E97" s="308"/>
      <c r="F97" s="308"/>
      <c r="G97" s="308"/>
      <c r="H97" s="308"/>
      <c r="I97" s="308"/>
    </row>
    <row r="98" spans="4:9">
      <c r="D98" s="308"/>
      <c r="E98" s="308"/>
      <c r="F98" s="308"/>
      <c r="G98" s="308"/>
      <c r="H98" s="308"/>
      <c r="I98" s="308"/>
    </row>
    <row r="99" spans="4:9">
      <c r="D99" s="308"/>
      <c r="E99" s="308"/>
      <c r="F99" s="308"/>
      <c r="G99" s="308"/>
      <c r="H99" s="308"/>
      <c r="I99" s="308"/>
    </row>
    <row r="100" spans="4:9">
      <c r="D100" s="308"/>
      <c r="E100" s="308"/>
      <c r="F100" s="308"/>
      <c r="G100" s="308"/>
      <c r="H100" s="308"/>
      <c r="I100" s="308"/>
    </row>
    <row r="101" spans="4:9">
      <c r="D101" s="308"/>
      <c r="E101" s="308"/>
      <c r="F101" s="308"/>
      <c r="G101" s="308"/>
      <c r="H101" s="308"/>
      <c r="I101" s="308"/>
    </row>
    <row r="102" spans="4:9">
      <c r="D102" s="308"/>
      <c r="E102" s="308"/>
      <c r="F102" s="308"/>
      <c r="G102" s="308"/>
      <c r="H102" s="308"/>
      <c r="I102" s="308"/>
    </row>
    <row r="103" spans="4:9">
      <c r="D103" s="308"/>
      <c r="E103" s="308"/>
      <c r="F103" s="308"/>
      <c r="G103" s="308"/>
      <c r="H103" s="308"/>
      <c r="I103" s="308"/>
    </row>
    <row r="104" spans="4:9">
      <c r="D104" s="308"/>
      <c r="E104" s="308"/>
      <c r="F104" s="308"/>
      <c r="G104" s="308"/>
      <c r="H104" s="308"/>
      <c r="I104" s="308"/>
    </row>
    <row r="105" spans="4:9">
      <c r="D105" s="308"/>
      <c r="E105" s="308"/>
      <c r="F105" s="308"/>
      <c r="G105" s="308"/>
      <c r="H105" s="308"/>
      <c r="I105" s="308"/>
    </row>
    <row r="106" spans="4:9">
      <c r="D106" s="308"/>
      <c r="E106" s="308"/>
      <c r="F106" s="308"/>
      <c r="G106" s="308"/>
      <c r="H106" s="308"/>
      <c r="I106" s="308"/>
    </row>
    <row r="107" spans="4:9">
      <c r="D107" s="308"/>
      <c r="E107" s="308"/>
      <c r="F107" s="308"/>
      <c r="G107" s="308"/>
      <c r="H107" s="308"/>
      <c r="I107" s="308"/>
    </row>
    <row r="108" spans="4:9">
      <c r="D108" s="308"/>
      <c r="E108" s="308"/>
      <c r="F108" s="308"/>
      <c r="G108" s="308"/>
      <c r="H108" s="308"/>
      <c r="I108" s="308"/>
    </row>
    <row r="109" spans="4:9">
      <c r="D109" s="308"/>
      <c r="E109" s="308"/>
      <c r="F109" s="308"/>
      <c r="G109" s="308"/>
      <c r="H109" s="308"/>
      <c r="I109" s="308"/>
    </row>
    <row r="110" spans="4:9">
      <c r="D110" s="308"/>
      <c r="E110" s="308"/>
      <c r="F110" s="308"/>
      <c r="G110" s="308"/>
      <c r="H110" s="308"/>
      <c r="I110" s="308"/>
    </row>
    <row r="111" spans="4:9">
      <c r="D111" s="308"/>
      <c r="E111" s="308"/>
      <c r="F111" s="308"/>
      <c r="G111" s="308"/>
      <c r="H111" s="308"/>
      <c r="I111" s="308"/>
    </row>
    <row r="112" spans="4:9">
      <c r="D112" s="308"/>
      <c r="E112" s="308"/>
      <c r="F112" s="308"/>
      <c r="G112" s="308"/>
      <c r="H112" s="308"/>
      <c r="I112" s="308"/>
    </row>
    <row r="113" spans="4:9">
      <c r="D113" s="308"/>
      <c r="E113" s="308"/>
      <c r="F113" s="308"/>
      <c r="G113" s="308"/>
      <c r="H113" s="308"/>
      <c r="I113" s="308"/>
    </row>
    <row r="114" spans="4:9">
      <c r="D114" s="308"/>
      <c r="E114" s="308"/>
      <c r="F114" s="308"/>
      <c r="G114" s="308"/>
      <c r="H114" s="308"/>
      <c r="I114" s="308"/>
    </row>
    <row r="115" spans="4:9">
      <c r="D115" s="308"/>
      <c r="E115" s="308"/>
      <c r="F115" s="308"/>
      <c r="G115" s="308"/>
      <c r="H115" s="308"/>
      <c r="I115" s="308"/>
    </row>
    <row r="116" spans="4:9">
      <c r="D116" s="308"/>
      <c r="E116" s="308"/>
      <c r="F116" s="308"/>
      <c r="G116" s="308"/>
      <c r="H116" s="308"/>
      <c r="I116" s="308"/>
    </row>
    <row r="117" spans="4:9">
      <c r="D117" s="308"/>
      <c r="E117" s="308"/>
      <c r="F117" s="308"/>
      <c r="G117" s="308"/>
      <c r="H117" s="308"/>
      <c r="I117" s="308"/>
    </row>
    <row r="118" spans="4:9">
      <c r="D118" s="308"/>
      <c r="E118" s="308"/>
      <c r="F118" s="308"/>
      <c r="G118" s="308"/>
      <c r="H118" s="308"/>
      <c r="I118" s="308"/>
    </row>
    <row r="119" spans="4:9">
      <c r="D119" s="308"/>
      <c r="E119" s="308"/>
      <c r="F119" s="308"/>
      <c r="G119" s="308"/>
      <c r="H119" s="308"/>
      <c r="I119" s="308"/>
    </row>
    <row r="120" spans="4:9">
      <c r="D120" s="308"/>
      <c r="E120" s="308"/>
      <c r="F120" s="308"/>
      <c r="G120" s="308"/>
      <c r="H120" s="308"/>
      <c r="I120" s="308"/>
    </row>
    <row r="121" spans="4:9">
      <c r="D121" s="308"/>
      <c r="E121" s="308"/>
      <c r="F121" s="308"/>
      <c r="G121" s="308"/>
      <c r="H121" s="308"/>
      <c r="I121" s="308"/>
    </row>
    <row r="122" spans="4:9">
      <c r="D122" s="308"/>
      <c r="E122" s="308"/>
      <c r="F122" s="308"/>
      <c r="G122" s="308"/>
      <c r="H122" s="308"/>
      <c r="I122" s="308"/>
    </row>
    <row r="123" spans="4:9">
      <c r="D123" s="308"/>
      <c r="E123" s="308"/>
      <c r="F123" s="308"/>
      <c r="G123" s="308"/>
      <c r="H123" s="308"/>
      <c r="I123" s="308"/>
    </row>
    <row r="124" spans="4:9">
      <c r="D124" s="308"/>
      <c r="E124" s="308"/>
      <c r="F124" s="308"/>
      <c r="G124" s="308"/>
      <c r="H124" s="308"/>
      <c r="I124" s="308"/>
    </row>
    <row r="125" spans="4:9">
      <c r="D125" s="308"/>
      <c r="E125" s="308"/>
      <c r="F125" s="308"/>
      <c r="G125" s="308"/>
      <c r="H125" s="308"/>
      <c r="I125" s="308"/>
    </row>
    <row r="126" spans="4:9">
      <c r="D126" s="308"/>
      <c r="E126" s="308"/>
      <c r="F126" s="308"/>
      <c r="G126" s="308"/>
      <c r="H126" s="308"/>
      <c r="I126" s="308"/>
    </row>
    <row r="127" spans="4:9">
      <c r="D127" s="308"/>
      <c r="E127" s="308"/>
      <c r="F127" s="308"/>
      <c r="G127" s="308"/>
      <c r="H127" s="308"/>
      <c r="I127" s="308"/>
    </row>
    <row r="128" spans="4:9">
      <c r="D128" s="308"/>
      <c r="E128" s="308"/>
      <c r="F128" s="308"/>
      <c r="G128" s="308"/>
      <c r="H128" s="308"/>
      <c r="I128" s="308"/>
    </row>
    <row r="129" spans="4:9">
      <c r="D129" s="308"/>
      <c r="E129" s="308"/>
      <c r="F129" s="308"/>
      <c r="G129" s="308"/>
      <c r="H129" s="308"/>
      <c r="I129" s="308"/>
    </row>
    <row r="130" spans="4:9">
      <c r="D130" s="308"/>
      <c r="E130" s="308"/>
      <c r="F130" s="308"/>
      <c r="G130" s="308"/>
      <c r="H130" s="308"/>
      <c r="I130" s="308"/>
    </row>
    <row r="131" spans="4:9">
      <c r="D131" s="308"/>
      <c r="E131" s="308"/>
      <c r="F131" s="308"/>
      <c r="G131" s="308"/>
      <c r="H131" s="308"/>
      <c r="I131" s="308"/>
    </row>
    <row r="132" spans="4:9">
      <c r="D132" s="308"/>
      <c r="E132" s="308"/>
      <c r="F132" s="308"/>
      <c r="G132" s="308"/>
      <c r="H132" s="308"/>
      <c r="I132" s="308"/>
    </row>
    <row r="133" spans="4:9">
      <c r="D133" s="308"/>
      <c r="E133" s="308"/>
      <c r="F133" s="308"/>
      <c r="G133" s="308"/>
      <c r="H133" s="308"/>
      <c r="I133" s="308"/>
    </row>
    <row r="134" spans="4:9">
      <c r="D134" s="308"/>
      <c r="E134" s="308"/>
      <c r="F134" s="308"/>
      <c r="G134" s="308"/>
      <c r="H134" s="308"/>
      <c r="I134" s="308"/>
    </row>
    <row r="135" spans="4:9">
      <c r="D135" s="308"/>
      <c r="E135" s="308"/>
      <c r="F135" s="308"/>
      <c r="G135" s="308"/>
      <c r="H135" s="308"/>
      <c r="I135" s="308"/>
    </row>
    <row r="136" spans="4:9">
      <c r="D136" s="308"/>
      <c r="E136" s="308"/>
      <c r="F136" s="308"/>
      <c r="G136" s="308"/>
      <c r="H136" s="308"/>
      <c r="I136" s="308"/>
    </row>
    <row r="137" spans="4:9">
      <c r="D137" s="308"/>
      <c r="E137" s="308"/>
      <c r="F137" s="308"/>
      <c r="G137" s="308"/>
      <c r="H137" s="308"/>
      <c r="I137" s="308"/>
    </row>
    <row r="138" spans="4:9">
      <c r="D138" s="308"/>
      <c r="E138" s="308"/>
      <c r="F138" s="308"/>
      <c r="G138" s="308"/>
      <c r="H138" s="308"/>
      <c r="I138" s="308"/>
    </row>
    <row r="139" spans="4:9">
      <c r="D139" s="308"/>
      <c r="E139" s="308"/>
      <c r="F139" s="308"/>
      <c r="G139" s="308"/>
      <c r="H139" s="308"/>
      <c r="I139" s="308"/>
    </row>
    <row r="140" spans="4:9">
      <c r="D140" s="308"/>
      <c r="E140" s="308"/>
      <c r="F140" s="308"/>
      <c r="G140" s="308"/>
      <c r="H140" s="308"/>
      <c r="I140" s="308"/>
    </row>
    <row r="141" spans="4:9">
      <c r="D141" s="308"/>
      <c r="E141" s="308"/>
      <c r="F141" s="308"/>
      <c r="G141" s="308"/>
      <c r="H141" s="308"/>
      <c r="I141" s="308"/>
    </row>
    <row r="142" spans="4:9">
      <c r="D142" s="308"/>
      <c r="E142" s="308"/>
      <c r="F142" s="308"/>
      <c r="G142" s="308"/>
      <c r="H142" s="308"/>
      <c r="I142" s="308"/>
    </row>
    <row r="143" spans="4:9">
      <c r="D143" s="308"/>
      <c r="E143" s="308"/>
      <c r="F143" s="308"/>
      <c r="G143" s="308"/>
      <c r="H143" s="308"/>
      <c r="I143" s="308"/>
    </row>
    <row r="144" spans="4:9">
      <c r="D144" s="308"/>
      <c r="E144" s="308"/>
      <c r="F144" s="308"/>
      <c r="G144" s="308"/>
      <c r="H144" s="308"/>
      <c r="I144" s="308"/>
    </row>
    <row r="145" spans="4:9">
      <c r="D145" s="308"/>
      <c r="E145" s="308"/>
      <c r="F145" s="308"/>
      <c r="G145" s="308"/>
      <c r="H145" s="308"/>
      <c r="I145" s="308"/>
    </row>
    <row r="146" spans="4:9">
      <c r="D146" s="308"/>
      <c r="E146" s="308"/>
      <c r="F146" s="308"/>
      <c r="G146" s="308"/>
      <c r="H146" s="308"/>
      <c r="I146" s="308"/>
    </row>
    <row r="147" spans="4:9">
      <c r="D147" s="308"/>
      <c r="E147" s="308"/>
      <c r="F147" s="308"/>
      <c r="G147" s="308"/>
      <c r="H147" s="308"/>
      <c r="I147" s="308"/>
    </row>
    <row r="148" spans="4:9">
      <c r="D148" s="308"/>
      <c r="E148" s="308"/>
      <c r="F148" s="308"/>
      <c r="G148" s="308"/>
      <c r="H148" s="308"/>
      <c r="I148" s="308"/>
    </row>
    <row r="149" spans="4:9">
      <c r="D149" s="308"/>
      <c r="E149" s="308"/>
      <c r="F149" s="308"/>
      <c r="G149" s="308"/>
      <c r="H149" s="308"/>
      <c r="I149" s="308"/>
    </row>
    <row r="150" spans="4:9">
      <c r="D150" s="308"/>
      <c r="E150" s="308"/>
      <c r="F150" s="308"/>
      <c r="G150" s="308"/>
      <c r="H150" s="308"/>
      <c r="I150" s="308"/>
    </row>
    <row r="151" spans="4:9">
      <c r="D151" s="308"/>
      <c r="E151" s="308"/>
      <c r="F151" s="308"/>
      <c r="G151" s="308"/>
      <c r="H151" s="308"/>
      <c r="I151" s="308"/>
    </row>
    <row r="152" spans="4:9">
      <c r="D152" s="308"/>
      <c r="E152" s="308"/>
      <c r="F152" s="308"/>
      <c r="G152" s="308"/>
      <c r="H152" s="308"/>
      <c r="I152" s="308"/>
    </row>
    <row r="153" spans="4:9">
      <c r="D153" s="308"/>
      <c r="E153" s="308"/>
      <c r="F153" s="308"/>
      <c r="G153" s="308"/>
      <c r="H153" s="308"/>
      <c r="I153" s="308"/>
    </row>
    <row r="154" spans="4:9">
      <c r="D154" s="308"/>
      <c r="E154" s="308"/>
      <c r="F154" s="308"/>
      <c r="G154" s="308"/>
      <c r="H154" s="308"/>
      <c r="I154" s="308"/>
    </row>
    <row r="155" spans="4:9">
      <c r="D155" s="308"/>
      <c r="E155" s="308"/>
      <c r="F155" s="308"/>
      <c r="G155" s="308"/>
      <c r="H155" s="308"/>
      <c r="I155" s="308"/>
    </row>
    <row r="156" spans="4:9">
      <c r="D156" s="308"/>
      <c r="E156" s="308"/>
      <c r="F156" s="308"/>
      <c r="G156" s="308"/>
      <c r="H156" s="308"/>
      <c r="I156" s="308"/>
    </row>
    <row r="157" spans="4:9">
      <c r="D157" s="308"/>
      <c r="E157" s="308"/>
      <c r="F157" s="308"/>
      <c r="G157" s="308"/>
      <c r="H157" s="308"/>
      <c r="I157" s="308"/>
    </row>
    <row r="158" spans="4:9">
      <c r="D158" s="308"/>
      <c r="E158" s="308"/>
      <c r="F158" s="308"/>
      <c r="G158" s="308"/>
      <c r="H158" s="308"/>
      <c r="I158" s="308"/>
    </row>
    <row r="159" spans="4:9">
      <c r="D159" s="308"/>
      <c r="E159" s="308"/>
      <c r="F159" s="308"/>
      <c r="G159" s="308"/>
      <c r="H159" s="308"/>
      <c r="I159" s="308"/>
    </row>
    <row r="160" spans="4:9">
      <c r="D160" s="308"/>
      <c r="E160" s="308"/>
      <c r="F160" s="308"/>
      <c r="G160" s="308"/>
      <c r="H160" s="308"/>
      <c r="I160" s="308"/>
    </row>
    <row r="161" spans="4:9">
      <c r="D161" s="308"/>
      <c r="E161" s="308"/>
      <c r="F161" s="308"/>
      <c r="G161" s="308"/>
      <c r="H161" s="308"/>
      <c r="I161" s="308"/>
    </row>
    <row r="162" spans="4:9">
      <c r="D162" s="308"/>
      <c r="E162" s="308"/>
      <c r="F162" s="308"/>
      <c r="G162" s="308"/>
      <c r="H162" s="308"/>
      <c r="I162" s="308"/>
    </row>
    <row r="163" spans="4:9">
      <c r="D163" s="308"/>
      <c r="E163" s="308"/>
      <c r="F163" s="308"/>
      <c r="G163" s="308"/>
      <c r="H163" s="308"/>
      <c r="I163" s="308"/>
    </row>
    <row r="164" spans="4:9">
      <c r="D164" s="308"/>
      <c r="E164" s="308"/>
      <c r="F164" s="308"/>
      <c r="G164" s="308"/>
      <c r="H164" s="308"/>
      <c r="I164" s="308"/>
    </row>
    <row r="165" spans="4:9">
      <c r="D165" s="308"/>
      <c r="E165" s="308"/>
      <c r="F165" s="308"/>
      <c r="G165" s="308"/>
      <c r="H165" s="308"/>
      <c r="I165" s="308"/>
    </row>
    <row r="166" spans="4:9">
      <c r="D166" s="308"/>
      <c r="E166" s="308"/>
      <c r="F166" s="308"/>
      <c r="G166" s="308"/>
      <c r="H166" s="308"/>
      <c r="I166" s="308"/>
    </row>
    <row r="167" spans="4:9">
      <c r="D167" s="308"/>
      <c r="E167" s="308"/>
      <c r="F167" s="308"/>
      <c r="G167" s="308"/>
      <c r="H167" s="308"/>
      <c r="I167" s="308"/>
    </row>
    <row r="168" spans="4:9">
      <c r="D168" s="308"/>
      <c r="E168" s="308"/>
      <c r="F168" s="308"/>
      <c r="G168" s="308"/>
      <c r="H168" s="308"/>
      <c r="I168" s="308"/>
    </row>
    <row r="169" spans="4:9">
      <c r="D169" s="308"/>
      <c r="E169" s="308"/>
      <c r="F169" s="308"/>
      <c r="G169" s="308"/>
      <c r="H169" s="308"/>
      <c r="I169" s="308"/>
    </row>
    <row r="170" spans="4:9">
      <c r="D170" s="308"/>
      <c r="E170" s="308"/>
      <c r="F170" s="308"/>
      <c r="G170" s="308"/>
      <c r="H170" s="308"/>
      <c r="I170" s="308"/>
    </row>
    <row r="171" spans="4:9">
      <c r="D171" s="308"/>
      <c r="E171" s="308"/>
      <c r="F171" s="308"/>
      <c r="G171" s="308"/>
      <c r="H171" s="308"/>
      <c r="I171" s="308"/>
    </row>
    <row r="172" spans="4:9">
      <c r="D172" s="308"/>
      <c r="E172" s="308"/>
      <c r="F172" s="308"/>
      <c r="G172" s="308"/>
      <c r="H172" s="308"/>
      <c r="I172" s="308"/>
    </row>
    <row r="173" spans="4:9">
      <c r="D173" s="308"/>
      <c r="E173" s="308"/>
      <c r="F173" s="308"/>
      <c r="G173" s="308"/>
      <c r="H173" s="308"/>
      <c r="I173" s="308"/>
    </row>
    <row r="174" spans="4:9">
      <c r="D174" s="308"/>
      <c r="E174" s="308"/>
      <c r="F174" s="308"/>
      <c r="G174" s="308"/>
      <c r="H174" s="308"/>
      <c r="I174" s="308"/>
    </row>
    <row r="175" spans="4:9">
      <c r="D175" s="308"/>
      <c r="E175" s="308"/>
      <c r="F175" s="308"/>
      <c r="G175" s="308"/>
      <c r="H175" s="308"/>
      <c r="I175" s="308"/>
    </row>
    <row r="176" spans="4:9">
      <c r="D176" s="308"/>
      <c r="E176" s="308"/>
      <c r="F176" s="308"/>
      <c r="G176" s="308"/>
      <c r="H176" s="308"/>
      <c r="I176" s="308"/>
    </row>
    <row r="177" spans="4:9">
      <c r="D177" s="308"/>
      <c r="E177" s="308"/>
      <c r="F177" s="308"/>
      <c r="G177" s="308"/>
      <c r="H177" s="308"/>
      <c r="I177" s="308"/>
    </row>
    <row r="178" spans="4:9">
      <c r="D178" s="308"/>
      <c r="E178" s="308"/>
      <c r="F178" s="308"/>
      <c r="G178" s="308"/>
      <c r="H178" s="308"/>
      <c r="I178" s="308"/>
    </row>
    <row r="179" spans="4:9">
      <c r="D179" s="308"/>
      <c r="E179" s="308"/>
      <c r="F179" s="308"/>
      <c r="G179" s="308"/>
      <c r="H179" s="308"/>
      <c r="I179" s="308"/>
    </row>
    <row r="180" spans="4:9">
      <c r="D180" s="308"/>
      <c r="E180" s="308"/>
      <c r="F180" s="308"/>
      <c r="G180" s="308"/>
      <c r="H180" s="308"/>
      <c r="I180" s="308"/>
    </row>
    <row r="181" spans="4:9">
      <c r="D181" s="308"/>
      <c r="E181" s="308"/>
      <c r="F181" s="308"/>
      <c r="G181" s="308"/>
      <c r="H181" s="308"/>
      <c r="I181" s="308"/>
    </row>
    <row r="182" spans="4:9">
      <c r="D182" s="308"/>
      <c r="E182" s="308"/>
      <c r="F182" s="308"/>
      <c r="G182" s="308"/>
      <c r="H182" s="308"/>
      <c r="I182" s="308"/>
    </row>
    <row r="183" spans="4:9">
      <c r="D183" s="308"/>
      <c r="E183" s="308"/>
      <c r="F183" s="308"/>
      <c r="G183" s="308"/>
      <c r="H183" s="308"/>
      <c r="I183" s="308"/>
    </row>
    <row r="184" spans="4:9">
      <c r="D184" s="308"/>
      <c r="E184" s="308"/>
      <c r="F184" s="308"/>
      <c r="G184" s="308"/>
      <c r="H184" s="308"/>
      <c r="I184" s="308"/>
    </row>
    <row r="185" spans="4:9">
      <c r="D185" s="308"/>
      <c r="E185" s="308"/>
      <c r="F185" s="308"/>
      <c r="G185" s="308"/>
      <c r="H185" s="308"/>
      <c r="I185" s="308"/>
    </row>
    <row r="186" spans="4:9">
      <c r="D186" s="308"/>
      <c r="E186" s="308"/>
      <c r="F186" s="308"/>
      <c r="G186" s="308"/>
      <c r="H186" s="308"/>
      <c r="I186" s="308"/>
    </row>
    <row r="187" spans="4:9">
      <c r="D187" s="308"/>
      <c r="E187" s="308"/>
      <c r="F187" s="308"/>
      <c r="G187" s="308"/>
      <c r="H187" s="308"/>
      <c r="I187" s="308"/>
    </row>
    <row r="188" spans="4:9">
      <c r="D188" s="308"/>
      <c r="E188" s="308"/>
      <c r="F188" s="308"/>
      <c r="G188" s="308"/>
      <c r="H188" s="308"/>
      <c r="I188" s="308"/>
    </row>
    <row r="189" spans="4:9">
      <c r="D189" s="308"/>
      <c r="E189" s="308"/>
      <c r="F189" s="308"/>
      <c r="G189" s="308"/>
      <c r="H189" s="308"/>
      <c r="I189" s="308"/>
    </row>
    <row r="190" spans="4:9">
      <c r="D190" s="308"/>
      <c r="E190" s="308"/>
      <c r="F190" s="308"/>
      <c r="G190" s="308"/>
      <c r="H190" s="308"/>
      <c r="I190" s="308"/>
    </row>
    <row r="191" spans="4:9">
      <c r="D191" s="308"/>
      <c r="E191" s="308"/>
      <c r="F191" s="308"/>
      <c r="G191" s="308"/>
      <c r="H191" s="308"/>
      <c r="I191" s="308"/>
    </row>
    <row r="192" spans="4:9">
      <c r="D192" s="308"/>
      <c r="E192" s="308"/>
      <c r="F192" s="308"/>
      <c r="G192" s="308"/>
      <c r="H192" s="308"/>
      <c r="I192" s="308"/>
    </row>
    <row r="193" spans="4:9">
      <c r="D193" s="308"/>
      <c r="E193" s="308"/>
      <c r="F193" s="308"/>
      <c r="G193" s="308"/>
      <c r="H193" s="308"/>
      <c r="I193" s="308"/>
    </row>
    <row r="194" spans="4:9">
      <c r="D194" s="308"/>
      <c r="E194" s="308"/>
      <c r="F194" s="308"/>
      <c r="G194" s="308"/>
      <c r="H194" s="308"/>
      <c r="I194" s="308"/>
    </row>
    <row r="195" spans="4:9">
      <c r="D195" s="308"/>
      <c r="E195" s="308"/>
      <c r="F195" s="308"/>
      <c r="G195" s="308"/>
      <c r="H195" s="308"/>
      <c r="I195" s="308"/>
    </row>
    <row r="196" spans="4:9">
      <c r="D196" s="308"/>
      <c r="E196" s="308"/>
      <c r="F196" s="308"/>
      <c r="G196" s="308"/>
      <c r="H196" s="308"/>
      <c r="I196" s="308"/>
    </row>
    <row r="197" spans="4:9">
      <c r="D197" s="308"/>
      <c r="E197" s="308"/>
      <c r="F197" s="308"/>
      <c r="G197" s="308"/>
      <c r="H197" s="308"/>
      <c r="I197" s="308"/>
    </row>
    <row r="198" spans="4:9">
      <c r="D198" s="308"/>
      <c r="E198" s="308"/>
      <c r="F198" s="308"/>
      <c r="G198" s="308"/>
      <c r="H198" s="308"/>
      <c r="I198" s="308"/>
    </row>
    <row r="199" spans="4:9">
      <c r="D199" s="308"/>
      <c r="E199" s="308"/>
      <c r="F199" s="308"/>
      <c r="G199" s="308"/>
      <c r="H199" s="308"/>
      <c r="I199" s="308"/>
    </row>
    <row r="200" spans="4:9">
      <c r="D200" s="308"/>
      <c r="E200" s="308"/>
      <c r="F200" s="308"/>
      <c r="G200" s="308"/>
      <c r="H200" s="308"/>
      <c r="I200" s="308"/>
    </row>
    <row r="201" spans="4:9">
      <c r="D201" s="308"/>
      <c r="E201" s="308"/>
      <c r="F201" s="308"/>
      <c r="G201" s="308"/>
      <c r="H201" s="308"/>
      <c r="I201" s="308"/>
    </row>
    <row r="202" spans="4:9">
      <c r="D202" s="308"/>
      <c r="E202" s="308"/>
      <c r="F202" s="308"/>
      <c r="G202" s="308"/>
      <c r="H202" s="308"/>
      <c r="I202" s="308"/>
    </row>
    <row r="203" spans="4:9">
      <c r="D203" s="308"/>
      <c r="E203" s="308"/>
      <c r="F203" s="308"/>
      <c r="G203" s="308"/>
      <c r="H203" s="308"/>
      <c r="I203" s="308"/>
    </row>
    <row r="204" spans="4:9">
      <c r="D204" s="308"/>
      <c r="E204" s="308"/>
      <c r="F204" s="308"/>
      <c r="G204" s="308"/>
      <c r="H204" s="308"/>
      <c r="I204" s="308"/>
    </row>
    <row r="205" spans="4:9">
      <c r="D205" s="308"/>
      <c r="E205" s="308"/>
      <c r="F205" s="308"/>
      <c r="G205" s="308"/>
      <c r="H205" s="308"/>
      <c r="I205" s="308"/>
    </row>
    <row r="206" spans="4:9">
      <c r="D206" s="308"/>
      <c r="E206" s="308"/>
      <c r="F206" s="308"/>
      <c r="G206" s="308"/>
      <c r="H206" s="308"/>
      <c r="I206" s="308"/>
    </row>
    <row r="207" spans="4:9">
      <c r="D207" s="308"/>
      <c r="E207" s="308"/>
      <c r="F207" s="308"/>
      <c r="G207" s="308"/>
      <c r="H207" s="308"/>
      <c r="I207" s="308"/>
    </row>
    <row r="208" spans="4:9">
      <c r="D208" s="308"/>
      <c r="E208" s="308"/>
      <c r="F208" s="308"/>
      <c r="G208" s="308"/>
      <c r="H208" s="308"/>
      <c r="I208" s="308"/>
    </row>
    <row r="209" spans="4:9">
      <c r="D209" s="308"/>
      <c r="E209" s="308"/>
      <c r="F209" s="308"/>
      <c r="G209" s="308"/>
      <c r="H209" s="308"/>
      <c r="I209" s="308"/>
    </row>
    <row r="210" spans="4:9">
      <c r="D210" s="308"/>
      <c r="E210" s="308"/>
      <c r="F210" s="308"/>
      <c r="G210" s="308"/>
      <c r="H210" s="308"/>
      <c r="I210" s="308"/>
    </row>
    <row r="211" spans="4:9">
      <c r="D211" s="308"/>
      <c r="E211" s="308"/>
      <c r="F211" s="308"/>
      <c r="G211" s="308"/>
      <c r="H211" s="308"/>
      <c r="I211" s="308"/>
    </row>
    <row r="212" spans="4:9">
      <c r="D212" s="308"/>
      <c r="E212" s="308"/>
      <c r="F212" s="308"/>
      <c r="G212" s="308"/>
      <c r="H212" s="308"/>
      <c r="I212" s="308"/>
    </row>
    <row r="213" spans="4:9">
      <c r="D213" s="308"/>
      <c r="E213" s="308"/>
      <c r="F213" s="308"/>
      <c r="G213" s="308"/>
      <c r="H213" s="308"/>
      <c r="I213" s="308"/>
    </row>
    <row r="214" spans="4:9">
      <c r="D214" s="308"/>
      <c r="E214" s="308"/>
      <c r="F214" s="308"/>
      <c r="G214" s="308"/>
      <c r="H214" s="308"/>
      <c r="I214" s="308"/>
    </row>
    <row r="215" spans="4:9">
      <c r="D215" s="308"/>
      <c r="E215" s="308"/>
      <c r="F215" s="308"/>
      <c r="G215" s="308"/>
      <c r="H215" s="308"/>
      <c r="I215" s="308"/>
    </row>
    <row r="216" spans="4:9">
      <c r="D216" s="308"/>
      <c r="E216" s="308"/>
      <c r="F216" s="308"/>
      <c r="G216" s="308"/>
      <c r="H216" s="308"/>
      <c r="I216" s="308"/>
    </row>
    <row r="217" spans="4:9">
      <c r="D217" s="308"/>
      <c r="E217" s="308"/>
      <c r="F217" s="308"/>
      <c r="G217" s="308"/>
      <c r="H217" s="308"/>
      <c r="I217" s="308"/>
    </row>
    <row r="218" spans="4:9">
      <c r="D218" s="308"/>
      <c r="E218" s="308"/>
      <c r="F218" s="308"/>
      <c r="G218" s="308"/>
      <c r="H218" s="308"/>
      <c r="I218" s="308"/>
    </row>
    <row r="219" spans="4:9">
      <c r="D219" s="308"/>
      <c r="E219" s="308"/>
      <c r="F219" s="308"/>
      <c r="G219" s="308"/>
      <c r="H219" s="308"/>
      <c r="I219" s="308"/>
    </row>
    <row r="220" spans="4:9">
      <c r="D220" s="308"/>
      <c r="E220" s="308"/>
      <c r="F220" s="308"/>
      <c r="G220" s="308"/>
      <c r="H220" s="308"/>
      <c r="I220" s="308"/>
    </row>
    <row r="221" spans="4:9">
      <c r="D221" s="308"/>
      <c r="E221" s="308"/>
      <c r="F221" s="308"/>
      <c r="G221" s="308"/>
      <c r="H221" s="308"/>
      <c r="I221" s="308"/>
    </row>
    <row r="222" spans="4:9">
      <c r="D222" s="308"/>
      <c r="E222" s="308"/>
      <c r="F222" s="308"/>
      <c r="G222" s="308"/>
      <c r="H222" s="308"/>
      <c r="I222" s="308"/>
    </row>
    <row r="223" spans="4:9">
      <c r="D223" s="308"/>
      <c r="E223" s="308"/>
      <c r="F223" s="308"/>
      <c r="G223" s="308"/>
      <c r="H223" s="308"/>
      <c r="I223" s="308"/>
    </row>
    <row r="224" spans="4:9">
      <c r="D224" s="308"/>
      <c r="E224" s="308"/>
      <c r="F224" s="308"/>
      <c r="G224" s="308"/>
      <c r="H224" s="308"/>
      <c r="I224" s="308"/>
    </row>
    <row r="225" spans="4:9">
      <c r="D225" s="308"/>
      <c r="E225" s="308"/>
      <c r="F225" s="308"/>
      <c r="G225" s="308"/>
      <c r="H225" s="308"/>
      <c r="I225" s="308"/>
    </row>
    <row r="226" spans="4:9">
      <c r="D226" s="308"/>
      <c r="E226" s="308"/>
      <c r="F226" s="308"/>
      <c r="G226" s="308"/>
      <c r="H226" s="308"/>
      <c r="I226" s="308"/>
    </row>
    <row r="227" spans="4:9">
      <c r="D227" s="308"/>
      <c r="E227" s="308"/>
      <c r="F227" s="308"/>
      <c r="G227" s="308"/>
      <c r="H227" s="308"/>
      <c r="I227" s="308"/>
    </row>
    <row r="228" spans="4:9">
      <c r="D228" s="308"/>
      <c r="E228" s="308"/>
      <c r="F228" s="308"/>
      <c r="G228" s="308"/>
      <c r="H228" s="308"/>
      <c r="I228" s="308"/>
    </row>
    <row r="229" spans="4:9">
      <c r="D229" s="308"/>
      <c r="E229" s="308"/>
      <c r="F229" s="308"/>
      <c r="G229" s="308"/>
      <c r="H229" s="308"/>
      <c r="I229" s="308"/>
    </row>
    <row r="230" spans="4:9">
      <c r="D230" s="308"/>
      <c r="E230" s="308"/>
      <c r="F230" s="308"/>
      <c r="G230" s="308"/>
      <c r="H230" s="308"/>
      <c r="I230" s="308"/>
    </row>
    <row r="231" spans="4:9">
      <c r="D231" s="308"/>
      <c r="E231" s="308"/>
      <c r="F231" s="308"/>
      <c r="G231" s="308"/>
      <c r="H231" s="308"/>
      <c r="I231" s="308"/>
    </row>
    <row r="232" spans="4:9">
      <c r="D232" s="308"/>
      <c r="E232" s="308"/>
      <c r="F232" s="308"/>
      <c r="G232" s="308"/>
      <c r="H232" s="308"/>
      <c r="I232" s="308"/>
    </row>
    <row r="233" spans="4:9">
      <c r="D233" s="308"/>
      <c r="E233" s="308"/>
      <c r="F233" s="308"/>
      <c r="G233" s="308"/>
      <c r="H233" s="308"/>
      <c r="I233" s="308"/>
    </row>
    <row r="234" spans="4:9">
      <c r="D234" s="308"/>
      <c r="E234" s="308"/>
      <c r="F234" s="308"/>
      <c r="G234" s="308"/>
      <c r="H234" s="308"/>
      <c r="I234" s="308"/>
    </row>
    <row r="235" spans="4:9">
      <c r="D235" s="308"/>
      <c r="E235" s="308"/>
      <c r="F235" s="308"/>
      <c r="G235" s="308"/>
      <c r="H235" s="308"/>
      <c r="I235" s="308"/>
    </row>
    <row r="236" spans="4:9">
      <c r="D236" s="308"/>
      <c r="E236" s="308"/>
      <c r="F236" s="308"/>
      <c r="G236" s="308"/>
      <c r="H236" s="308"/>
      <c r="I236" s="308"/>
    </row>
    <row r="237" spans="4:9">
      <c r="D237" s="308"/>
      <c r="E237" s="308"/>
      <c r="F237" s="308"/>
      <c r="G237" s="308"/>
      <c r="H237" s="308"/>
      <c r="I237" s="308"/>
    </row>
    <row r="238" spans="4:9">
      <c r="D238" s="308"/>
      <c r="E238" s="308"/>
      <c r="F238" s="308"/>
      <c r="G238" s="308"/>
      <c r="H238" s="308"/>
      <c r="I238" s="308"/>
    </row>
    <row r="239" spans="4:9">
      <c r="D239" s="308"/>
      <c r="E239" s="308"/>
      <c r="F239" s="308"/>
      <c r="G239" s="308"/>
      <c r="H239" s="308"/>
      <c r="I239" s="308"/>
    </row>
    <row r="240" spans="4:9">
      <c r="D240" s="308"/>
      <c r="E240" s="308"/>
      <c r="F240" s="308"/>
      <c r="G240" s="308"/>
      <c r="H240" s="308"/>
      <c r="I240" s="308"/>
    </row>
    <row r="241" spans="4:9">
      <c r="D241" s="308"/>
      <c r="E241" s="308"/>
      <c r="F241" s="308"/>
      <c r="G241" s="308"/>
      <c r="H241" s="308"/>
      <c r="I241" s="308"/>
    </row>
    <row r="242" spans="4:9">
      <c r="D242" s="308"/>
      <c r="E242" s="308"/>
      <c r="F242" s="308"/>
      <c r="G242" s="308"/>
      <c r="H242" s="308"/>
      <c r="I242" s="308"/>
    </row>
    <row r="243" spans="4:9">
      <c r="D243" s="308"/>
      <c r="E243" s="308"/>
      <c r="F243" s="308"/>
      <c r="G243" s="308"/>
      <c r="H243" s="308"/>
      <c r="I243" s="308"/>
    </row>
    <row r="244" spans="4:9">
      <c r="D244" s="308"/>
      <c r="E244" s="308"/>
      <c r="F244" s="308"/>
      <c r="G244" s="308"/>
      <c r="H244" s="308"/>
      <c r="I244" s="308"/>
    </row>
    <row r="245" spans="4:9">
      <c r="D245" s="308"/>
      <c r="E245" s="308"/>
      <c r="F245" s="308"/>
      <c r="G245" s="308"/>
      <c r="H245" s="308"/>
      <c r="I245" s="308"/>
    </row>
    <row r="246" spans="4:9">
      <c r="D246" s="308"/>
      <c r="E246" s="308"/>
      <c r="F246" s="308"/>
      <c r="G246" s="308"/>
      <c r="H246" s="308"/>
      <c r="I246" s="308"/>
    </row>
    <row r="247" spans="4:9">
      <c r="D247" s="308"/>
      <c r="E247" s="308"/>
      <c r="F247" s="308"/>
      <c r="G247" s="308"/>
      <c r="H247" s="308"/>
      <c r="I247" s="308"/>
    </row>
    <row r="248" spans="4:9">
      <c r="D248" s="308"/>
      <c r="E248" s="308"/>
      <c r="F248" s="308"/>
      <c r="G248" s="308"/>
      <c r="H248" s="308"/>
      <c r="I248" s="308"/>
    </row>
    <row r="249" spans="4:9">
      <c r="D249" s="308"/>
      <c r="E249" s="308"/>
      <c r="F249" s="308"/>
      <c r="G249" s="308"/>
      <c r="H249" s="308"/>
      <c r="I249" s="308"/>
    </row>
    <row r="250" spans="4:9">
      <c r="D250" s="308"/>
      <c r="E250" s="308"/>
      <c r="F250" s="308"/>
      <c r="G250" s="308"/>
      <c r="H250" s="308"/>
      <c r="I250" s="308"/>
    </row>
    <row r="251" spans="4:9">
      <c r="D251" s="308"/>
      <c r="E251" s="308"/>
      <c r="F251" s="308"/>
      <c r="G251" s="308"/>
      <c r="H251" s="308"/>
      <c r="I251" s="308"/>
    </row>
    <row r="252" spans="4:9">
      <c r="D252" s="308"/>
      <c r="E252" s="308"/>
      <c r="F252" s="308"/>
      <c r="G252" s="308"/>
      <c r="H252" s="308"/>
      <c r="I252" s="308"/>
    </row>
    <row r="253" spans="4:9">
      <c r="D253" s="308"/>
      <c r="E253" s="308"/>
      <c r="F253" s="308"/>
      <c r="G253" s="308"/>
      <c r="H253" s="308"/>
      <c r="I253" s="308"/>
    </row>
    <row r="254" spans="4:9">
      <c r="D254" s="308"/>
      <c r="E254" s="308"/>
      <c r="F254" s="308"/>
      <c r="G254" s="308"/>
      <c r="H254" s="308"/>
      <c r="I254" s="308"/>
    </row>
    <row r="255" spans="4:9">
      <c r="D255" s="308"/>
      <c r="E255" s="308"/>
      <c r="F255" s="308"/>
      <c r="G255" s="308"/>
      <c r="H255" s="308"/>
      <c r="I255" s="308"/>
    </row>
    <row r="256" spans="4:9">
      <c r="D256" s="308"/>
      <c r="E256" s="308"/>
      <c r="F256" s="308"/>
      <c r="G256" s="308"/>
      <c r="H256" s="308"/>
      <c r="I256" s="308"/>
    </row>
    <row r="257" spans="4:9">
      <c r="D257" s="308"/>
      <c r="E257" s="308"/>
      <c r="F257" s="308"/>
      <c r="G257" s="308"/>
      <c r="H257" s="308"/>
      <c r="I257" s="308"/>
    </row>
    <row r="258" spans="4:9">
      <c r="D258" s="308"/>
      <c r="E258" s="308"/>
      <c r="F258" s="308"/>
      <c r="G258" s="308"/>
      <c r="H258" s="308"/>
      <c r="I258" s="308"/>
    </row>
    <row r="259" spans="4:9">
      <c r="D259" s="308"/>
      <c r="E259" s="308"/>
      <c r="F259" s="308"/>
      <c r="G259" s="308"/>
      <c r="H259" s="308"/>
      <c r="I259" s="308"/>
    </row>
    <row r="260" spans="4:9">
      <c r="D260" s="308"/>
      <c r="E260" s="308"/>
      <c r="F260" s="308"/>
      <c r="G260" s="308"/>
      <c r="H260" s="308"/>
      <c r="I260" s="308"/>
    </row>
    <row r="261" spans="4:9">
      <c r="D261" s="308"/>
      <c r="E261" s="308"/>
      <c r="F261" s="308"/>
      <c r="G261" s="308"/>
      <c r="H261" s="308"/>
      <c r="I261" s="308"/>
    </row>
    <row r="262" spans="4:9">
      <c r="D262" s="308"/>
      <c r="E262" s="308"/>
      <c r="F262" s="308"/>
      <c r="G262" s="308"/>
      <c r="H262" s="308"/>
      <c r="I262" s="308"/>
    </row>
    <row r="263" spans="4:9">
      <c r="D263" s="308"/>
      <c r="E263" s="308"/>
      <c r="F263" s="308"/>
      <c r="G263" s="308"/>
      <c r="H263" s="308"/>
      <c r="I263" s="308"/>
    </row>
    <row r="264" spans="4:9">
      <c r="D264" s="308"/>
      <c r="E264" s="308"/>
      <c r="F264" s="308"/>
      <c r="G264" s="308"/>
      <c r="H264" s="308"/>
      <c r="I264" s="308"/>
    </row>
    <row r="265" spans="4:9">
      <c r="D265" s="308"/>
      <c r="E265" s="308"/>
      <c r="F265" s="308"/>
      <c r="G265" s="308"/>
      <c r="H265" s="308"/>
      <c r="I265" s="308"/>
    </row>
    <row r="266" spans="4:9">
      <c r="D266" s="308"/>
      <c r="E266" s="308"/>
      <c r="F266" s="308"/>
      <c r="G266" s="308"/>
      <c r="H266" s="308"/>
      <c r="I266" s="308"/>
    </row>
    <row r="267" spans="4:9">
      <c r="D267" s="308"/>
      <c r="E267" s="308"/>
      <c r="F267" s="308"/>
      <c r="G267" s="308"/>
      <c r="H267" s="308"/>
      <c r="I267" s="308"/>
    </row>
    <row r="268" spans="4:9">
      <c r="D268" s="308"/>
      <c r="E268" s="308"/>
      <c r="F268" s="308"/>
      <c r="G268" s="308"/>
      <c r="H268" s="308"/>
      <c r="I268" s="308"/>
    </row>
    <row r="269" spans="4:9">
      <c r="D269" s="308"/>
      <c r="E269" s="308"/>
      <c r="F269" s="308"/>
      <c r="G269" s="308"/>
      <c r="H269" s="308"/>
      <c r="I269" s="308"/>
    </row>
    <row r="270" spans="4:9">
      <c r="D270" s="308"/>
      <c r="E270" s="308"/>
      <c r="F270" s="308"/>
      <c r="G270" s="308"/>
      <c r="H270" s="308"/>
      <c r="I270" s="308"/>
    </row>
    <row r="271" spans="4:9">
      <c r="D271" s="308"/>
      <c r="E271" s="308"/>
      <c r="F271" s="308"/>
      <c r="G271" s="308"/>
      <c r="H271" s="308"/>
      <c r="I271" s="308"/>
    </row>
    <row r="272" spans="4:9">
      <c r="D272" s="308"/>
      <c r="E272" s="308"/>
      <c r="F272" s="308"/>
      <c r="G272" s="308"/>
      <c r="H272" s="308"/>
      <c r="I272" s="308"/>
    </row>
    <row r="273" spans="4:9">
      <c r="D273" s="308"/>
      <c r="E273" s="308"/>
      <c r="F273" s="308"/>
      <c r="G273" s="308"/>
      <c r="H273" s="308"/>
      <c r="I273" s="308"/>
    </row>
    <row r="274" spans="4:9">
      <c r="D274" s="308"/>
      <c r="E274" s="308"/>
      <c r="F274" s="308"/>
      <c r="G274" s="308"/>
      <c r="H274" s="308"/>
      <c r="I274" s="308"/>
    </row>
    <row r="275" spans="4:9">
      <c r="D275" s="308"/>
      <c r="E275" s="308"/>
      <c r="F275" s="308"/>
      <c r="G275" s="308"/>
      <c r="H275" s="308"/>
      <c r="I275" s="308"/>
    </row>
    <row r="276" spans="4:9">
      <c r="D276" s="308"/>
      <c r="E276" s="308"/>
      <c r="F276" s="308"/>
      <c r="G276" s="308"/>
      <c r="H276" s="308"/>
      <c r="I276" s="308"/>
    </row>
    <row r="277" spans="4:9">
      <c r="D277" s="308"/>
      <c r="E277" s="308"/>
      <c r="F277" s="308"/>
      <c r="G277" s="308"/>
      <c r="H277" s="308"/>
      <c r="I277" s="308"/>
    </row>
    <row r="278" spans="4:9">
      <c r="D278" s="308"/>
      <c r="E278" s="308"/>
      <c r="F278" s="308"/>
      <c r="G278" s="308"/>
      <c r="H278" s="308"/>
      <c r="I278" s="308"/>
    </row>
    <row r="279" spans="4:9">
      <c r="D279" s="308"/>
      <c r="E279" s="308"/>
      <c r="F279" s="308"/>
      <c r="G279" s="308"/>
      <c r="H279" s="308"/>
      <c r="I279" s="308"/>
    </row>
    <row r="280" spans="4:9">
      <c r="D280" s="308"/>
      <c r="E280" s="308"/>
      <c r="F280" s="308"/>
      <c r="G280" s="308"/>
      <c r="H280" s="308"/>
      <c r="I280" s="308"/>
    </row>
    <row r="281" spans="4:9">
      <c r="D281" s="308"/>
      <c r="E281" s="308"/>
      <c r="F281" s="308"/>
      <c r="G281" s="308"/>
      <c r="H281" s="308"/>
      <c r="I281" s="308"/>
    </row>
    <row r="282" spans="4:9">
      <c r="D282" s="308"/>
      <c r="E282" s="308"/>
      <c r="F282" s="308"/>
      <c r="G282" s="308"/>
      <c r="H282" s="308"/>
      <c r="I282" s="308"/>
    </row>
    <row r="283" spans="4:9">
      <c r="D283" s="308"/>
      <c r="E283" s="308"/>
      <c r="F283" s="308"/>
      <c r="G283" s="308"/>
      <c r="H283" s="308"/>
      <c r="I283" s="308"/>
    </row>
    <row r="284" spans="4:9">
      <c r="D284" s="308"/>
      <c r="E284" s="308"/>
      <c r="F284" s="308"/>
      <c r="G284" s="308"/>
      <c r="H284" s="308"/>
      <c r="I284" s="308"/>
    </row>
    <row r="285" spans="4:9">
      <c r="D285" s="308"/>
      <c r="E285" s="308"/>
      <c r="F285" s="308"/>
      <c r="G285" s="308"/>
      <c r="H285" s="308"/>
      <c r="I285" s="308"/>
    </row>
    <row r="286" spans="4:9">
      <c r="D286" s="308"/>
      <c r="E286" s="308"/>
      <c r="F286" s="308"/>
      <c r="G286" s="308"/>
      <c r="H286" s="308"/>
      <c r="I286" s="308"/>
    </row>
    <row r="287" spans="4:9">
      <c r="D287" s="308"/>
      <c r="E287" s="308"/>
      <c r="F287" s="308"/>
      <c r="G287" s="308"/>
      <c r="H287" s="308"/>
      <c r="I287" s="308"/>
    </row>
    <row r="288" spans="4:9">
      <c r="D288" s="308"/>
      <c r="E288" s="308"/>
      <c r="F288" s="308"/>
      <c r="G288" s="308"/>
      <c r="H288" s="308"/>
      <c r="I288" s="308"/>
    </row>
    <row r="289" spans="4:9">
      <c r="D289" s="308"/>
      <c r="E289" s="308"/>
      <c r="F289" s="308"/>
      <c r="G289" s="308"/>
      <c r="H289" s="308"/>
      <c r="I289" s="308"/>
    </row>
    <row r="290" spans="4:9">
      <c r="D290" s="308"/>
      <c r="E290" s="308"/>
      <c r="F290" s="308"/>
      <c r="G290" s="308"/>
      <c r="H290" s="308"/>
      <c r="I290" s="308"/>
    </row>
    <row r="291" spans="4:9">
      <c r="D291" s="308"/>
      <c r="E291" s="308"/>
      <c r="F291" s="308"/>
      <c r="G291" s="308"/>
      <c r="H291" s="308"/>
      <c r="I291" s="308"/>
    </row>
    <row r="292" spans="4:9">
      <c r="D292" s="308"/>
      <c r="E292" s="308"/>
      <c r="F292" s="308"/>
      <c r="G292" s="308"/>
      <c r="H292" s="308"/>
      <c r="I292" s="308"/>
    </row>
    <row r="293" spans="4:9">
      <c r="D293" s="308"/>
      <c r="E293" s="308"/>
      <c r="F293" s="308"/>
      <c r="G293" s="308"/>
      <c r="H293" s="308"/>
      <c r="I293" s="308"/>
    </row>
    <row r="294" spans="4:9">
      <c r="D294" s="308"/>
      <c r="E294" s="308"/>
      <c r="F294" s="308"/>
      <c r="G294" s="308"/>
      <c r="H294" s="308"/>
      <c r="I294" s="308"/>
    </row>
    <row r="295" spans="4:9">
      <c r="D295" s="308"/>
      <c r="E295" s="308"/>
      <c r="F295" s="308"/>
      <c r="G295" s="308"/>
      <c r="H295" s="308"/>
      <c r="I295" s="308"/>
    </row>
    <row r="296" spans="4:9">
      <c r="D296" s="308"/>
      <c r="E296" s="308"/>
      <c r="F296" s="308"/>
      <c r="G296" s="308"/>
      <c r="H296" s="308"/>
      <c r="I296" s="308"/>
    </row>
    <row r="297" spans="4:9">
      <c r="D297" s="308"/>
      <c r="E297" s="308"/>
      <c r="F297" s="308"/>
      <c r="G297" s="308"/>
      <c r="H297" s="308"/>
      <c r="I297" s="308"/>
    </row>
    <row r="298" spans="4:9">
      <c r="D298" s="308"/>
      <c r="E298" s="308"/>
      <c r="F298" s="308"/>
      <c r="G298" s="308"/>
      <c r="H298" s="308"/>
      <c r="I298" s="308"/>
    </row>
    <row r="299" spans="4:9">
      <c r="D299" s="308"/>
      <c r="E299" s="308"/>
      <c r="F299" s="308"/>
      <c r="G299" s="308"/>
      <c r="H299" s="308"/>
      <c r="I299" s="308"/>
    </row>
    <row r="300" spans="4:9">
      <c r="D300" s="308"/>
      <c r="E300" s="308"/>
      <c r="F300" s="308"/>
      <c r="G300" s="308"/>
      <c r="H300" s="308"/>
      <c r="I300" s="308"/>
    </row>
    <row r="301" spans="4:9">
      <c r="D301" s="308"/>
      <c r="E301" s="308"/>
      <c r="F301" s="308"/>
      <c r="G301" s="308"/>
      <c r="H301" s="308"/>
      <c r="I301" s="308"/>
    </row>
    <row r="302" spans="4:9">
      <c r="D302" s="308"/>
      <c r="E302" s="308"/>
      <c r="F302" s="308"/>
      <c r="G302" s="308"/>
      <c r="H302" s="308"/>
      <c r="I302" s="308"/>
    </row>
    <row r="303" spans="4:9">
      <c r="D303" s="308"/>
      <c r="E303" s="308"/>
      <c r="F303" s="308"/>
      <c r="G303" s="308"/>
      <c r="H303" s="308"/>
      <c r="I303" s="308"/>
    </row>
    <row r="304" spans="4:9">
      <c r="D304" s="308"/>
      <c r="E304" s="308"/>
      <c r="F304" s="308"/>
      <c r="G304" s="308"/>
      <c r="H304" s="308"/>
      <c r="I304" s="308"/>
    </row>
    <row r="305" spans="4:9">
      <c r="D305" s="308"/>
      <c r="E305" s="308"/>
      <c r="F305" s="308"/>
      <c r="G305" s="308"/>
      <c r="H305" s="308"/>
      <c r="I305" s="308"/>
    </row>
    <row r="306" spans="4:9">
      <c r="D306" s="308"/>
      <c r="E306" s="308"/>
      <c r="F306" s="308"/>
      <c r="G306" s="308"/>
      <c r="H306" s="308"/>
      <c r="I306" s="308"/>
    </row>
    <row r="307" spans="4:9">
      <c r="D307" s="308"/>
      <c r="E307" s="308"/>
      <c r="F307" s="308"/>
      <c r="G307" s="308"/>
      <c r="H307" s="308"/>
      <c r="I307" s="308"/>
    </row>
    <row r="308" spans="4:9">
      <c r="D308" s="308"/>
      <c r="E308" s="308"/>
      <c r="F308" s="308"/>
      <c r="G308" s="308"/>
      <c r="H308" s="308"/>
      <c r="I308" s="308"/>
    </row>
    <row r="309" spans="4:9">
      <c r="D309" s="308"/>
      <c r="E309" s="308"/>
      <c r="F309" s="308"/>
      <c r="G309" s="308"/>
      <c r="H309" s="308"/>
      <c r="I309" s="308"/>
    </row>
    <row r="310" spans="4:9">
      <c r="D310" s="308"/>
      <c r="E310" s="308"/>
      <c r="F310" s="308"/>
      <c r="G310" s="308"/>
      <c r="H310" s="308"/>
      <c r="I310" s="308"/>
    </row>
    <row r="311" spans="4:9">
      <c r="D311" s="308"/>
      <c r="E311" s="308"/>
      <c r="F311" s="308"/>
      <c r="G311" s="308"/>
      <c r="H311" s="308"/>
      <c r="I311" s="308"/>
    </row>
    <row r="312" spans="4:9">
      <c r="D312" s="308"/>
      <c r="E312" s="308"/>
      <c r="F312" s="308"/>
      <c r="G312" s="308"/>
      <c r="H312" s="308"/>
      <c r="I312" s="308"/>
    </row>
    <row r="313" spans="4:9">
      <c r="D313" s="308"/>
      <c r="E313" s="308"/>
      <c r="F313" s="308"/>
      <c r="G313" s="308"/>
      <c r="H313" s="308"/>
      <c r="I313" s="308"/>
    </row>
    <row r="314" spans="4:9">
      <c r="D314" s="308"/>
      <c r="E314" s="308"/>
      <c r="F314" s="308"/>
      <c r="G314" s="308"/>
      <c r="H314" s="308"/>
      <c r="I314" s="308"/>
    </row>
    <row r="315" spans="4:9">
      <c r="D315" s="308"/>
      <c r="E315" s="308"/>
      <c r="F315" s="308"/>
      <c r="G315" s="308"/>
      <c r="H315" s="308"/>
      <c r="I315" s="308"/>
    </row>
    <row r="316" spans="4:9">
      <c r="D316" s="308"/>
      <c r="E316" s="308"/>
      <c r="F316" s="308"/>
      <c r="G316" s="308"/>
      <c r="H316" s="308"/>
      <c r="I316" s="308"/>
    </row>
    <row r="317" spans="4:9">
      <c r="D317" s="308"/>
      <c r="E317" s="308"/>
      <c r="F317" s="308"/>
      <c r="G317" s="308"/>
      <c r="H317" s="308"/>
      <c r="I317" s="308"/>
    </row>
    <row r="318" spans="4:9">
      <c r="D318" s="308"/>
      <c r="E318" s="308"/>
      <c r="F318" s="308"/>
      <c r="G318" s="308"/>
      <c r="H318" s="308"/>
      <c r="I318" s="308"/>
    </row>
    <row r="319" spans="4:9">
      <c r="D319" s="308"/>
      <c r="E319" s="308"/>
      <c r="F319" s="308"/>
      <c r="G319" s="308"/>
      <c r="H319" s="308"/>
      <c r="I319" s="308"/>
    </row>
    <row r="320" spans="4:9">
      <c r="D320" s="308"/>
      <c r="E320" s="308"/>
      <c r="F320" s="308"/>
      <c r="G320" s="308"/>
      <c r="H320" s="308"/>
      <c r="I320" s="308"/>
    </row>
    <row r="321" spans="4:9">
      <c r="D321" s="308"/>
      <c r="E321" s="308"/>
      <c r="F321" s="308"/>
      <c r="G321" s="308"/>
      <c r="H321" s="308"/>
      <c r="I321" s="308"/>
    </row>
    <row r="322" spans="4:9">
      <c r="D322" s="308"/>
      <c r="E322" s="308"/>
      <c r="F322" s="308"/>
      <c r="G322" s="308"/>
      <c r="H322" s="308"/>
      <c r="I322" s="308"/>
    </row>
    <row r="323" spans="4:9">
      <c r="D323" s="308"/>
      <c r="E323" s="308"/>
      <c r="F323" s="308"/>
      <c r="G323" s="308"/>
      <c r="H323" s="308"/>
      <c r="I323" s="308"/>
    </row>
    <row r="324" spans="4:9">
      <c r="D324" s="308"/>
      <c r="E324" s="308"/>
      <c r="F324" s="308"/>
      <c r="G324" s="308"/>
      <c r="H324" s="308"/>
      <c r="I324" s="308"/>
    </row>
    <row r="325" spans="4:9">
      <c r="D325" s="308"/>
      <c r="E325" s="308"/>
      <c r="F325" s="308"/>
      <c r="G325" s="308"/>
      <c r="H325" s="308"/>
      <c r="I325" s="308"/>
    </row>
    <row r="326" spans="4:9">
      <c r="D326" s="308"/>
      <c r="E326" s="308"/>
      <c r="F326" s="308"/>
      <c r="G326" s="308"/>
      <c r="H326" s="308"/>
      <c r="I326" s="308"/>
    </row>
    <row r="327" spans="4:9">
      <c r="D327" s="308"/>
      <c r="E327" s="308"/>
      <c r="F327" s="308"/>
      <c r="G327" s="308"/>
      <c r="H327" s="308"/>
      <c r="I327" s="308"/>
    </row>
    <row r="328" spans="4:9">
      <c r="D328" s="308"/>
      <c r="E328" s="308"/>
      <c r="F328" s="308"/>
      <c r="G328" s="308"/>
      <c r="H328" s="308"/>
      <c r="I328" s="308"/>
    </row>
    <row r="329" spans="4:9">
      <c r="D329" s="308"/>
      <c r="E329" s="308"/>
      <c r="F329" s="308"/>
      <c r="G329" s="308"/>
      <c r="H329" s="308"/>
      <c r="I329" s="308"/>
    </row>
    <row r="330" spans="4:9">
      <c r="D330" s="308"/>
      <c r="E330" s="308"/>
      <c r="F330" s="308"/>
      <c r="G330" s="308"/>
      <c r="H330" s="308"/>
      <c r="I330" s="308"/>
    </row>
    <row r="331" spans="4:9">
      <c r="D331" s="308"/>
      <c r="E331" s="308"/>
      <c r="F331" s="308"/>
      <c r="G331" s="308"/>
      <c r="H331" s="308"/>
      <c r="I331" s="308"/>
    </row>
    <row r="332" spans="4:9">
      <c r="D332" s="308"/>
      <c r="E332" s="308"/>
      <c r="F332" s="308"/>
      <c r="G332" s="308"/>
      <c r="H332" s="308"/>
      <c r="I332" s="308"/>
    </row>
    <row r="333" spans="4:9">
      <c r="D333" s="308"/>
      <c r="E333" s="308"/>
      <c r="F333" s="308"/>
      <c r="G333" s="308"/>
      <c r="H333" s="308"/>
      <c r="I333" s="308"/>
    </row>
    <row r="334" spans="4:9">
      <c r="D334" s="308"/>
      <c r="E334" s="308"/>
      <c r="F334" s="308"/>
      <c r="G334" s="308"/>
      <c r="H334" s="308"/>
      <c r="I334" s="308"/>
    </row>
    <row r="335" spans="4:9">
      <c r="D335" s="308"/>
      <c r="E335" s="308"/>
      <c r="F335" s="308"/>
      <c r="G335" s="308"/>
      <c r="H335" s="308"/>
      <c r="I335" s="308"/>
    </row>
    <row r="336" spans="4:9">
      <c r="D336" s="308"/>
      <c r="E336" s="308"/>
      <c r="F336" s="308"/>
      <c r="G336" s="308"/>
      <c r="H336" s="308"/>
      <c r="I336" s="308"/>
    </row>
    <row r="337" spans="4:9">
      <c r="D337" s="308"/>
      <c r="E337" s="308"/>
      <c r="F337" s="308"/>
      <c r="G337" s="308"/>
      <c r="H337" s="308"/>
      <c r="I337" s="308"/>
    </row>
    <row r="338" spans="4:9">
      <c r="D338" s="308"/>
      <c r="E338" s="308"/>
      <c r="F338" s="308"/>
      <c r="G338" s="308"/>
      <c r="H338" s="308"/>
      <c r="I338" s="308"/>
    </row>
    <row r="339" spans="4:9">
      <c r="D339" s="308"/>
      <c r="E339" s="308"/>
      <c r="F339" s="308"/>
      <c r="G339" s="308"/>
      <c r="H339" s="308"/>
      <c r="I339" s="308"/>
    </row>
    <row r="340" spans="4:9">
      <c r="D340" s="308"/>
      <c r="E340" s="308"/>
      <c r="F340" s="308"/>
      <c r="G340" s="308"/>
      <c r="H340" s="308"/>
      <c r="I340" s="308"/>
    </row>
    <row r="341" spans="4:9">
      <c r="D341" s="308"/>
      <c r="E341" s="308"/>
      <c r="F341" s="308"/>
      <c r="G341" s="308"/>
      <c r="H341" s="308"/>
      <c r="I341" s="308"/>
    </row>
    <row r="342" spans="4:9">
      <c r="D342" s="308"/>
      <c r="E342" s="308"/>
      <c r="F342" s="308"/>
      <c r="G342" s="308"/>
      <c r="H342" s="308"/>
      <c r="I342" s="308"/>
    </row>
    <row r="343" spans="4:9">
      <c r="D343" s="308"/>
      <c r="E343" s="308"/>
      <c r="F343" s="308"/>
      <c r="G343" s="308"/>
      <c r="H343" s="308"/>
      <c r="I343" s="308"/>
    </row>
    <row r="344" spans="4:9">
      <c r="D344" s="308"/>
      <c r="E344" s="308"/>
      <c r="F344" s="308"/>
      <c r="G344" s="308"/>
      <c r="H344" s="308"/>
      <c r="I344" s="308"/>
    </row>
    <row r="345" spans="4:9">
      <c r="D345" s="308"/>
      <c r="E345" s="308"/>
      <c r="F345" s="308"/>
      <c r="G345" s="308"/>
      <c r="H345" s="308"/>
      <c r="I345" s="308"/>
    </row>
    <row r="346" spans="4:9">
      <c r="D346" s="308"/>
      <c r="E346" s="308"/>
      <c r="F346" s="308"/>
      <c r="G346" s="308"/>
      <c r="H346" s="308"/>
      <c r="I346" s="308"/>
    </row>
    <row r="347" spans="4:9">
      <c r="D347" s="308"/>
      <c r="E347" s="308"/>
      <c r="F347" s="308"/>
      <c r="G347" s="308"/>
      <c r="H347" s="308"/>
      <c r="I347" s="308"/>
    </row>
    <row r="348" spans="4:9">
      <c r="D348" s="308"/>
      <c r="E348" s="308"/>
      <c r="F348" s="308"/>
      <c r="G348" s="308"/>
      <c r="H348" s="308"/>
      <c r="I348" s="308"/>
    </row>
    <row r="349" spans="4:9">
      <c r="D349" s="308"/>
      <c r="E349" s="308"/>
      <c r="F349" s="308"/>
      <c r="G349" s="308"/>
      <c r="H349" s="308"/>
      <c r="I349" s="308"/>
    </row>
    <row r="350" spans="4:9">
      <c r="D350" s="308"/>
      <c r="E350" s="308"/>
      <c r="F350" s="308"/>
      <c r="G350" s="308"/>
      <c r="H350" s="308"/>
      <c r="I350" s="308"/>
    </row>
    <row r="351" spans="4:9">
      <c r="D351" s="308"/>
      <c r="E351" s="308"/>
      <c r="F351" s="308"/>
      <c r="G351" s="308"/>
      <c r="H351" s="308"/>
      <c r="I351" s="308"/>
    </row>
    <row r="352" spans="4:9">
      <c r="D352" s="308"/>
      <c r="E352" s="308"/>
      <c r="F352" s="308"/>
      <c r="G352" s="308"/>
      <c r="H352" s="308"/>
      <c r="I352" s="308"/>
    </row>
    <row r="353" spans="4:9">
      <c r="D353" s="308"/>
      <c r="E353" s="308"/>
      <c r="F353" s="308"/>
      <c r="G353" s="308"/>
      <c r="H353" s="308"/>
      <c r="I353" s="308"/>
    </row>
    <row r="354" spans="4:9">
      <c r="D354" s="308"/>
      <c r="E354" s="308"/>
      <c r="F354" s="308"/>
      <c r="G354" s="308"/>
      <c r="H354" s="308"/>
      <c r="I354" s="308"/>
    </row>
    <row r="355" spans="4:9">
      <c r="D355" s="308"/>
      <c r="E355" s="308"/>
      <c r="F355" s="308"/>
      <c r="G355" s="308"/>
      <c r="H355" s="308"/>
      <c r="I355" s="308"/>
    </row>
    <row r="356" spans="4:9">
      <c r="D356" s="308"/>
      <c r="E356" s="308"/>
      <c r="F356" s="308"/>
      <c r="G356" s="308"/>
      <c r="H356" s="308"/>
      <c r="I356" s="308"/>
    </row>
    <row r="357" spans="4:9">
      <c r="D357" s="308"/>
      <c r="E357" s="308"/>
      <c r="F357" s="308"/>
      <c r="G357" s="308"/>
      <c r="H357" s="308"/>
      <c r="I357" s="308"/>
    </row>
    <row r="358" spans="4:9">
      <c r="D358" s="308"/>
      <c r="E358" s="308"/>
      <c r="F358" s="308"/>
      <c r="G358" s="308"/>
      <c r="H358" s="308"/>
      <c r="I358" s="308"/>
    </row>
    <row r="359" spans="4:9">
      <c r="D359" s="308"/>
      <c r="E359" s="308"/>
      <c r="F359" s="308"/>
      <c r="G359" s="308"/>
      <c r="H359" s="308"/>
      <c r="I359" s="308"/>
    </row>
    <row r="360" spans="4:9">
      <c r="D360" s="308"/>
      <c r="E360" s="308"/>
      <c r="F360" s="308"/>
      <c r="G360" s="308"/>
      <c r="H360" s="308"/>
      <c r="I360" s="308"/>
    </row>
    <row r="361" spans="4:9">
      <c r="D361" s="308"/>
      <c r="E361" s="308"/>
      <c r="F361" s="308"/>
      <c r="G361" s="308"/>
      <c r="H361" s="308"/>
      <c r="I361" s="308"/>
    </row>
    <row r="362" spans="4:9">
      <c r="D362" s="308"/>
      <c r="E362" s="308"/>
      <c r="F362" s="308"/>
      <c r="G362" s="308"/>
      <c r="H362" s="308"/>
      <c r="I362" s="308"/>
    </row>
    <row r="363" spans="4:9">
      <c r="D363" s="308"/>
      <c r="E363" s="308"/>
      <c r="F363" s="308"/>
      <c r="G363" s="308"/>
      <c r="H363" s="308"/>
      <c r="I363" s="308"/>
    </row>
    <row r="364" spans="4:9">
      <c r="D364" s="308"/>
      <c r="E364" s="308"/>
      <c r="F364" s="308"/>
      <c r="G364" s="308"/>
      <c r="H364" s="308"/>
      <c r="I364" s="308"/>
    </row>
    <row r="365" spans="4:9">
      <c r="D365" s="308"/>
      <c r="E365" s="308"/>
      <c r="F365" s="308"/>
      <c r="G365" s="308"/>
      <c r="H365" s="308"/>
      <c r="I365" s="308"/>
    </row>
    <row r="366" spans="4:9">
      <c r="D366" s="308"/>
      <c r="E366" s="308"/>
      <c r="F366" s="308"/>
      <c r="G366" s="308"/>
      <c r="H366" s="308"/>
      <c r="I366" s="308"/>
    </row>
    <row r="367" spans="4:9">
      <c r="D367" s="308"/>
      <c r="E367" s="308"/>
      <c r="F367" s="308"/>
      <c r="G367" s="308"/>
      <c r="H367" s="308"/>
      <c r="I367" s="308"/>
    </row>
    <row r="368" spans="4:9">
      <c r="D368" s="308"/>
      <c r="E368" s="308"/>
      <c r="F368" s="308"/>
      <c r="G368" s="308"/>
      <c r="H368" s="308"/>
      <c r="I368" s="308"/>
    </row>
    <row r="369" spans="4:9">
      <c r="D369" s="308"/>
      <c r="E369" s="308"/>
      <c r="F369" s="308"/>
      <c r="G369" s="308"/>
      <c r="H369" s="308"/>
      <c r="I369" s="308"/>
    </row>
    <row r="370" spans="4:9">
      <c r="D370" s="308"/>
      <c r="E370" s="308"/>
      <c r="F370" s="308"/>
      <c r="G370" s="308"/>
      <c r="H370" s="308"/>
      <c r="I370" s="308"/>
    </row>
    <row r="371" spans="4:9">
      <c r="D371" s="308"/>
      <c r="E371" s="308"/>
      <c r="F371" s="308"/>
      <c r="G371" s="308"/>
      <c r="H371" s="308"/>
      <c r="I371" s="308"/>
    </row>
    <row r="372" spans="4:9">
      <c r="D372" s="308"/>
      <c r="E372" s="308"/>
      <c r="F372" s="308"/>
      <c r="G372" s="308"/>
      <c r="H372" s="308"/>
      <c r="I372" s="308"/>
    </row>
    <row r="373" spans="4:9">
      <c r="D373" s="308"/>
      <c r="E373" s="308"/>
      <c r="F373" s="308"/>
      <c r="G373" s="308"/>
      <c r="H373" s="308"/>
      <c r="I373" s="308"/>
    </row>
    <row r="374" spans="4:9">
      <c r="D374" s="308"/>
      <c r="E374" s="308"/>
      <c r="F374" s="308"/>
      <c r="G374" s="308"/>
      <c r="H374" s="308"/>
      <c r="I374" s="30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07C1-AC9D-4E69-BEAD-5368F8F9176D}">
  <sheetPr codeName="Sheet14">
    <tabColor rgb="FF00B0F0"/>
  </sheetPr>
  <dimension ref="B1:G83"/>
  <sheetViews>
    <sheetView workbookViewId="0"/>
  </sheetViews>
  <sheetFormatPr defaultColWidth="8.85546875" defaultRowHeight="15"/>
  <cols>
    <col min="1" max="1" width="0.85546875" style="307" customWidth="1"/>
    <col min="2" max="2" width="30.7109375" style="307" customWidth="1"/>
    <col min="3" max="6" width="13.85546875" style="307" customWidth="1"/>
    <col min="7" max="16384" width="8.85546875" style="307"/>
  </cols>
  <sheetData>
    <row r="1" spans="2:7" ht="4.5" customHeight="1"/>
    <row r="2" spans="2:7">
      <c r="B2" s="352" t="s">
        <v>0</v>
      </c>
      <c r="C2" s="581" t="s">
        <v>1</v>
      </c>
      <c r="D2" s="581"/>
      <c r="E2" s="581"/>
      <c r="F2" s="581"/>
      <c r="G2" s="352"/>
    </row>
    <row r="3" spans="2:7">
      <c r="B3" s="352" t="s">
        <v>430</v>
      </c>
      <c r="C3" s="581" t="s">
        <v>3</v>
      </c>
      <c r="D3" s="581"/>
      <c r="E3" s="581"/>
      <c r="F3" s="581"/>
      <c r="G3" s="352"/>
    </row>
    <row r="4" spans="2:7">
      <c r="C4" s="581" t="s">
        <v>431</v>
      </c>
      <c r="D4" s="581"/>
      <c r="E4" s="581"/>
      <c r="F4" s="581"/>
      <c r="G4" s="352"/>
    </row>
    <row r="5" spans="2:7" ht="4.5" customHeight="1" thickBot="1">
      <c r="C5" s="555"/>
      <c r="D5" s="555"/>
      <c r="E5" s="555"/>
      <c r="F5" s="555"/>
      <c r="G5" s="352"/>
    </row>
    <row r="6" spans="2:7" ht="15.75" thickBot="1">
      <c r="C6" s="351" t="s">
        <v>5</v>
      </c>
      <c r="D6" s="351" t="s">
        <v>5</v>
      </c>
      <c r="E6" s="351" t="s">
        <v>5</v>
      </c>
      <c r="F6" s="351" t="s">
        <v>5</v>
      </c>
      <c r="G6" s="555"/>
    </row>
    <row r="7" spans="2:7" ht="19.5" thickBot="1">
      <c r="B7" s="350" t="s">
        <v>432</v>
      </c>
      <c r="C7" s="349" t="s">
        <v>240</v>
      </c>
      <c r="D7" s="349" t="s">
        <v>241</v>
      </c>
      <c r="E7" s="349" t="s">
        <v>242</v>
      </c>
      <c r="F7" s="349" t="s">
        <v>243</v>
      </c>
    </row>
    <row r="8" spans="2:7" ht="15.75">
      <c r="B8" s="346" t="s">
        <v>20</v>
      </c>
      <c r="C8" s="348"/>
      <c r="D8" s="348"/>
      <c r="E8" s="348"/>
      <c r="F8" s="348"/>
    </row>
    <row r="9" spans="2:7">
      <c r="B9" s="331" t="str">
        <f>'P&amp;L Assistant'!B5</f>
        <v>Sales</v>
      </c>
      <c r="C9" s="329">
        <f>'P&amp;L Assistant'!C5</f>
        <v>9008622</v>
      </c>
      <c r="D9" s="329">
        <f>'P&amp;L Assistant'!D5</f>
        <v>4669840</v>
      </c>
      <c r="E9" s="329">
        <f>'P&amp;L Assistant'!E5</f>
        <v>537398</v>
      </c>
      <c r="F9" s="329">
        <f>'P&amp;L Assistant'!F5</f>
        <v>3801384</v>
      </c>
    </row>
    <row r="10" spans="2:7">
      <c r="B10" s="331" t="str">
        <f>'P&amp;L Assistant'!B6</f>
        <v>Freight Charged to Customer</v>
      </c>
      <c r="C10" s="329">
        <f>'P&amp;L Assistant'!C6</f>
        <v>673988</v>
      </c>
      <c r="D10" s="329">
        <f>'P&amp;L Assistant'!D6</f>
        <v>339450</v>
      </c>
      <c r="E10" s="329">
        <f>'P&amp;L Assistant'!E6</f>
        <v>0</v>
      </c>
      <c r="F10" s="329">
        <f>'P&amp;L Assistant'!F6</f>
        <v>334538</v>
      </c>
    </row>
    <row r="11" spans="2:7" ht="17.25">
      <c r="B11" s="347" t="s">
        <v>433</v>
      </c>
      <c r="C11" s="343">
        <f>'P&amp;L Assistant'!C7</f>
        <v>-153544</v>
      </c>
      <c r="D11" s="343">
        <f>'P&amp;L Assistant'!D7</f>
        <v>-76847</v>
      </c>
      <c r="E11" s="343">
        <f>'P&amp;L Assistant'!E7</f>
        <v>0</v>
      </c>
      <c r="F11" s="343">
        <f>'P&amp;L Assistant'!F7</f>
        <v>-76697</v>
      </c>
    </row>
    <row r="12" spans="2:7" ht="15.75">
      <c r="B12" s="330" t="s">
        <v>434</v>
      </c>
      <c r="C12" s="335">
        <f>SUM(C9:C11)</f>
        <v>9529066</v>
      </c>
      <c r="D12" s="335">
        <f>SUM(D9:D11)</f>
        <v>4932443</v>
      </c>
      <c r="E12" s="335">
        <f>SUM(E9:E11)</f>
        <v>537398</v>
      </c>
      <c r="F12" s="335">
        <f>SUM(F9:F11)</f>
        <v>4059225</v>
      </c>
    </row>
    <row r="13" spans="2:7" ht="4.5" customHeight="1">
      <c r="B13" s="328"/>
      <c r="C13" s="329"/>
      <c r="D13" s="329"/>
      <c r="E13" s="329"/>
      <c r="F13" s="329"/>
    </row>
    <row r="14" spans="2:7" ht="15.75">
      <c r="B14" s="346" t="s">
        <v>288</v>
      </c>
      <c r="C14" s="329"/>
      <c r="D14" s="329"/>
      <c r="E14" s="329"/>
      <c r="F14" s="329"/>
    </row>
    <row r="15" spans="2:7" ht="15.75">
      <c r="B15" s="346" t="s">
        <v>248</v>
      </c>
      <c r="C15" s="329"/>
      <c r="D15" s="329"/>
      <c r="E15" s="329"/>
      <c r="F15" s="329"/>
    </row>
    <row r="16" spans="2:7">
      <c r="B16" s="344" t="s">
        <v>289</v>
      </c>
      <c r="C16" s="329">
        <f>'P&amp;L Assistant'!C12</f>
        <v>313472</v>
      </c>
      <c r="D16" s="329">
        <f>'P&amp;L Assistant'!D12</f>
        <v>68571</v>
      </c>
      <c r="E16" s="329">
        <f>'P&amp;L Assistant'!E12</f>
        <v>0</v>
      </c>
      <c r="F16" s="329">
        <f>'P&amp;L Assistant'!F12</f>
        <v>244901</v>
      </c>
    </row>
    <row r="17" spans="2:6">
      <c r="B17" s="344" t="str">
        <f>'P&amp;L Assistant'!B15</f>
        <v>Paper</v>
      </c>
      <c r="C17" s="329">
        <f>'P&amp;L Assistant'!C15</f>
        <v>3635090</v>
      </c>
      <c r="D17" s="329">
        <f>'P&amp;L Assistant'!D15</f>
        <v>1914909</v>
      </c>
      <c r="E17" s="329">
        <f>'P&amp;L Assistant'!E15</f>
        <v>-382</v>
      </c>
      <c r="F17" s="329">
        <f>'P&amp;L Assistant'!F15</f>
        <v>1720563</v>
      </c>
    </row>
    <row r="18" spans="2:6">
      <c r="B18" s="344" t="str">
        <f>'P&amp;L Assistant'!B16</f>
        <v>Carbon &amp; Cartons</v>
      </c>
      <c r="C18" s="329">
        <f>'P&amp;L Assistant'!C16</f>
        <v>187628</v>
      </c>
      <c r="D18" s="329">
        <f>'P&amp;L Assistant'!D16</f>
        <v>101577</v>
      </c>
      <c r="E18" s="329">
        <f>'P&amp;L Assistant'!E16</f>
        <v>0</v>
      </c>
      <c r="F18" s="329">
        <f>'P&amp;L Assistant'!F16</f>
        <v>86051</v>
      </c>
    </row>
    <row r="19" spans="2:6">
      <c r="B19" s="344" t="str">
        <f>'P&amp;L Assistant'!B17</f>
        <v>Ink</v>
      </c>
      <c r="C19" s="329">
        <f>'P&amp;L Assistant'!C17</f>
        <v>94917</v>
      </c>
      <c r="D19" s="329">
        <f>'P&amp;L Assistant'!D17</f>
        <v>76717</v>
      </c>
      <c r="E19" s="329">
        <f>'P&amp;L Assistant'!E17</f>
        <v>1873</v>
      </c>
      <c r="F19" s="329">
        <f>'P&amp;L Assistant'!F17</f>
        <v>16327</v>
      </c>
    </row>
    <row r="20" spans="2:6">
      <c r="B20" s="344" t="str">
        <f>'P&amp;L Assistant'!B18</f>
        <v>Materials + Supplies</v>
      </c>
      <c r="C20" s="329">
        <f>'P&amp;L Assistant'!C18</f>
        <v>206347</v>
      </c>
      <c r="D20" s="329">
        <f>'P&amp;L Assistant'!D18</f>
        <v>138195</v>
      </c>
      <c r="E20" s="329">
        <f>'P&amp;L Assistant'!E18</f>
        <v>4832</v>
      </c>
      <c r="F20" s="329">
        <f>'P&amp;L Assistant'!F18</f>
        <v>63320</v>
      </c>
    </row>
    <row r="21" spans="2:6">
      <c r="B21" s="344" t="str">
        <f>'P&amp;L Assistant'!B19</f>
        <v>Label Material</v>
      </c>
      <c r="C21" s="329">
        <f>'P&amp;L Assistant'!C19</f>
        <v>121477</v>
      </c>
      <c r="D21" s="329">
        <f>'P&amp;L Assistant'!D19</f>
        <v>0</v>
      </c>
      <c r="E21" s="329">
        <f>'P&amp;L Assistant'!E19</f>
        <v>0</v>
      </c>
      <c r="F21" s="329">
        <f>'P&amp;L Assistant'!F19</f>
        <v>121477</v>
      </c>
    </row>
    <row r="22" spans="2:6">
      <c r="B22" s="344" t="str">
        <f>'P&amp;L Assistant'!B20</f>
        <v>Integrated Material</v>
      </c>
      <c r="C22" s="329">
        <f>'P&amp;L Assistant'!C20</f>
        <v>69426</v>
      </c>
      <c r="D22" s="329">
        <f>'P&amp;L Assistant'!D20</f>
        <v>69426</v>
      </c>
      <c r="E22" s="329">
        <f>'P&amp;L Assistant'!E20</f>
        <v>0</v>
      </c>
      <c r="F22" s="329">
        <f>'P&amp;L Assistant'!F20</f>
        <v>0</v>
      </c>
    </row>
    <row r="23" spans="2:6">
      <c r="B23" s="344" t="str">
        <f>'P&amp;L Assistant'!B21</f>
        <v>Envelopes</v>
      </c>
      <c r="C23" s="329">
        <f>'P&amp;L Assistant'!C21</f>
        <v>31055</v>
      </c>
      <c r="D23" s="329">
        <f>'P&amp;L Assistant'!D21</f>
        <v>31055</v>
      </c>
      <c r="E23" s="329">
        <f>'P&amp;L Assistant'!E21</f>
        <v>0</v>
      </c>
      <c r="F23" s="329">
        <f>'P&amp;L Assistant'!F21</f>
        <v>0</v>
      </c>
    </row>
    <row r="24" spans="2:6">
      <c r="B24" s="344" t="str">
        <f>'P&amp;L Assistant'!B22</f>
        <v>Copy Paper</v>
      </c>
      <c r="C24" s="329">
        <f>'P&amp;L Assistant'!C22</f>
        <v>2773</v>
      </c>
      <c r="D24" s="329">
        <f>'P&amp;L Assistant'!D22</f>
        <v>0</v>
      </c>
      <c r="E24" s="329">
        <f>'P&amp;L Assistant'!E22</f>
        <v>0</v>
      </c>
      <c r="F24" s="329">
        <f>'P&amp;L Assistant'!F22</f>
        <v>2773</v>
      </c>
    </row>
    <row r="25" spans="2:6" ht="17.25">
      <c r="B25" s="345" t="s">
        <v>435</v>
      </c>
      <c r="C25" s="343">
        <f>'P&amp;L Assistant'!C43</f>
        <v>-226313</v>
      </c>
      <c r="D25" s="343">
        <f>'P&amp;L Assistant'!D43</f>
        <v>-73583</v>
      </c>
      <c r="E25" s="343">
        <f>'P&amp;L Assistant'!E43</f>
        <v>0</v>
      </c>
      <c r="F25" s="343">
        <f>'P&amp;L Assistant'!F43</f>
        <v>-152730</v>
      </c>
    </row>
    <row r="26" spans="2:6" ht="15.75">
      <c r="B26" s="330" t="str">
        <f>'P&amp;L Assistant'!B23</f>
        <v>Sub-Total Materials</v>
      </c>
      <c r="C26" s="335">
        <f>SUM(C16:C25)</f>
        <v>4435872</v>
      </c>
      <c r="D26" s="335">
        <f>SUM(D16:D25)</f>
        <v>2326867</v>
      </c>
      <c r="E26" s="335">
        <f>SUM(E16:E25)</f>
        <v>6323</v>
      </c>
      <c r="F26" s="335">
        <f>SUM(F16:F25)</f>
        <v>2102682</v>
      </c>
    </row>
    <row r="27" spans="2:6">
      <c r="B27" s="341" t="s">
        <v>52</v>
      </c>
      <c r="C27" s="628">
        <f>C26/C55</f>
        <v>0.52199427997319159</v>
      </c>
      <c r="D27" s="628">
        <f>D26/D55</f>
        <v>0.52581713494947024</v>
      </c>
      <c r="E27" s="628">
        <f>E26/E55</f>
        <v>1.6066924548537191E-2</v>
      </c>
      <c r="F27" s="628">
        <f>F26/F55</f>
        <v>0.57151285585840128</v>
      </c>
    </row>
    <row r="28" spans="2:6" ht="4.5" customHeight="1">
      <c r="B28" s="328" t="str">
        <f>'Mfg. Costs'!B29</f>
        <v>Taxes - Prod Payroll</v>
      </c>
      <c r="C28" s="329"/>
      <c r="D28" s="329"/>
      <c r="E28" s="329"/>
      <c r="F28" s="329"/>
    </row>
    <row r="29" spans="2:6" ht="15.75">
      <c r="B29" s="332" t="s">
        <v>256</v>
      </c>
      <c r="C29" s="329"/>
      <c r="D29" s="329"/>
      <c r="E29" s="329"/>
      <c r="F29" s="329"/>
    </row>
    <row r="30" spans="2:6">
      <c r="B30" s="344" t="str">
        <f>'P&amp;L Assistant'!B26</f>
        <v>Direct Labor Wages</v>
      </c>
      <c r="C30" s="329">
        <f>'P&amp;L Assistant'!C26</f>
        <v>1171096</v>
      </c>
      <c r="D30" s="329">
        <f>'P&amp;L Assistant'!D26</f>
        <v>723248</v>
      </c>
      <c r="E30" s="329">
        <f>'P&amp;L Assistant'!E26</f>
        <v>139496</v>
      </c>
      <c r="F30" s="329">
        <f>'P&amp;L Assistant'!F26</f>
        <v>308352</v>
      </c>
    </row>
    <row r="31" spans="2:6">
      <c r="B31" s="344" t="str">
        <f>'P&amp;L Assistant'!B27</f>
        <v>Indirect Labor Wages</v>
      </c>
      <c r="C31" s="329">
        <f>'P&amp;L Assistant'!C27</f>
        <v>638970</v>
      </c>
      <c r="D31" s="329">
        <f>'P&amp;L Assistant'!D27</f>
        <v>236265</v>
      </c>
      <c r="E31" s="329">
        <f>'P&amp;L Assistant'!E27</f>
        <v>82781</v>
      </c>
      <c r="F31" s="329">
        <f>'P&amp;L Assistant'!F27</f>
        <v>319924</v>
      </c>
    </row>
    <row r="32" spans="2:6">
      <c r="B32" s="344" t="str">
        <f>'P&amp;L Assistant'!B28</f>
        <v>Taxes - Prod Payroll</v>
      </c>
      <c r="C32" s="329">
        <f>'P&amp;L Assistant'!C28</f>
        <v>177233</v>
      </c>
      <c r="D32" s="329">
        <f>'P&amp;L Assistant'!D28</f>
        <v>77804</v>
      </c>
      <c r="E32" s="329">
        <f>'P&amp;L Assistant'!E28</f>
        <v>23956</v>
      </c>
      <c r="F32" s="329">
        <f>'P&amp;L Assistant'!F28</f>
        <v>75473</v>
      </c>
    </row>
    <row r="33" spans="2:6">
      <c r="B33" s="344" t="str">
        <f>'P&amp;L Assistant'!B29</f>
        <v>Supervisor's Salaries</v>
      </c>
      <c r="C33" s="329">
        <f>'P&amp;L Assistant'!C29</f>
        <v>-32017</v>
      </c>
      <c r="D33" s="329">
        <f>'P&amp;L Assistant'!D29</f>
        <v>0</v>
      </c>
      <c r="E33" s="329">
        <f>'P&amp;L Assistant'!E29</f>
        <v>-32017</v>
      </c>
      <c r="F33" s="329">
        <f>'P&amp;L Assistant'!F29</f>
        <v>0</v>
      </c>
    </row>
    <row r="34" spans="2:6">
      <c r="B34" s="344" t="str">
        <f>'P&amp;L Assistant'!B30</f>
        <v>Caretaking-Production</v>
      </c>
      <c r="C34" s="329">
        <f>'P&amp;L Assistant'!C30</f>
        <v>29974</v>
      </c>
      <c r="D34" s="329">
        <f>'P&amp;L Assistant'!D30</f>
        <v>19408</v>
      </c>
      <c r="E34" s="329">
        <f>'P&amp;L Assistant'!E30</f>
        <v>3472</v>
      </c>
      <c r="F34" s="329">
        <f>'P&amp;L Assistant'!F30</f>
        <v>7094</v>
      </c>
    </row>
    <row r="35" spans="2:6" ht="17.25">
      <c r="B35" s="344" t="s">
        <v>436</v>
      </c>
      <c r="C35" s="343">
        <f>'P&amp;L Assistant'!C31</f>
        <v>400267</v>
      </c>
      <c r="D35" s="343">
        <f>'P&amp;L Assistant'!D31</f>
        <v>199401</v>
      </c>
      <c r="E35" s="343">
        <f>'P&amp;L Assistant'!E31</f>
        <v>74985</v>
      </c>
      <c r="F35" s="343">
        <f>'P&amp;L Assistant'!F31</f>
        <v>125881</v>
      </c>
    </row>
    <row r="36" spans="2:6" ht="15.75">
      <c r="B36" s="330" t="str">
        <f>'P&amp;L Assistant'!B32</f>
        <v>Sub-Total Labor</v>
      </c>
      <c r="C36" s="335">
        <f>'P&amp;L Assistant'!C32</f>
        <v>2385523</v>
      </c>
      <c r="D36" s="335">
        <f>'P&amp;L Assistant'!D32</f>
        <v>1256126</v>
      </c>
      <c r="E36" s="335">
        <f>'P&amp;L Assistant'!E32</f>
        <v>292673</v>
      </c>
      <c r="F36" s="335">
        <f>'P&amp;L Assistant'!F32</f>
        <v>836724</v>
      </c>
    </row>
    <row r="37" spans="2:6">
      <c r="B37" s="341" t="s">
        <v>437</v>
      </c>
      <c r="C37" s="628">
        <f>C36/C55</f>
        <v>0.28071805515228754</v>
      </c>
      <c r="D37" s="628">
        <f>D36/D55</f>
        <v>0.28385488919458579</v>
      </c>
      <c r="E37" s="628">
        <f>E36/E55</f>
        <v>0.74369049634572593</v>
      </c>
      <c r="F37" s="628">
        <f>F36/F55</f>
        <v>0.22742313046160328</v>
      </c>
    </row>
    <row r="38" spans="2:6" ht="4.5" customHeight="1">
      <c r="B38" s="328"/>
      <c r="C38" s="329"/>
      <c r="D38" s="329"/>
      <c r="E38" s="329"/>
      <c r="F38" s="329"/>
    </row>
    <row r="39" spans="2:6" ht="15.75">
      <c r="B39" s="332" t="s">
        <v>253</v>
      </c>
      <c r="C39" s="329"/>
      <c r="D39" s="329"/>
      <c r="E39" s="329"/>
      <c r="F39" s="329"/>
    </row>
    <row r="40" spans="2:6">
      <c r="B40" s="344" t="str">
        <f>'P&amp;L Assistant'!B35</f>
        <v>Rent</v>
      </c>
      <c r="C40" s="329">
        <f>'P&amp;L Assistant'!C35</f>
        <v>126000</v>
      </c>
      <c r="D40" s="329">
        <f>'P&amp;L Assistant'!D35</f>
        <v>0</v>
      </c>
      <c r="E40" s="329">
        <f>'P&amp;L Assistant'!E35</f>
        <v>30000</v>
      </c>
      <c r="F40" s="329">
        <f>'P&amp;L Assistant'!F35</f>
        <v>96000</v>
      </c>
    </row>
    <row r="41" spans="2:6">
      <c r="B41" s="344" t="s">
        <v>438</v>
      </c>
      <c r="C41" s="329">
        <f>'P&amp;L Assistant'!C36*0.8</f>
        <v>191103.2</v>
      </c>
      <c r="D41" s="329">
        <f>'P&amp;L Assistant'!D36*0.8</f>
        <v>88032.8</v>
      </c>
      <c r="E41" s="329">
        <f>'P&amp;L Assistant'!E36*0.8</f>
        <v>19714.400000000001</v>
      </c>
      <c r="F41" s="329">
        <f>'P&amp;L Assistant'!F36*0.8</f>
        <v>83356</v>
      </c>
    </row>
    <row r="42" spans="2:6">
      <c r="B42" s="344" t="str">
        <f>'P&amp;L Assistant'!B37</f>
        <v>Depreciation</v>
      </c>
      <c r="C42" s="329">
        <f>'P&amp;L Assistant'!C37</f>
        <v>170855</v>
      </c>
      <c r="D42" s="329">
        <f>'P&amp;L Assistant'!D37</f>
        <v>100486</v>
      </c>
      <c r="E42" s="329">
        <f>'P&amp;L Assistant'!E37</f>
        <v>3757</v>
      </c>
      <c r="F42" s="329">
        <f>'P&amp;L Assistant'!F37</f>
        <v>66612</v>
      </c>
    </row>
    <row r="43" spans="2:6">
      <c r="B43" s="344" t="str">
        <f>'P&amp;L Assistant'!B38</f>
        <v>Repairs &amp; Maintenance</v>
      </c>
      <c r="C43" s="329">
        <f>'P&amp;L Assistant'!C38</f>
        <v>137971</v>
      </c>
      <c r="D43" s="329">
        <f>'P&amp;L Assistant'!D38</f>
        <v>67316</v>
      </c>
      <c r="E43" s="329">
        <f>'P&amp;L Assistant'!E38</f>
        <v>22352</v>
      </c>
      <c r="F43" s="329">
        <f>'P&amp;L Assistant'!F38</f>
        <v>48303</v>
      </c>
    </row>
    <row r="44" spans="2:6">
      <c r="B44" s="344" t="str">
        <f>'P&amp;L Assistant'!B39</f>
        <v>Plates &amp; Comp Charges</v>
      </c>
      <c r="C44" s="329">
        <f>'P&amp;L Assistant'!C39</f>
        <v>134079</v>
      </c>
      <c r="D44" s="329">
        <f>'P&amp;L Assistant'!D39</f>
        <v>105961</v>
      </c>
      <c r="E44" s="329">
        <f>'P&amp;L Assistant'!E39</f>
        <v>0</v>
      </c>
      <c r="F44" s="329">
        <f>'P&amp;L Assistant'!F39</f>
        <v>28118</v>
      </c>
    </row>
    <row r="45" spans="2:6" ht="17.25">
      <c r="B45" s="344" t="str">
        <f>'P&amp;L Assistant'!B40</f>
        <v>Misc. Plant Overhead</v>
      </c>
      <c r="C45" s="343">
        <f>'P&amp;L Assistant'!C40</f>
        <v>101009</v>
      </c>
      <c r="D45" s="343">
        <f>'P&amp;L Assistant'!D40</f>
        <v>41545</v>
      </c>
      <c r="E45" s="343">
        <f>'P&amp;L Assistant'!E40</f>
        <v>9974</v>
      </c>
      <c r="F45" s="343">
        <f>'P&amp;L Assistant'!F40</f>
        <v>49490</v>
      </c>
    </row>
    <row r="46" spans="2:6" ht="15.75">
      <c r="B46" s="330" t="str">
        <f>'P&amp;L Assistant'!B41</f>
        <v>Sub-Total Plant Overhead</v>
      </c>
      <c r="C46" s="335">
        <f>SUM(C40:C45)</f>
        <v>861017.2</v>
      </c>
      <c r="D46" s="335">
        <f>SUM(D40:D45)</f>
        <v>403340.79999999999</v>
      </c>
      <c r="E46" s="335">
        <f>SUM(E40:E45)</f>
        <v>85797.4</v>
      </c>
      <c r="F46" s="335">
        <f>SUM(F40:F45)</f>
        <v>371879</v>
      </c>
    </row>
    <row r="47" spans="2:6">
      <c r="B47" s="341" t="s">
        <v>52</v>
      </c>
      <c r="C47" s="628">
        <f>C46/C55</f>
        <v>0.10132078954454356</v>
      </c>
      <c r="D47" s="628">
        <f>D46/D55</f>
        <v>9.1145520506426575E-2</v>
      </c>
      <c r="E47" s="628">
        <f>E46/E55</f>
        <v>0.21801365684970184</v>
      </c>
      <c r="F47" s="628">
        <f>F46/F55</f>
        <v>0.10107739987490566</v>
      </c>
    </row>
    <row r="48" spans="2:6" ht="4.5" customHeight="1">
      <c r="B48" s="328"/>
      <c r="C48" s="329"/>
      <c r="D48" s="329"/>
      <c r="E48" s="329"/>
      <c r="F48" s="329"/>
    </row>
    <row r="49" spans="2:6" ht="15.75">
      <c r="B49" s="342" t="s">
        <v>439</v>
      </c>
      <c r="C49" s="335">
        <f>'P&amp;L Assistant'!C46+'P&amp;L Assistant'!C47+'P&amp;L Assistant'!C48+'P&amp;L Assistant'!C49+'P&amp;L Assistant'!C50</f>
        <v>643122</v>
      </c>
      <c r="D49" s="335">
        <f>'P&amp;L Assistant'!D46+'P&amp;L Assistant'!D47+'P&amp;L Assistant'!D48+'P&amp;L Assistant'!D49+'P&amp;L Assistant'!D50</f>
        <v>348126.33366698743</v>
      </c>
      <c r="E49" s="335">
        <f>'P&amp;L Assistant'!E46+'P&amp;L Assistant'!E47+'P&amp;L Assistant'!E48+'P&amp;L Assistant'!E49+'P&amp;L Assistant'!E50</f>
        <v>13.982697652990577</v>
      </c>
      <c r="F49" s="335">
        <f>'P&amp;L Assistant'!F46+'P&amp;L Assistant'!F47+'P&amp;L Assistant'!F48+'P&amp;L Assistant'!F49+'P&amp;L Assistant'!F50</f>
        <v>294981.68363535963</v>
      </c>
    </row>
    <row r="50" spans="2:6">
      <c r="B50" s="341" t="s">
        <v>52</v>
      </c>
      <c r="C50" s="628">
        <f>C49/C55</f>
        <v>7.5679822439628314E-2</v>
      </c>
      <c r="D50" s="628">
        <f>D49/D55</f>
        <v>7.8668351637303999E-2</v>
      </c>
      <c r="E50" s="628">
        <f>E49/E55</f>
        <v>3.5530436213127896E-5</v>
      </c>
      <c r="F50" s="628">
        <f>F49/F55</f>
        <v>8.0176567089252582E-2</v>
      </c>
    </row>
    <row r="51" spans="2:6" ht="4.5" customHeight="1">
      <c r="B51" s="328"/>
      <c r="C51" s="329"/>
      <c r="D51" s="329"/>
      <c r="E51" s="329"/>
      <c r="F51" s="329"/>
    </row>
    <row r="52" spans="2:6" ht="15.75">
      <c r="B52" s="342" t="s">
        <v>440</v>
      </c>
      <c r="C52" s="335">
        <f>'P&amp;L Assistant'!C56</f>
        <v>172398</v>
      </c>
      <c r="D52" s="335">
        <f>'P&amp;L Assistant'!D56</f>
        <v>90779.831598895456</v>
      </c>
      <c r="E52" s="335">
        <f>'P&amp;L Assistant'!E56</f>
        <v>8734.0185144212664</v>
      </c>
      <c r="F52" s="335">
        <f>'P&amp;L Assistant'!F56</f>
        <v>72884.149886683284</v>
      </c>
    </row>
    <row r="53" spans="2:6">
      <c r="B53" s="341" t="s">
        <v>52</v>
      </c>
      <c r="C53" s="628">
        <f>C52/C55</f>
        <v>2.028705289034902E-2</v>
      </c>
      <c r="D53" s="628">
        <f>D52/D55</f>
        <v>2.0514103712213287E-2</v>
      </c>
      <c r="E53" s="628">
        <f>E52/E55</f>
        <v>2.2193391819821821E-2</v>
      </c>
      <c r="F53" s="628">
        <f>F52/F55</f>
        <v>1.9810046715837266E-2</v>
      </c>
    </row>
    <row r="54" spans="2:6" ht="4.5" customHeight="1">
      <c r="B54" s="341"/>
      <c r="C54" s="329"/>
      <c r="D54" s="329"/>
      <c r="E54" s="329"/>
      <c r="F54" s="329"/>
    </row>
    <row r="55" spans="2:6" ht="15.75">
      <c r="B55" s="330" t="s">
        <v>283</v>
      </c>
      <c r="C55" s="340">
        <f>C26+C36+C46+C49+C52</f>
        <v>8497932.1999999993</v>
      </c>
      <c r="D55" s="340">
        <f>D26+D36+D46+D49+D52</f>
        <v>4425239.9652658831</v>
      </c>
      <c r="E55" s="340">
        <f>E26+E36+E46+E49+E52</f>
        <v>393541.40121207427</v>
      </c>
      <c r="F55" s="340">
        <f>F26+F36+F46+F49+F52</f>
        <v>3679150.8335220427</v>
      </c>
    </row>
    <row r="56" spans="2:6" ht="4.5" customHeight="1">
      <c r="B56" s="328"/>
      <c r="C56" s="329"/>
      <c r="D56" s="329"/>
      <c r="E56" s="329"/>
      <c r="F56" s="329"/>
    </row>
    <row r="57" spans="2:6" ht="15.75">
      <c r="B57" s="339" t="s">
        <v>441</v>
      </c>
      <c r="C57" s="338">
        <f>C12-C55</f>
        <v>1031133.8000000007</v>
      </c>
      <c r="D57" s="338">
        <f>D12-D55</f>
        <v>507203.03473411687</v>
      </c>
      <c r="E57" s="338">
        <f>E12-E55</f>
        <v>143856.59878792573</v>
      </c>
      <c r="F57" s="338">
        <f>F12-F55</f>
        <v>380074.16647795727</v>
      </c>
    </row>
    <row r="58" spans="2:6">
      <c r="B58" s="337" t="s">
        <v>184</v>
      </c>
      <c r="C58" s="629">
        <f>C57/C12</f>
        <v>0.10820932502723779</v>
      </c>
      <c r="D58" s="629">
        <f>D57/D12</f>
        <v>0.10282998399254017</v>
      </c>
      <c r="E58" s="629">
        <f>E57/E12</f>
        <v>0.26769098282450943</v>
      </c>
      <c r="F58" s="629">
        <f>F57/F12</f>
        <v>9.3632199860307644E-2</v>
      </c>
    </row>
    <row r="59" spans="2:6" ht="4.5" customHeight="1">
      <c r="B59" s="328"/>
      <c r="C59" s="329"/>
      <c r="D59" s="329"/>
      <c r="E59" s="329"/>
      <c r="F59" s="329"/>
    </row>
    <row r="60" spans="2:6">
      <c r="B60" s="336" t="s">
        <v>329</v>
      </c>
      <c r="C60" s="329">
        <f>'P&amp;L Assistant'!C58+'P&amp;L Assistant'!C59+'P&amp;L Assistant'!C60</f>
        <v>1312387</v>
      </c>
      <c r="D60" s="329">
        <f>'P&amp;L Assistant'!D58+'P&amp;L Assistant'!D59+'P&amp;L Assistant'!D60</f>
        <v>684101.31275415665</v>
      </c>
      <c r="E60" s="329">
        <f>'P&amp;L Assistant'!E58+'P&amp;L Assistant'!E59+'P&amp;L Assistant'!E60</f>
        <v>68944.067177304736</v>
      </c>
      <c r="F60" s="329">
        <f>'P&amp;L Assistant'!F58+'P&amp;L Assistant'!F59+'P&amp;L Assistant'!F60</f>
        <v>559341.62006853858</v>
      </c>
    </row>
    <row r="61" spans="2:6">
      <c r="B61" s="336" t="s">
        <v>442</v>
      </c>
      <c r="C61" s="329">
        <f>'P&amp;L Assistant'!C36*0.2</f>
        <v>47775.8</v>
      </c>
      <c r="D61" s="329">
        <f>'P&amp;L Assistant'!D36*0.2</f>
        <v>22008.2</v>
      </c>
      <c r="E61" s="329">
        <f>'P&amp;L Assistant'!E36*0.2</f>
        <v>4928.6000000000004</v>
      </c>
      <c r="F61" s="329">
        <f>'P&amp;L Assistant'!F36*0.2</f>
        <v>20839</v>
      </c>
    </row>
    <row r="62" spans="2:6" ht="15.75">
      <c r="B62" s="330" t="s">
        <v>443</v>
      </c>
      <c r="C62" s="335">
        <f>SUM(C60:C61)</f>
        <v>1360162.8</v>
      </c>
      <c r="D62" s="335">
        <f>SUM(D60:D61)</f>
        <v>706109.5127541566</v>
      </c>
      <c r="E62" s="335">
        <f>SUM(E60:E61)</f>
        <v>73872.667177304742</v>
      </c>
      <c r="F62" s="335">
        <f>SUM(F60:F61)</f>
        <v>580180.62006853858</v>
      </c>
    </row>
    <row r="63" spans="2:6" ht="4.5" customHeight="1">
      <c r="B63" s="328"/>
      <c r="C63" s="329"/>
      <c r="D63" s="329"/>
      <c r="E63" s="329"/>
      <c r="F63" s="329"/>
    </row>
    <row r="64" spans="2:6" ht="15.75">
      <c r="B64" s="334" t="s">
        <v>444</v>
      </c>
      <c r="C64" s="333">
        <f>C57-C62</f>
        <v>-329028.9999999993</v>
      </c>
      <c r="D64" s="333">
        <f>D57-D62</f>
        <v>-198906.47802003974</v>
      </c>
      <c r="E64" s="333">
        <f>E57-E62</f>
        <v>69983.931610620988</v>
      </c>
      <c r="F64" s="333">
        <f>F57-F62</f>
        <v>-200106.45359058131</v>
      </c>
    </row>
    <row r="65" spans="2:6" ht="4.5" customHeight="1">
      <c r="B65" s="328"/>
      <c r="C65" s="327"/>
      <c r="D65" s="327"/>
      <c r="E65" s="327"/>
      <c r="F65" s="327"/>
    </row>
    <row r="66" spans="2:6" ht="15.75" hidden="1">
      <c r="B66" s="332" t="s">
        <v>334</v>
      </c>
      <c r="C66" s="327"/>
      <c r="D66" s="327"/>
      <c r="E66" s="327"/>
      <c r="F66" s="327"/>
    </row>
    <row r="67" spans="2:6" hidden="1">
      <c r="B67" s="331" t="s">
        <v>445</v>
      </c>
      <c r="C67" s="329">
        <f>'P&amp;L Assistant'!C68</f>
        <v>98050</v>
      </c>
      <c r="D67" s="329">
        <f>'P&amp;L Assistant'!D68</f>
        <v>87202</v>
      </c>
      <c r="E67" s="329">
        <f>'P&amp;L Assistant'!E68</f>
        <v>5100</v>
      </c>
      <c r="F67" s="329">
        <f>'P&amp;L Assistant'!F68</f>
        <v>5748</v>
      </c>
    </row>
    <row r="68" spans="2:6" hidden="1">
      <c r="B68" s="331" t="s">
        <v>99</v>
      </c>
      <c r="C68" s="329">
        <f>'P&amp;L Assistant'!C75+'P&amp;L Assistant'!C76</f>
        <v>-19142</v>
      </c>
      <c r="D68" s="329">
        <f>'P&amp;L Assistant'!D75+'P&amp;L Assistant'!D76</f>
        <v>-10079.627005336819</v>
      </c>
      <c r="E68" s="329">
        <f>'P&amp;L Assistant'!E75+'P&amp;L Assistant'!E76</f>
        <v>-969.77100896212175</v>
      </c>
      <c r="F68" s="329">
        <f>'P&amp;L Assistant'!F75+'P&amp;L Assistant'!F76</f>
        <v>-8092.6019857010606</v>
      </c>
    </row>
    <row r="69" spans="2:6" hidden="1">
      <c r="B69" s="331" t="s">
        <v>446</v>
      </c>
      <c r="C69" s="329">
        <f>'P&amp;L Assistant'!C72+'P&amp;L Assistant'!C77</f>
        <v>2666</v>
      </c>
      <c r="D69" s="329">
        <f>'P&amp;L Assistant'!D72+'P&amp;L Assistant'!D77</f>
        <v>1403.8389716972083</v>
      </c>
      <c r="E69" s="329">
        <f>'P&amp;L Assistant'!E72+'P&amp;L Assistant'!E77</f>
        <v>135.06475341620609</v>
      </c>
      <c r="F69" s="329">
        <f>'P&amp;L Assistant'!F72+'P&amp;L Assistant'!F77</f>
        <v>1127.0962748865859</v>
      </c>
    </row>
    <row r="70" spans="2:6" hidden="1">
      <c r="B70" s="331" t="s">
        <v>98</v>
      </c>
      <c r="C70" s="329">
        <f>'P&amp;L Assistant'!C73+'P&amp;L Assistant'!C78</f>
        <v>62385</v>
      </c>
      <c r="D70" s="329">
        <f>'P&amp;L Assistant'!D73+'P&amp;L Assistant'!D78</f>
        <v>32850.14788046899</v>
      </c>
      <c r="E70" s="329">
        <f>'P&amp;L Assistant'!E73+'P&amp;L Assistant'!E78</f>
        <v>3160.5456271080329</v>
      </c>
      <c r="F70" s="329">
        <f>'P&amp;L Assistant'!F73+'P&amp;L Assistant'!F78</f>
        <v>26374.306492422977</v>
      </c>
    </row>
    <row r="71" spans="2:6" hidden="1">
      <c r="B71" s="331" t="s">
        <v>336</v>
      </c>
      <c r="C71" s="329">
        <f>'P&amp;L Assistant'!C69+'P&amp;L Assistant'!C74</f>
        <v>27993</v>
      </c>
      <c r="D71" s="329">
        <f>'P&amp;L Assistant'!D69+'P&amp;L Assistant'!D74</f>
        <v>14751.34292978783</v>
      </c>
      <c r="E71" s="329">
        <f>'P&amp;L Assistant'!E69+'P&amp;L Assistant'!E74</f>
        <v>1414.4309267168258</v>
      </c>
      <c r="F71" s="329">
        <f>'P&amp;L Assistant'!F69+'P&amp;L Assistant'!F74</f>
        <v>11827.226143495345</v>
      </c>
    </row>
    <row r="72" spans="2:6" ht="15.75">
      <c r="B72" s="330" t="s">
        <v>339</v>
      </c>
      <c r="C72" s="329">
        <f>SUM(C67:C71)</f>
        <v>171952</v>
      </c>
      <c r="D72" s="329">
        <f>SUM(D67:D71)</f>
        <v>126127.70277661721</v>
      </c>
      <c r="E72" s="329">
        <f>SUM(E67:E71)</f>
        <v>8840.2702982789433</v>
      </c>
      <c r="F72" s="329">
        <f>SUM(F67:F71)</f>
        <v>36984.026925103848</v>
      </c>
    </row>
    <row r="73" spans="2:6" ht="4.5" customHeight="1" thickBot="1">
      <c r="B73" s="328"/>
      <c r="C73" s="327"/>
      <c r="D73" s="327"/>
      <c r="E73" s="327"/>
      <c r="F73" s="327"/>
    </row>
    <row r="74" spans="2:6" ht="19.5" thickBot="1">
      <c r="B74" s="326" t="s">
        <v>447</v>
      </c>
      <c r="C74" s="325">
        <f>C64+C72+330+N("Rounding Error Correction")</f>
        <v>-156746.9999999993</v>
      </c>
      <c r="D74" s="325">
        <f>D64+D72</f>
        <v>-72778.775243422526</v>
      </c>
      <c r="E74" s="325">
        <f>E64+E72</f>
        <v>78824.201908899937</v>
      </c>
      <c r="F74" s="325">
        <f>F64+F72</f>
        <v>-163122.42666547745</v>
      </c>
    </row>
    <row r="75" spans="2:6">
      <c r="B75" s="582" t="s">
        <v>448</v>
      </c>
      <c r="C75" s="582"/>
      <c r="D75" s="582"/>
      <c r="E75" s="582"/>
      <c r="F75" s="582"/>
    </row>
    <row r="76" spans="2:6">
      <c r="B76" s="580"/>
      <c r="C76" s="580"/>
      <c r="D76" s="580"/>
      <c r="E76" s="580"/>
      <c r="F76" s="580"/>
    </row>
    <row r="77" spans="2:6">
      <c r="B77" s="583" t="s">
        <v>449</v>
      </c>
      <c r="C77" s="583"/>
      <c r="D77" s="583"/>
      <c r="E77" s="583"/>
      <c r="F77" s="583"/>
    </row>
    <row r="78" spans="2:6">
      <c r="B78" s="583"/>
      <c r="C78" s="583"/>
      <c r="D78" s="583"/>
      <c r="E78" s="583"/>
      <c r="F78" s="583"/>
    </row>
    <row r="79" spans="2:6" ht="14.45" customHeight="1">
      <c r="B79" s="580" t="s">
        <v>450</v>
      </c>
      <c r="C79" s="580"/>
      <c r="D79" s="580"/>
      <c r="E79" s="580"/>
      <c r="F79" s="580"/>
    </row>
    <row r="80" spans="2:6">
      <c r="B80" s="580"/>
      <c r="C80" s="580"/>
      <c r="D80" s="580"/>
      <c r="E80" s="580"/>
      <c r="F80" s="580"/>
    </row>
    <row r="81" spans="2:6">
      <c r="B81" s="580"/>
      <c r="C81" s="580"/>
      <c r="D81" s="580"/>
      <c r="E81" s="580"/>
      <c r="F81" s="580"/>
    </row>
    <row r="82" spans="2:6">
      <c r="B82" s="580" t="s">
        <v>451</v>
      </c>
      <c r="C82" s="580"/>
      <c r="D82" s="580"/>
      <c r="E82" s="580"/>
      <c r="F82" s="580"/>
    </row>
    <row r="83" spans="2:6">
      <c r="B83" s="580"/>
      <c r="C83" s="580"/>
      <c r="D83" s="580"/>
      <c r="E83" s="580"/>
      <c r="F83" s="580"/>
    </row>
  </sheetData>
  <mergeCells count="7">
    <mergeCell ref="B82:F83"/>
    <mergeCell ref="C2:F2"/>
    <mergeCell ref="C3:F3"/>
    <mergeCell ref="C4:F4"/>
    <mergeCell ref="B75:F76"/>
    <mergeCell ref="B77:F78"/>
    <mergeCell ref="B79:F81"/>
  </mergeCells>
  <conditionalFormatting sqref="C64:F64">
    <cfRule type="cellIs" dxfId="3" priority="1" operator="lessThan">
      <formula>0</formula>
    </cfRule>
  </conditionalFormatting>
  <conditionalFormatting sqref="C74:F74">
    <cfRule type="cellIs" dxfId="2" priority="2" operator="lessThan">
      <formula>0</formula>
    </cfRule>
  </conditionalFormatting>
  <pageMargins left="0.7" right="0.7" top="0.75" bottom="0.75" header="0.3" footer="0.3"/>
  <pageSetup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7BC8C-06F6-4444-8D11-742C73E22B28}">
  <sheetPr codeName="Sheet1">
    <tabColor rgb="FF00B0F0"/>
  </sheetPr>
  <dimension ref="B1:G83"/>
  <sheetViews>
    <sheetView workbookViewId="0"/>
  </sheetViews>
  <sheetFormatPr defaultColWidth="8.85546875" defaultRowHeight="15"/>
  <cols>
    <col min="1" max="1" width="0.85546875" style="307" customWidth="1"/>
    <col min="2" max="2" width="30.7109375" style="307" customWidth="1"/>
    <col min="3" max="6" width="13.85546875" style="307" customWidth="1"/>
    <col min="7" max="16384" width="8.85546875" style="307"/>
  </cols>
  <sheetData>
    <row r="1" spans="2:7" ht="4.5" customHeight="1"/>
    <row r="2" spans="2:7">
      <c r="B2" s="352" t="s">
        <v>0</v>
      </c>
      <c r="C2" s="581" t="s">
        <v>1</v>
      </c>
      <c r="D2" s="581"/>
      <c r="E2" s="581"/>
      <c r="F2" s="581"/>
      <c r="G2" s="352"/>
    </row>
    <row r="3" spans="2:7">
      <c r="B3" s="352" t="s">
        <v>430</v>
      </c>
      <c r="C3" s="581" t="s">
        <v>3</v>
      </c>
      <c r="D3" s="581"/>
      <c r="E3" s="581"/>
      <c r="F3" s="581"/>
      <c r="G3" s="352"/>
    </row>
    <row r="4" spans="2:7">
      <c r="C4" s="581" t="s">
        <v>431</v>
      </c>
      <c r="D4" s="581"/>
      <c r="E4" s="581"/>
      <c r="F4" s="581"/>
      <c r="G4" s="352"/>
    </row>
    <row r="5" spans="2:7" ht="4.5" customHeight="1" thickBot="1">
      <c r="C5" s="555"/>
      <c r="D5" s="555"/>
      <c r="E5" s="555"/>
      <c r="F5" s="555"/>
      <c r="G5" s="352"/>
    </row>
    <row r="6" spans="2:7" ht="15.75" thickBot="1">
      <c r="C6" s="351" t="s">
        <v>5</v>
      </c>
      <c r="D6" s="351" t="s">
        <v>5</v>
      </c>
      <c r="E6" s="351" t="s">
        <v>5</v>
      </c>
      <c r="F6" s="351" t="s">
        <v>5</v>
      </c>
      <c r="G6" s="555"/>
    </row>
    <row r="7" spans="2:7" ht="19.5" thickBot="1">
      <c r="B7" s="350" t="s">
        <v>432</v>
      </c>
      <c r="C7" s="349" t="s">
        <v>240</v>
      </c>
      <c r="D7" s="349" t="s">
        <v>241</v>
      </c>
      <c r="E7" s="349" t="s">
        <v>242</v>
      </c>
      <c r="F7" s="349" t="s">
        <v>243</v>
      </c>
    </row>
    <row r="8" spans="2:7" ht="15.75">
      <c r="B8" s="346" t="s">
        <v>20</v>
      </c>
      <c r="C8" s="348"/>
      <c r="D8" s="348"/>
      <c r="E8" s="348"/>
      <c r="F8" s="348"/>
    </row>
    <row r="9" spans="2:7">
      <c r="B9" s="331" t="str">
        <f>'P&amp;L Assistant'!B5</f>
        <v>Sales</v>
      </c>
      <c r="C9" s="329">
        <f>'P&amp;L Assistant'!C5</f>
        <v>9008622</v>
      </c>
      <c r="D9" s="329">
        <f>'P&amp;L Assistant'!D5</f>
        <v>4669840</v>
      </c>
      <c r="E9" s="329">
        <f>'P&amp;L Assistant'!E5</f>
        <v>537398</v>
      </c>
      <c r="F9" s="329">
        <f>'P&amp;L Assistant'!F5</f>
        <v>3801384</v>
      </c>
    </row>
    <row r="10" spans="2:7">
      <c r="B10" s="331" t="str">
        <f>'P&amp;L Assistant'!B6</f>
        <v>Freight Charged to Customer</v>
      </c>
      <c r="C10" s="329">
        <f>'P&amp;L Assistant'!C6</f>
        <v>673988</v>
      </c>
      <c r="D10" s="329">
        <f>'P&amp;L Assistant'!D6</f>
        <v>339450</v>
      </c>
      <c r="E10" s="329">
        <f>'P&amp;L Assistant'!E6</f>
        <v>0</v>
      </c>
      <c r="F10" s="329">
        <f>'P&amp;L Assistant'!F6</f>
        <v>334538</v>
      </c>
    </row>
    <row r="11" spans="2:7" ht="17.25">
      <c r="B11" s="347" t="s">
        <v>433</v>
      </c>
      <c r="C11" s="343">
        <f>'P&amp;L Assistant'!C7</f>
        <v>-153544</v>
      </c>
      <c r="D11" s="343">
        <f>'P&amp;L Assistant'!D7</f>
        <v>-76847</v>
      </c>
      <c r="E11" s="343">
        <f>'P&amp;L Assistant'!E7</f>
        <v>0</v>
      </c>
      <c r="F11" s="343">
        <f>'P&amp;L Assistant'!F7</f>
        <v>-76697</v>
      </c>
    </row>
    <row r="12" spans="2:7" ht="15.75">
      <c r="B12" s="330" t="s">
        <v>434</v>
      </c>
      <c r="C12" s="335">
        <f>SUM(C9:C11)</f>
        <v>9529066</v>
      </c>
      <c r="D12" s="335">
        <f>SUM(D9:D11)</f>
        <v>4932443</v>
      </c>
      <c r="E12" s="335">
        <f>SUM(E9:E11)</f>
        <v>537398</v>
      </c>
      <c r="F12" s="335">
        <f>SUM(F9:F11)</f>
        <v>4059225</v>
      </c>
    </row>
    <row r="13" spans="2:7" ht="4.5" customHeight="1">
      <c r="B13" s="328"/>
      <c r="C13" s="329"/>
      <c r="D13" s="329"/>
      <c r="E13" s="329"/>
      <c r="F13" s="329"/>
    </row>
    <row r="14" spans="2:7" ht="15.75">
      <c r="B14" s="346" t="s">
        <v>288</v>
      </c>
      <c r="C14" s="329"/>
      <c r="D14" s="329"/>
      <c r="E14" s="329"/>
      <c r="F14" s="329"/>
    </row>
    <row r="15" spans="2:7" ht="15.75">
      <c r="B15" s="346" t="s">
        <v>248</v>
      </c>
      <c r="C15" s="329"/>
      <c r="D15" s="329"/>
      <c r="E15" s="329"/>
      <c r="F15" s="329"/>
    </row>
    <row r="16" spans="2:7">
      <c r="B16" s="344" t="s">
        <v>289</v>
      </c>
      <c r="C16" s="329">
        <f>'P&amp;L Assistant'!C12</f>
        <v>313472</v>
      </c>
      <c r="D16" s="329">
        <f>'P&amp;L Assistant'!D12</f>
        <v>68571</v>
      </c>
      <c r="E16" s="329">
        <f>'P&amp;L Assistant'!E12</f>
        <v>0</v>
      </c>
      <c r="F16" s="329">
        <f>'P&amp;L Assistant'!F12</f>
        <v>244901</v>
      </c>
    </row>
    <row r="17" spans="2:6">
      <c r="B17" s="344" t="str">
        <f>'P&amp;L Assistant'!B15</f>
        <v>Paper</v>
      </c>
      <c r="C17" s="329">
        <f>'P&amp;L Assistant'!C15</f>
        <v>3635090</v>
      </c>
      <c r="D17" s="329">
        <f>'P&amp;L Assistant'!D15</f>
        <v>1914909</v>
      </c>
      <c r="E17" s="329">
        <f>'P&amp;L Assistant'!E15</f>
        <v>-382</v>
      </c>
      <c r="F17" s="329">
        <f>'P&amp;L Assistant'!F15</f>
        <v>1720563</v>
      </c>
    </row>
    <row r="18" spans="2:6">
      <c r="B18" s="344" t="str">
        <f>'P&amp;L Assistant'!B16</f>
        <v>Carbon &amp; Cartons</v>
      </c>
      <c r="C18" s="329">
        <f>'P&amp;L Assistant'!C16</f>
        <v>187628</v>
      </c>
      <c r="D18" s="329">
        <f>'P&amp;L Assistant'!D16</f>
        <v>101577</v>
      </c>
      <c r="E18" s="329">
        <f>'P&amp;L Assistant'!E16</f>
        <v>0</v>
      </c>
      <c r="F18" s="329">
        <f>'P&amp;L Assistant'!F16</f>
        <v>86051</v>
      </c>
    </row>
    <row r="19" spans="2:6">
      <c r="B19" s="344" t="str">
        <f>'P&amp;L Assistant'!B17</f>
        <v>Ink</v>
      </c>
      <c r="C19" s="329">
        <f>'P&amp;L Assistant'!C17</f>
        <v>94917</v>
      </c>
      <c r="D19" s="329">
        <f>'P&amp;L Assistant'!D17</f>
        <v>76717</v>
      </c>
      <c r="E19" s="329">
        <f>'P&amp;L Assistant'!E17</f>
        <v>1873</v>
      </c>
      <c r="F19" s="329">
        <f>'P&amp;L Assistant'!F17</f>
        <v>16327</v>
      </c>
    </row>
    <row r="20" spans="2:6">
      <c r="B20" s="344" t="str">
        <f>'P&amp;L Assistant'!B18</f>
        <v>Materials + Supplies</v>
      </c>
      <c r="C20" s="329">
        <f>'P&amp;L Assistant'!C18</f>
        <v>206347</v>
      </c>
      <c r="D20" s="329">
        <f>'P&amp;L Assistant'!D18</f>
        <v>138195</v>
      </c>
      <c r="E20" s="329">
        <f>'P&amp;L Assistant'!E18</f>
        <v>4832</v>
      </c>
      <c r="F20" s="329">
        <f>'P&amp;L Assistant'!F18</f>
        <v>63320</v>
      </c>
    </row>
    <row r="21" spans="2:6">
      <c r="B21" s="344" t="str">
        <f>'P&amp;L Assistant'!B19</f>
        <v>Label Material</v>
      </c>
      <c r="C21" s="329">
        <f>'P&amp;L Assistant'!C19</f>
        <v>121477</v>
      </c>
      <c r="D21" s="329">
        <f>'P&amp;L Assistant'!D19</f>
        <v>0</v>
      </c>
      <c r="E21" s="329">
        <f>'P&amp;L Assistant'!E19</f>
        <v>0</v>
      </c>
      <c r="F21" s="329">
        <f>'P&amp;L Assistant'!F19</f>
        <v>121477</v>
      </c>
    </row>
    <row r="22" spans="2:6">
      <c r="B22" s="344" t="str">
        <f>'P&amp;L Assistant'!B20</f>
        <v>Integrated Material</v>
      </c>
      <c r="C22" s="329">
        <f>'P&amp;L Assistant'!C20</f>
        <v>69426</v>
      </c>
      <c r="D22" s="329">
        <f>'P&amp;L Assistant'!D20</f>
        <v>69426</v>
      </c>
      <c r="E22" s="329">
        <f>'P&amp;L Assistant'!E20</f>
        <v>0</v>
      </c>
      <c r="F22" s="329">
        <f>'P&amp;L Assistant'!F20</f>
        <v>0</v>
      </c>
    </row>
    <row r="23" spans="2:6">
      <c r="B23" s="344" t="str">
        <f>'P&amp;L Assistant'!B21</f>
        <v>Envelopes</v>
      </c>
      <c r="C23" s="329">
        <f>'P&amp;L Assistant'!C21</f>
        <v>31055</v>
      </c>
      <c r="D23" s="329">
        <f>'P&amp;L Assistant'!D21</f>
        <v>31055</v>
      </c>
      <c r="E23" s="329">
        <f>'P&amp;L Assistant'!E21</f>
        <v>0</v>
      </c>
      <c r="F23" s="329">
        <f>'P&amp;L Assistant'!F21</f>
        <v>0</v>
      </c>
    </row>
    <row r="24" spans="2:6">
      <c r="B24" s="344" t="str">
        <f>'P&amp;L Assistant'!B22</f>
        <v>Copy Paper</v>
      </c>
      <c r="C24" s="329">
        <f>'P&amp;L Assistant'!C22</f>
        <v>2773</v>
      </c>
      <c r="D24" s="329">
        <f>'P&amp;L Assistant'!D22</f>
        <v>0</v>
      </c>
      <c r="E24" s="329">
        <f>'P&amp;L Assistant'!E22</f>
        <v>0</v>
      </c>
      <c r="F24" s="329">
        <f>'P&amp;L Assistant'!F22</f>
        <v>2773</v>
      </c>
    </row>
    <row r="25" spans="2:6" ht="17.25">
      <c r="B25" s="345" t="s">
        <v>435</v>
      </c>
      <c r="C25" s="343">
        <f>'P&amp;L Assistant'!C43</f>
        <v>-226313</v>
      </c>
      <c r="D25" s="343">
        <f>'P&amp;L Assistant'!D43</f>
        <v>-73583</v>
      </c>
      <c r="E25" s="343">
        <f>'P&amp;L Assistant'!E43</f>
        <v>0</v>
      </c>
      <c r="F25" s="343">
        <f>'P&amp;L Assistant'!F43</f>
        <v>-152730</v>
      </c>
    </row>
    <row r="26" spans="2:6" ht="15.75">
      <c r="B26" s="330" t="str">
        <f>'P&amp;L Assistant'!B23</f>
        <v>Sub-Total Materials</v>
      </c>
      <c r="C26" s="335">
        <f>SUM(C16:C25)</f>
        <v>4435872</v>
      </c>
      <c r="D26" s="335">
        <f>SUM(D16:D25)</f>
        <v>2326867</v>
      </c>
      <c r="E26" s="335">
        <f>SUM(E16:E25)</f>
        <v>6323</v>
      </c>
      <c r="F26" s="335">
        <f>SUM(F16:F25)</f>
        <v>2102682</v>
      </c>
    </row>
    <row r="27" spans="2:6">
      <c r="B27" s="341" t="s">
        <v>52</v>
      </c>
      <c r="C27" s="628">
        <f>C26/C55</f>
        <v>0.52199427997319159</v>
      </c>
      <c r="D27" s="628">
        <f>D26/D55</f>
        <v>0.52581713494947024</v>
      </c>
      <c r="E27" s="628">
        <f>E26/E55</f>
        <v>1.6066924548537191E-2</v>
      </c>
      <c r="F27" s="628">
        <f>F26/F55</f>
        <v>0.57151285585840128</v>
      </c>
    </row>
    <row r="28" spans="2:6" ht="4.5" customHeight="1">
      <c r="B28" s="328"/>
      <c r="C28" s="329"/>
      <c r="D28" s="329"/>
      <c r="E28" s="329"/>
      <c r="F28" s="329"/>
    </row>
    <row r="29" spans="2:6" ht="15.75">
      <c r="B29" s="332" t="s">
        <v>256</v>
      </c>
      <c r="C29" s="329"/>
      <c r="D29" s="329"/>
      <c r="E29" s="329"/>
      <c r="F29" s="329"/>
    </row>
    <row r="30" spans="2:6">
      <c r="B30" s="344" t="str">
        <f>'P&amp;L Assistant'!B26</f>
        <v>Direct Labor Wages</v>
      </c>
      <c r="C30" s="329">
        <f>'P&amp;L Assistant'!C26</f>
        <v>1171096</v>
      </c>
      <c r="D30" s="329">
        <f>'P&amp;L Assistant'!D26</f>
        <v>723248</v>
      </c>
      <c r="E30" s="329">
        <f>'P&amp;L Assistant'!E26</f>
        <v>139496</v>
      </c>
      <c r="F30" s="329">
        <f>'P&amp;L Assistant'!F26</f>
        <v>308352</v>
      </c>
    </row>
    <row r="31" spans="2:6">
      <c r="B31" s="344" t="str">
        <f>'P&amp;L Assistant'!B27</f>
        <v>Indirect Labor Wages</v>
      </c>
      <c r="C31" s="329">
        <f>'P&amp;L Assistant'!C27</f>
        <v>638970</v>
      </c>
      <c r="D31" s="329">
        <f>'P&amp;L Assistant'!D27</f>
        <v>236265</v>
      </c>
      <c r="E31" s="329">
        <f>'P&amp;L Assistant'!E27</f>
        <v>82781</v>
      </c>
      <c r="F31" s="329">
        <f>'P&amp;L Assistant'!F27</f>
        <v>319924</v>
      </c>
    </row>
    <row r="32" spans="2:6">
      <c r="B32" s="344" t="str">
        <f>'P&amp;L Assistant'!B28</f>
        <v>Taxes - Prod Payroll</v>
      </c>
      <c r="C32" s="329">
        <f>'P&amp;L Assistant'!C28</f>
        <v>177233</v>
      </c>
      <c r="D32" s="329">
        <f>'P&amp;L Assistant'!D28</f>
        <v>77804</v>
      </c>
      <c r="E32" s="329">
        <f>'P&amp;L Assistant'!E28</f>
        <v>23956</v>
      </c>
      <c r="F32" s="329">
        <f>'P&amp;L Assistant'!F28</f>
        <v>75473</v>
      </c>
    </row>
    <row r="33" spans="2:6">
      <c r="B33" s="344" t="str">
        <f>'P&amp;L Assistant'!B29</f>
        <v>Supervisor's Salaries</v>
      </c>
      <c r="C33" s="329">
        <f>'P&amp;L Assistant'!C29</f>
        <v>-32017</v>
      </c>
      <c r="D33" s="329">
        <f>'P&amp;L Assistant'!D29</f>
        <v>0</v>
      </c>
      <c r="E33" s="329">
        <f>'P&amp;L Assistant'!E29</f>
        <v>-32017</v>
      </c>
      <c r="F33" s="329">
        <f>'P&amp;L Assistant'!F29</f>
        <v>0</v>
      </c>
    </row>
    <row r="34" spans="2:6">
      <c r="B34" s="344" t="str">
        <f>'P&amp;L Assistant'!B30</f>
        <v>Caretaking-Production</v>
      </c>
      <c r="C34" s="329">
        <f>'P&amp;L Assistant'!C30</f>
        <v>29974</v>
      </c>
      <c r="D34" s="329">
        <f>'P&amp;L Assistant'!D30</f>
        <v>19408</v>
      </c>
      <c r="E34" s="329">
        <f>'P&amp;L Assistant'!E30</f>
        <v>3472</v>
      </c>
      <c r="F34" s="329">
        <f>'P&amp;L Assistant'!F30</f>
        <v>7094</v>
      </c>
    </row>
    <row r="35" spans="2:6" ht="17.25">
      <c r="B35" s="344" t="s">
        <v>436</v>
      </c>
      <c r="C35" s="343">
        <f>'P&amp;L Assistant'!C31</f>
        <v>400267</v>
      </c>
      <c r="D35" s="343">
        <f>'P&amp;L Assistant'!D31</f>
        <v>199401</v>
      </c>
      <c r="E35" s="343">
        <f>'P&amp;L Assistant'!E31</f>
        <v>74985</v>
      </c>
      <c r="F35" s="343">
        <f>'P&amp;L Assistant'!F31</f>
        <v>125881</v>
      </c>
    </row>
    <row r="36" spans="2:6" ht="15.75">
      <c r="B36" s="330" t="str">
        <f>'P&amp;L Assistant'!B32</f>
        <v>Sub-Total Labor</v>
      </c>
      <c r="C36" s="335">
        <f>'P&amp;L Assistant'!C32</f>
        <v>2385523</v>
      </c>
      <c r="D36" s="335">
        <f>'P&amp;L Assistant'!D32</f>
        <v>1256126</v>
      </c>
      <c r="E36" s="335">
        <f>'P&amp;L Assistant'!E32</f>
        <v>292673</v>
      </c>
      <c r="F36" s="335">
        <f>'P&amp;L Assistant'!F32</f>
        <v>836724</v>
      </c>
    </row>
    <row r="37" spans="2:6">
      <c r="B37" s="341" t="s">
        <v>437</v>
      </c>
      <c r="C37" s="628">
        <f>C36/C55</f>
        <v>0.28071805515228754</v>
      </c>
      <c r="D37" s="628">
        <f>D36/D55</f>
        <v>0.28385488919458579</v>
      </c>
      <c r="E37" s="628">
        <f>E36/E55</f>
        <v>0.74369049634572593</v>
      </c>
      <c r="F37" s="628">
        <f>F36/F55</f>
        <v>0.22742313046160328</v>
      </c>
    </row>
    <row r="38" spans="2:6" ht="4.5" customHeight="1">
      <c r="B38" s="328"/>
      <c r="C38" s="329"/>
      <c r="D38" s="329"/>
      <c r="E38" s="329"/>
      <c r="F38" s="329"/>
    </row>
    <row r="39" spans="2:6" ht="15.75">
      <c r="B39" s="332" t="s">
        <v>253</v>
      </c>
      <c r="C39" s="329"/>
      <c r="D39" s="329"/>
      <c r="E39" s="329"/>
      <c r="F39" s="329"/>
    </row>
    <row r="40" spans="2:6">
      <c r="B40" s="344" t="str">
        <f>'P&amp;L Assistant'!B35</f>
        <v>Rent</v>
      </c>
      <c r="C40" s="329">
        <f>'P&amp;L Assistant'!C35</f>
        <v>126000</v>
      </c>
      <c r="D40" s="329">
        <f>'P&amp;L Assistant'!D35</f>
        <v>0</v>
      </c>
      <c r="E40" s="329">
        <f>'P&amp;L Assistant'!E35</f>
        <v>30000</v>
      </c>
      <c r="F40" s="329">
        <f>'P&amp;L Assistant'!F35</f>
        <v>96000</v>
      </c>
    </row>
    <row r="41" spans="2:6">
      <c r="B41" s="344" t="s">
        <v>438</v>
      </c>
      <c r="C41" s="329">
        <f>'P&amp;L Assistant'!C36*0.8</f>
        <v>191103.2</v>
      </c>
      <c r="D41" s="329">
        <f>'P&amp;L Assistant'!D36*0.8</f>
        <v>88032.8</v>
      </c>
      <c r="E41" s="329">
        <f>'P&amp;L Assistant'!E36*0.8</f>
        <v>19714.400000000001</v>
      </c>
      <c r="F41" s="329">
        <f>'P&amp;L Assistant'!F36*0.8</f>
        <v>83356</v>
      </c>
    </row>
    <row r="42" spans="2:6">
      <c r="B42" s="344" t="str">
        <f>'P&amp;L Assistant'!B37</f>
        <v>Depreciation</v>
      </c>
      <c r="C42" s="329">
        <f>'P&amp;L Assistant'!C37</f>
        <v>170855</v>
      </c>
      <c r="D42" s="329">
        <f>'P&amp;L Assistant'!D37</f>
        <v>100486</v>
      </c>
      <c r="E42" s="329">
        <f>'P&amp;L Assistant'!E37</f>
        <v>3757</v>
      </c>
      <c r="F42" s="329">
        <f>'P&amp;L Assistant'!F37</f>
        <v>66612</v>
      </c>
    </row>
    <row r="43" spans="2:6">
      <c r="B43" s="344" t="str">
        <f>'P&amp;L Assistant'!B38</f>
        <v>Repairs &amp; Maintenance</v>
      </c>
      <c r="C43" s="329">
        <f>'P&amp;L Assistant'!C38</f>
        <v>137971</v>
      </c>
      <c r="D43" s="329">
        <f>'P&amp;L Assistant'!D38</f>
        <v>67316</v>
      </c>
      <c r="E43" s="329">
        <f>'P&amp;L Assistant'!E38</f>
        <v>22352</v>
      </c>
      <c r="F43" s="329">
        <f>'P&amp;L Assistant'!F38</f>
        <v>48303</v>
      </c>
    </row>
    <row r="44" spans="2:6">
      <c r="B44" s="344" t="str">
        <f>'P&amp;L Assistant'!B39</f>
        <v>Plates &amp; Comp Charges</v>
      </c>
      <c r="C44" s="329">
        <f>'P&amp;L Assistant'!C39</f>
        <v>134079</v>
      </c>
      <c r="D44" s="329">
        <f>'P&amp;L Assistant'!D39</f>
        <v>105961</v>
      </c>
      <c r="E44" s="329">
        <f>'P&amp;L Assistant'!E39</f>
        <v>0</v>
      </c>
      <c r="F44" s="329">
        <f>'P&amp;L Assistant'!F39</f>
        <v>28118</v>
      </c>
    </row>
    <row r="45" spans="2:6" ht="17.25">
      <c r="B45" s="344" t="str">
        <f>'P&amp;L Assistant'!B40</f>
        <v>Misc. Plant Overhead</v>
      </c>
      <c r="C45" s="343">
        <f>'P&amp;L Assistant'!C40</f>
        <v>101009</v>
      </c>
      <c r="D45" s="343">
        <f>'P&amp;L Assistant'!D40</f>
        <v>41545</v>
      </c>
      <c r="E45" s="343">
        <f>'P&amp;L Assistant'!E40</f>
        <v>9974</v>
      </c>
      <c r="F45" s="343">
        <f>'P&amp;L Assistant'!F40</f>
        <v>49490</v>
      </c>
    </row>
    <row r="46" spans="2:6" ht="15.75">
      <c r="B46" s="330" t="str">
        <f>'P&amp;L Assistant'!B41</f>
        <v>Sub-Total Plant Overhead</v>
      </c>
      <c r="C46" s="335">
        <f>SUM(C40:C45)</f>
        <v>861017.2</v>
      </c>
      <c r="D46" s="335">
        <f>SUM(D40:D45)</f>
        <v>403340.79999999999</v>
      </c>
      <c r="E46" s="335">
        <f>SUM(E40:E45)</f>
        <v>85797.4</v>
      </c>
      <c r="F46" s="335">
        <f>SUM(F40:F45)</f>
        <v>371879</v>
      </c>
    </row>
    <row r="47" spans="2:6">
      <c r="B47" s="341" t="s">
        <v>52</v>
      </c>
      <c r="C47" s="628">
        <f>C46/C55</f>
        <v>0.10132078954454356</v>
      </c>
      <c r="D47" s="628">
        <f>D46/D55</f>
        <v>9.1145520506426575E-2</v>
      </c>
      <c r="E47" s="628">
        <f>E46/E55</f>
        <v>0.21801365684970184</v>
      </c>
      <c r="F47" s="628">
        <f>F46/F55</f>
        <v>0.10107739987490566</v>
      </c>
    </row>
    <row r="48" spans="2:6" ht="4.5" customHeight="1">
      <c r="B48" s="328"/>
      <c r="C48" s="329"/>
      <c r="D48" s="329"/>
      <c r="E48" s="329"/>
      <c r="F48" s="329"/>
    </row>
    <row r="49" spans="2:6" ht="15.75">
      <c r="B49" s="342" t="s">
        <v>439</v>
      </c>
      <c r="C49" s="335">
        <f>'P&amp;L Assistant'!C46+'P&amp;L Assistant'!C47+'P&amp;L Assistant'!C48+'P&amp;L Assistant'!C49+'P&amp;L Assistant'!C50</f>
        <v>643122</v>
      </c>
      <c r="D49" s="335">
        <f>'P&amp;L Assistant'!D46+'P&amp;L Assistant'!D47+'P&amp;L Assistant'!D48+'P&amp;L Assistant'!D49+'P&amp;L Assistant'!D50</f>
        <v>348126.33366698743</v>
      </c>
      <c r="E49" s="335">
        <f>'P&amp;L Assistant'!E46+'P&amp;L Assistant'!E47+'P&amp;L Assistant'!E48+'P&amp;L Assistant'!E49+'P&amp;L Assistant'!E50</f>
        <v>13.982697652990577</v>
      </c>
      <c r="F49" s="335">
        <f>'P&amp;L Assistant'!F46+'P&amp;L Assistant'!F47+'P&amp;L Assistant'!F48+'P&amp;L Assistant'!F49+'P&amp;L Assistant'!F50</f>
        <v>294981.68363535963</v>
      </c>
    </row>
    <row r="50" spans="2:6">
      <c r="B50" s="341" t="s">
        <v>52</v>
      </c>
      <c r="C50" s="628">
        <f>C49/C55</f>
        <v>7.5679822439628314E-2</v>
      </c>
      <c r="D50" s="628">
        <f>D49/D55</f>
        <v>7.8668351637303999E-2</v>
      </c>
      <c r="E50" s="628">
        <f>E49/E55</f>
        <v>3.5530436213127896E-5</v>
      </c>
      <c r="F50" s="628">
        <f>F49/F55</f>
        <v>8.0176567089252582E-2</v>
      </c>
    </row>
    <row r="51" spans="2:6" ht="4.5" customHeight="1">
      <c r="B51" s="328"/>
      <c r="C51" s="329"/>
      <c r="D51" s="329"/>
      <c r="E51" s="329"/>
      <c r="F51" s="329"/>
    </row>
    <row r="52" spans="2:6" ht="15.75">
      <c r="B52" s="342" t="s">
        <v>440</v>
      </c>
      <c r="C52" s="335">
        <f>'P&amp;L Assistant'!C56</f>
        <v>172398</v>
      </c>
      <c r="D52" s="335">
        <f>'P&amp;L Assistant'!D56</f>
        <v>90779.831598895456</v>
      </c>
      <c r="E52" s="335">
        <f>'P&amp;L Assistant'!E56</f>
        <v>8734.0185144212664</v>
      </c>
      <c r="F52" s="335">
        <f>'P&amp;L Assistant'!F56</f>
        <v>72884.149886683284</v>
      </c>
    </row>
    <row r="53" spans="2:6">
      <c r="B53" s="341" t="s">
        <v>52</v>
      </c>
      <c r="C53" s="628">
        <f>C52/C55</f>
        <v>2.028705289034902E-2</v>
      </c>
      <c r="D53" s="628">
        <f>D52/D55</f>
        <v>2.0514103712213287E-2</v>
      </c>
      <c r="E53" s="628">
        <f>E52/E55</f>
        <v>2.2193391819821821E-2</v>
      </c>
      <c r="F53" s="628">
        <f>F52/F55</f>
        <v>1.9810046715837266E-2</v>
      </c>
    </row>
    <row r="54" spans="2:6" ht="4.5" customHeight="1">
      <c r="B54" s="341"/>
      <c r="C54" s="329"/>
      <c r="D54" s="329"/>
      <c r="E54" s="329"/>
      <c r="F54" s="329"/>
    </row>
    <row r="55" spans="2:6" ht="15.75">
      <c r="B55" s="330" t="s">
        <v>283</v>
      </c>
      <c r="C55" s="340">
        <f>C26+C36+C46+C49+C52</f>
        <v>8497932.1999999993</v>
      </c>
      <c r="D55" s="340">
        <f>D26+D36+D46+D49+D52</f>
        <v>4425239.9652658831</v>
      </c>
      <c r="E55" s="340">
        <f>E26+E36+E46+E49+E52</f>
        <v>393541.40121207427</v>
      </c>
      <c r="F55" s="340">
        <f>F26+F36+F46+F49+F52</f>
        <v>3679150.8335220427</v>
      </c>
    </row>
    <row r="56" spans="2:6" ht="4.5" customHeight="1">
      <c r="B56" s="328"/>
      <c r="C56" s="329"/>
      <c r="D56" s="329"/>
      <c r="E56" s="329"/>
      <c r="F56" s="329"/>
    </row>
    <row r="57" spans="2:6" ht="15.75">
      <c r="B57" s="339" t="s">
        <v>441</v>
      </c>
      <c r="C57" s="338">
        <f>C12-C55</f>
        <v>1031133.8000000007</v>
      </c>
      <c r="D57" s="338">
        <f>D12-D55</f>
        <v>507203.03473411687</v>
      </c>
      <c r="E57" s="338">
        <f>E12-E55</f>
        <v>143856.59878792573</v>
      </c>
      <c r="F57" s="338">
        <f>F12-F55</f>
        <v>380074.16647795727</v>
      </c>
    </row>
    <row r="58" spans="2:6">
      <c r="B58" s="337" t="s">
        <v>184</v>
      </c>
      <c r="C58" s="629">
        <f>C57/C12</f>
        <v>0.10820932502723779</v>
      </c>
      <c r="D58" s="629">
        <f>D57/D12</f>
        <v>0.10282998399254017</v>
      </c>
      <c r="E58" s="629">
        <f>E57/E12</f>
        <v>0.26769098282450943</v>
      </c>
      <c r="F58" s="629">
        <f>F57/F12</f>
        <v>9.3632199860307644E-2</v>
      </c>
    </row>
    <row r="59" spans="2:6" ht="4.5" customHeight="1">
      <c r="B59" s="328"/>
      <c r="C59" s="329"/>
      <c r="D59" s="329"/>
      <c r="E59" s="329"/>
      <c r="F59" s="329"/>
    </row>
    <row r="60" spans="2:6">
      <c r="B60" s="336" t="s">
        <v>329</v>
      </c>
      <c r="C60" s="329">
        <f>'P&amp;L Assistant'!C58+'P&amp;L Assistant'!C59+'P&amp;L Assistant'!C60</f>
        <v>1312387</v>
      </c>
      <c r="D60" s="329">
        <f>'P&amp;L Assistant'!D58+'P&amp;L Assistant'!D59+'P&amp;L Assistant'!D60</f>
        <v>684101.31275415665</v>
      </c>
      <c r="E60" s="329">
        <f>'P&amp;L Assistant'!E58+'P&amp;L Assistant'!E59+'P&amp;L Assistant'!E60</f>
        <v>68944.067177304736</v>
      </c>
      <c r="F60" s="329">
        <f>'P&amp;L Assistant'!F58+'P&amp;L Assistant'!F59+'P&amp;L Assistant'!F60</f>
        <v>559341.62006853858</v>
      </c>
    </row>
    <row r="61" spans="2:6">
      <c r="B61" s="336" t="s">
        <v>442</v>
      </c>
      <c r="C61" s="329">
        <f>'P&amp;L Assistant'!C36*0.2</f>
        <v>47775.8</v>
      </c>
      <c r="D61" s="329">
        <f>'P&amp;L Assistant'!D36*0.2</f>
        <v>22008.2</v>
      </c>
      <c r="E61" s="329">
        <f>'P&amp;L Assistant'!E36*0.2</f>
        <v>4928.6000000000004</v>
      </c>
      <c r="F61" s="329">
        <f>'P&amp;L Assistant'!F36*0.2</f>
        <v>20839</v>
      </c>
    </row>
    <row r="62" spans="2:6" ht="15.75">
      <c r="B62" s="330" t="s">
        <v>443</v>
      </c>
      <c r="C62" s="335">
        <f>SUM(C60:C61)</f>
        <v>1360162.8</v>
      </c>
      <c r="D62" s="335">
        <f>SUM(D60:D61)</f>
        <v>706109.5127541566</v>
      </c>
      <c r="E62" s="335">
        <f>SUM(E60:E61)</f>
        <v>73872.667177304742</v>
      </c>
      <c r="F62" s="335">
        <f>SUM(F60:F61)</f>
        <v>580180.62006853858</v>
      </c>
    </row>
    <row r="63" spans="2:6" ht="4.5" customHeight="1">
      <c r="B63" s="328"/>
      <c r="C63" s="329"/>
      <c r="D63" s="329"/>
      <c r="E63" s="329"/>
      <c r="F63" s="329"/>
    </row>
    <row r="64" spans="2:6" ht="15.75">
      <c r="B64" s="334" t="s">
        <v>444</v>
      </c>
      <c r="C64" s="333">
        <f>C57-C62</f>
        <v>-329028.9999999993</v>
      </c>
      <c r="D64" s="333">
        <f>D57-D62</f>
        <v>-198906.47802003974</v>
      </c>
      <c r="E64" s="333">
        <f>E57-E62</f>
        <v>69983.931610620988</v>
      </c>
      <c r="F64" s="333">
        <f>F57-F62</f>
        <v>-200106.45359058131</v>
      </c>
    </row>
    <row r="65" spans="2:6" ht="4.5" customHeight="1">
      <c r="B65" s="328"/>
      <c r="C65" s="327"/>
      <c r="D65" s="327"/>
      <c r="E65" s="327"/>
      <c r="F65" s="327"/>
    </row>
    <row r="66" spans="2:6" ht="15.75" hidden="1">
      <c r="B66" s="332" t="s">
        <v>334</v>
      </c>
      <c r="C66" s="327"/>
      <c r="D66" s="327"/>
      <c r="E66" s="327"/>
      <c r="F66" s="327"/>
    </row>
    <row r="67" spans="2:6" hidden="1">
      <c r="B67" s="331" t="s">
        <v>445</v>
      </c>
      <c r="C67" s="329">
        <f>'P&amp;L Assistant'!C68</f>
        <v>98050</v>
      </c>
      <c r="D67" s="329">
        <f>'P&amp;L Assistant'!D68</f>
        <v>87202</v>
      </c>
      <c r="E67" s="329">
        <f>'P&amp;L Assistant'!E68</f>
        <v>5100</v>
      </c>
      <c r="F67" s="329">
        <f>'P&amp;L Assistant'!F68</f>
        <v>5748</v>
      </c>
    </row>
    <row r="68" spans="2:6" hidden="1">
      <c r="B68" s="331" t="s">
        <v>99</v>
      </c>
      <c r="C68" s="329">
        <f>'P&amp;L Assistant'!C75+'P&amp;L Assistant'!C76</f>
        <v>-19142</v>
      </c>
      <c r="D68" s="329">
        <f>'P&amp;L Assistant'!D75+'P&amp;L Assistant'!D76</f>
        <v>-10079.627005336819</v>
      </c>
      <c r="E68" s="329">
        <f>'P&amp;L Assistant'!E75+'P&amp;L Assistant'!E76</f>
        <v>-969.77100896212175</v>
      </c>
      <c r="F68" s="329">
        <f>'P&amp;L Assistant'!F75+'P&amp;L Assistant'!F76</f>
        <v>-8092.6019857010606</v>
      </c>
    </row>
    <row r="69" spans="2:6" hidden="1">
      <c r="B69" s="331" t="s">
        <v>446</v>
      </c>
      <c r="C69" s="329">
        <f>'P&amp;L Assistant'!C72+'P&amp;L Assistant'!C77</f>
        <v>2666</v>
      </c>
      <c r="D69" s="329">
        <f>'P&amp;L Assistant'!D72+'P&amp;L Assistant'!D77</f>
        <v>1403.8389716972083</v>
      </c>
      <c r="E69" s="329">
        <f>'P&amp;L Assistant'!E72+'P&amp;L Assistant'!E77</f>
        <v>135.06475341620609</v>
      </c>
      <c r="F69" s="329">
        <f>'P&amp;L Assistant'!F72+'P&amp;L Assistant'!F77</f>
        <v>1127.0962748865859</v>
      </c>
    </row>
    <row r="70" spans="2:6" hidden="1">
      <c r="B70" s="331" t="s">
        <v>98</v>
      </c>
      <c r="C70" s="329">
        <f>'P&amp;L Assistant'!C73+'P&amp;L Assistant'!C78</f>
        <v>62385</v>
      </c>
      <c r="D70" s="329">
        <f>'P&amp;L Assistant'!D73+'P&amp;L Assistant'!D78</f>
        <v>32850.14788046899</v>
      </c>
      <c r="E70" s="329">
        <f>'P&amp;L Assistant'!E73+'P&amp;L Assistant'!E78</f>
        <v>3160.5456271080329</v>
      </c>
      <c r="F70" s="329">
        <f>'P&amp;L Assistant'!F73+'P&amp;L Assistant'!F78</f>
        <v>26374.306492422977</v>
      </c>
    </row>
    <row r="71" spans="2:6" hidden="1">
      <c r="B71" s="331" t="s">
        <v>336</v>
      </c>
      <c r="C71" s="329">
        <f>'P&amp;L Assistant'!C69+'P&amp;L Assistant'!C74</f>
        <v>27993</v>
      </c>
      <c r="D71" s="329">
        <f>'P&amp;L Assistant'!D69+'P&amp;L Assistant'!D74</f>
        <v>14751.34292978783</v>
      </c>
      <c r="E71" s="329">
        <f>'P&amp;L Assistant'!E69+'P&amp;L Assistant'!E74</f>
        <v>1414.4309267168258</v>
      </c>
      <c r="F71" s="329">
        <f>'P&amp;L Assistant'!F69+'P&amp;L Assistant'!F74</f>
        <v>11827.226143495345</v>
      </c>
    </row>
    <row r="72" spans="2:6" ht="15.75">
      <c r="B72" s="330" t="s">
        <v>339</v>
      </c>
      <c r="C72" s="329">
        <f>SUM(C67:C71)</f>
        <v>171952</v>
      </c>
      <c r="D72" s="329">
        <f>SUM(D67:D71)</f>
        <v>126127.70277661721</v>
      </c>
      <c r="E72" s="329">
        <f>SUM(E67:E71)</f>
        <v>8840.2702982789433</v>
      </c>
      <c r="F72" s="329">
        <f>SUM(F67:F71)</f>
        <v>36984.026925103848</v>
      </c>
    </row>
    <row r="73" spans="2:6" ht="4.5" customHeight="1" thickBot="1">
      <c r="B73" s="328"/>
      <c r="C73" s="327"/>
      <c r="D73" s="327"/>
      <c r="E73" s="327"/>
      <c r="F73" s="327"/>
    </row>
    <row r="74" spans="2:6" ht="19.5" thickBot="1">
      <c r="B74" s="326" t="s">
        <v>447</v>
      </c>
      <c r="C74" s="325">
        <f>C64+C72+330+N("Rounding Error Correction")</f>
        <v>-156746.9999999993</v>
      </c>
      <c r="D74" s="325">
        <f>D64+D72</f>
        <v>-72778.775243422526</v>
      </c>
      <c r="E74" s="325">
        <f>E64+E72</f>
        <v>78824.201908899937</v>
      </c>
      <c r="F74" s="325">
        <f>F64+F72</f>
        <v>-163122.42666547745</v>
      </c>
    </row>
    <row r="75" spans="2:6">
      <c r="B75" s="582" t="s">
        <v>448</v>
      </c>
      <c r="C75" s="582"/>
      <c r="D75" s="582"/>
      <c r="E75" s="582"/>
      <c r="F75" s="582"/>
    </row>
    <row r="76" spans="2:6">
      <c r="B76" s="580"/>
      <c r="C76" s="580"/>
      <c r="D76" s="580"/>
      <c r="E76" s="580"/>
      <c r="F76" s="580"/>
    </row>
    <row r="77" spans="2:6">
      <c r="B77" s="583" t="s">
        <v>449</v>
      </c>
      <c r="C77" s="583"/>
      <c r="D77" s="583"/>
      <c r="E77" s="583"/>
      <c r="F77" s="583"/>
    </row>
    <row r="78" spans="2:6">
      <c r="B78" s="583"/>
      <c r="C78" s="583"/>
      <c r="D78" s="583"/>
      <c r="E78" s="583"/>
      <c r="F78" s="583"/>
    </row>
    <row r="79" spans="2:6" ht="14.45" customHeight="1">
      <c r="B79" s="580" t="s">
        <v>450</v>
      </c>
      <c r="C79" s="580"/>
      <c r="D79" s="580"/>
      <c r="E79" s="580"/>
      <c r="F79" s="580"/>
    </row>
    <row r="80" spans="2:6">
      <c r="B80" s="580"/>
      <c r="C80" s="580"/>
      <c r="D80" s="580"/>
      <c r="E80" s="580"/>
      <c r="F80" s="580"/>
    </row>
    <row r="81" spans="2:6">
      <c r="B81" s="580"/>
      <c r="C81" s="580"/>
      <c r="D81" s="580"/>
      <c r="E81" s="580"/>
      <c r="F81" s="580"/>
    </row>
    <row r="82" spans="2:6">
      <c r="B82" s="580" t="s">
        <v>451</v>
      </c>
      <c r="C82" s="580"/>
      <c r="D82" s="580"/>
      <c r="E82" s="580"/>
      <c r="F82" s="580"/>
    </row>
    <row r="83" spans="2:6">
      <c r="B83" s="580"/>
      <c r="C83" s="580"/>
      <c r="D83" s="580"/>
      <c r="E83" s="580"/>
      <c r="F83" s="580"/>
    </row>
  </sheetData>
  <mergeCells count="7">
    <mergeCell ref="B82:F83"/>
    <mergeCell ref="B75:F76"/>
    <mergeCell ref="C2:F2"/>
    <mergeCell ref="C3:F3"/>
    <mergeCell ref="C4:F4"/>
    <mergeCell ref="B77:F78"/>
    <mergeCell ref="B79:F81"/>
  </mergeCells>
  <conditionalFormatting sqref="C64:F64">
    <cfRule type="cellIs" dxfId="1" priority="1" operator="lessThan">
      <formula>0</formula>
    </cfRule>
  </conditionalFormatting>
  <conditionalFormatting sqref="C74:F74">
    <cfRule type="cellIs" dxfId="0" priority="2" operator="lessThan">
      <formula>0</formula>
    </cfRule>
  </conditionalFormatting>
  <pageMargins left="0.7" right="0.7" top="0.75" bottom="0.75" header="0.3" footer="0.3"/>
  <pageSetup scale="70"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5"/>
  <dimension ref="A1:L80"/>
  <sheetViews>
    <sheetView workbookViewId="0"/>
  </sheetViews>
  <sheetFormatPr defaultRowHeight="12.75"/>
  <cols>
    <col min="1" max="1" width="3.5703125" customWidth="1"/>
    <col min="2" max="2" width="31.42578125" customWidth="1"/>
    <col min="3" max="3" width="10.28515625" customWidth="1"/>
    <col min="4" max="4" width="10" customWidth="1"/>
    <col min="5" max="8" width="9.7109375" customWidth="1"/>
  </cols>
  <sheetData>
    <row r="1" spans="1:12" ht="15.75">
      <c r="A1" s="2" t="s">
        <v>452</v>
      </c>
      <c r="B1" s="556"/>
      <c r="C1" s="41"/>
      <c r="D1" s="41" t="s">
        <v>453</v>
      </c>
      <c r="E1" s="2"/>
      <c r="F1" s="2"/>
      <c r="G1" s="17"/>
      <c r="H1" s="41"/>
      <c r="I1" s="41"/>
      <c r="J1" s="2"/>
      <c r="K1" s="2"/>
      <c r="L1" s="17"/>
    </row>
    <row r="2" spans="1:12">
      <c r="A2" s="2" t="s">
        <v>454</v>
      </c>
      <c r="B2" s="2"/>
      <c r="C2" s="50"/>
      <c r="D2" s="50" t="s">
        <v>455</v>
      </c>
      <c r="E2" s="50"/>
      <c r="F2" s="50"/>
      <c r="G2" s="17"/>
      <c r="H2" s="50"/>
      <c r="I2" s="50"/>
      <c r="J2" s="50"/>
      <c r="K2" s="50"/>
      <c r="L2" s="17"/>
    </row>
    <row r="3" spans="1:12">
      <c r="A3" s="25"/>
      <c r="B3" s="556"/>
      <c r="C3" s="50"/>
      <c r="D3" s="50" t="s">
        <v>456</v>
      </c>
      <c r="E3" s="50"/>
      <c r="F3" s="50"/>
      <c r="G3" s="17"/>
      <c r="H3" s="50"/>
      <c r="I3" s="50"/>
      <c r="J3" s="50"/>
      <c r="K3" s="50"/>
      <c r="L3" s="17"/>
    </row>
    <row r="4" spans="1:12">
      <c r="A4" s="25"/>
      <c r="B4" s="556"/>
      <c r="C4" s="50"/>
      <c r="D4" s="50" t="s">
        <v>457</v>
      </c>
      <c r="E4" s="50"/>
      <c r="F4" s="50"/>
      <c r="G4" s="17"/>
      <c r="H4" s="50"/>
      <c r="I4" s="50"/>
      <c r="J4" s="50"/>
      <c r="K4" s="50"/>
      <c r="L4" s="17"/>
    </row>
    <row r="5" spans="1:12">
      <c r="A5" s="25"/>
      <c r="B5" s="556"/>
      <c r="C5" s="50"/>
      <c r="D5" s="50" t="s">
        <v>458</v>
      </c>
      <c r="E5" s="50"/>
      <c r="F5" s="50"/>
      <c r="G5" s="17"/>
      <c r="H5" s="50"/>
      <c r="I5" s="50"/>
      <c r="J5" s="50"/>
      <c r="K5" s="50"/>
      <c r="L5" s="17"/>
    </row>
    <row r="6" spans="1:12" ht="5.0999999999999996" customHeight="1" thickBot="1">
      <c r="A6" s="556"/>
      <c r="B6" s="556"/>
      <c r="C6" s="556"/>
      <c r="D6" s="556"/>
      <c r="E6" s="31"/>
      <c r="F6" s="556"/>
      <c r="G6" s="556"/>
      <c r="H6" s="556"/>
      <c r="I6" s="556"/>
      <c r="J6" s="556"/>
      <c r="K6" s="556"/>
      <c r="L6" s="556"/>
    </row>
    <row r="7" spans="1:12">
      <c r="A7" s="134"/>
      <c r="B7" s="55"/>
      <c r="C7" s="79"/>
      <c r="D7" s="73" t="s">
        <v>5</v>
      </c>
      <c r="E7" s="80"/>
      <c r="F7" s="55"/>
      <c r="G7" s="55"/>
      <c r="H7" s="55"/>
      <c r="I7" s="556"/>
      <c r="J7" s="556"/>
      <c r="K7" s="556"/>
      <c r="L7" s="556"/>
    </row>
    <row r="8" spans="1:12" ht="15.75">
      <c r="A8" s="135"/>
      <c r="B8" s="136"/>
      <c r="C8" s="71" t="s">
        <v>459</v>
      </c>
      <c r="D8" s="74" t="s">
        <v>460</v>
      </c>
      <c r="E8" s="132" t="s">
        <v>7</v>
      </c>
      <c r="F8" s="133" t="s">
        <v>7</v>
      </c>
      <c r="G8" s="133" t="s">
        <v>7</v>
      </c>
      <c r="H8" s="133" t="s">
        <v>7</v>
      </c>
      <c r="I8" s="556"/>
      <c r="J8" s="556"/>
      <c r="K8" s="556"/>
      <c r="L8" s="556"/>
    </row>
    <row r="9" spans="1:12" ht="18.75" thickBot="1">
      <c r="A9" s="137" t="s">
        <v>8</v>
      </c>
      <c r="B9" s="136"/>
      <c r="C9" s="97">
        <v>2018</v>
      </c>
      <c r="D9" s="94">
        <v>2018</v>
      </c>
      <c r="E9" s="95" t="s">
        <v>461</v>
      </c>
      <c r="F9" s="96">
        <v>2016</v>
      </c>
      <c r="G9" s="96">
        <v>2015</v>
      </c>
      <c r="H9" s="96">
        <v>2014</v>
      </c>
      <c r="I9" s="556"/>
      <c r="J9" s="556"/>
      <c r="K9" s="556"/>
      <c r="L9" s="556"/>
    </row>
    <row r="10" spans="1:12">
      <c r="A10" s="113"/>
      <c r="B10" s="138" t="s">
        <v>462</v>
      </c>
      <c r="C10" s="72"/>
      <c r="D10" s="75"/>
      <c r="E10" s="81"/>
      <c r="F10" s="56"/>
      <c r="G10" s="123"/>
      <c r="H10" s="123"/>
      <c r="I10" s="556"/>
      <c r="J10" s="556"/>
      <c r="K10" s="556"/>
      <c r="L10" s="556"/>
    </row>
    <row r="11" spans="1:12">
      <c r="A11" s="113"/>
      <c r="B11" s="630" t="s">
        <v>463</v>
      </c>
      <c r="C11" s="631">
        <v>15796</v>
      </c>
      <c r="D11" s="632">
        <v>13163</v>
      </c>
      <c r="E11" s="82">
        <v>17905</v>
      </c>
      <c r="F11" s="57">
        <v>18613</v>
      </c>
      <c r="G11" s="124">
        <v>20081</v>
      </c>
      <c r="H11" s="633">
        <v>22786</v>
      </c>
      <c r="I11" s="556"/>
      <c r="J11" s="556"/>
      <c r="K11" s="556"/>
      <c r="L11" s="556"/>
    </row>
    <row r="12" spans="1:12" ht="15">
      <c r="A12" s="113"/>
      <c r="B12" s="630" t="s">
        <v>464</v>
      </c>
      <c r="C12" s="103">
        <v>703</v>
      </c>
      <c r="D12" s="76">
        <v>586</v>
      </c>
      <c r="E12" s="76">
        <v>693</v>
      </c>
      <c r="F12" s="58">
        <v>701</v>
      </c>
      <c r="G12" s="150">
        <v>689</v>
      </c>
      <c r="H12" s="150">
        <v>577</v>
      </c>
      <c r="I12" s="556"/>
      <c r="J12" s="556"/>
      <c r="K12" s="556"/>
      <c r="L12" s="556"/>
    </row>
    <row r="13" spans="1:12">
      <c r="A13" s="113"/>
      <c r="B13" s="139" t="s">
        <v>465</v>
      </c>
      <c r="C13" s="102">
        <f t="shared" ref="C13:H13" si="0">SUM(C11:C12)</f>
        <v>16499</v>
      </c>
      <c r="D13" s="83">
        <f t="shared" si="0"/>
        <v>13749</v>
      </c>
      <c r="E13" s="83">
        <f t="shared" si="0"/>
        <v>18598</v>
      </c>
      <c r="F13" s="87">
        <f t="shared" si="0"/>
        <v>19314</v>
      </c>
      <c r="G13" s="151">
        <f t="shared" si="0"/>
        <v>20770</v>
      </c>
      <c r="H13" s="151">
        <f t="shared" si="0"/>
        <v>23363</v>
      </c>
      <c r="I13" s="556"/>
      <c r="J13" s="556"/>
      <c r="K13" s="556"/>
      <c r="L13" s="556"/>
    </row>
    <row r="14" spans="1:12" ht="5.45" customHeight="1">
      <c r="A14" s="113"/>
      <c r="B14" s="630"/>
      <c r="C14" s="631"/>
      <c r="D14" s="634"/>
      <c r="E14" s="81"/>
      <c r="F14" s="56"/>
      <c r="G14" s="124"/>
      <c r="H14" s="124"/>
      <c r="I14" s="556"/>
      <c r="J14" s="556"/>
      <c r="K14" s="556"/>
      <c r="L14" s="556"/>
    </row>
    <row r="15" spans="1:12">
      <c r="A15" s="113"/>
      <c r="B15" s="138" t="s">
        <v>288</v>
      </c>
      <c r="C15" s="100"/>
      <c r="D15" s="75"/>
      <c r="E15" s="81"/>
      <c r="F15" s="59"/>
      <c r="G15" s="124"/>
      <c r="H15" s="124"/>
      <c r="I15" s="556"/>
      <c r="J15" s="556"/>
      <c r="K15" s="556"/>
      <c r="L15" s="556"/>
    </row>
    <row r="16" spans="1:12">
      <c r="A16" s="113"/>
      <c r="B16" s="630" t="s">
        <v>466</v>
      </c>
      <c r="C16" s="631">
        <v>0</v>
      </c>
      <c r="D16" s="635">
        <v>0</v>
      </c>
      <c r="E16" s="82">
        <v>1388</v>
      </c>
      <c r="F16" s="60">
        <v>1509</v>
      </c>
      <c r="G16" s="124">
        <v>1914</v>
      </c>
      <c r="H16" s="124">
        <v>2154</v>
      </c>
      <c r="I16" s="556"/>
      <c r="J16" s="556"/>
      <c r="K16" s="556"/>
      <c r="L16" s="556"/>
    </row>
    <row r="17" spans="1:8">
      <c r="A17" s="113"/>
      <c r="B17" s="140" t="s">
        <v>467</v>
      </c>
      <c r="C17" s="105">
        <v>14809</v>
      </c>
      <c r="D17" s="632">
        <v>12341</v>
      </c>
      <c r="E17" s="82">
        <v>15854</v>
      </c>
      <c r="F17" s="60">
        <v>16768</v>
      </c>
      <c r="G17" s="124">
        <v>17676</v>
      </c>
      <c r="H17" s="124">
        <v>20705</v>
      </c>
    </row>
    <row r="18" spans="1:8" ht="15">
      <c r="A18" s="113"/>
      <c r="B18" s="630" t="s">
        <v>468</v>
      </c>
      <c r="C18" s="106">
        <v>0</v>
      </c>
      <c r="D18" s="104">
        <v>0</v>
      </c>
      <c r="E18" s="76">
        <v>-896</v>
      </c>
      <c r="F18" s="61">
        <v>-1388</v>
      </c>
      <c r="G18" s="150">
        <v>-1509</v>
      </c>
      <c r="H18" s="150">
        <v>-1914</v>
      </c>
    </row>
    <row r="19" spans="1:8">
      <c r="A19" s="113"/>
      <c r="B19" s="139" t="s">
        <v>469</v>
      </c>
      <c r="C19" s="102">
        <f t="shared" ref="C19:H19" si="1">SUM(C16:C18)</f>
        <v>14809</v>
      </c>
      <c r="D19" s="77">
        <f t="shared" si="1"/>
        <v>12341</v>
      </c>
      <c r="E19" s="83">
        <f t="shared" si="1"/>
        <v>16346</v>
      </c>
      <c r="F19" s="62">
        <f t="shared" si="1"/>
        <v>16889</v>
      </c>
      <c r="G19" s="151">
        <f t="shared" si="1"/>
        <v>18081</v>
      </c>
      <c r="H19" s="154">
        <f t="shared" si="1"/>
        <v>20945</v>
      </c>
    </row>
    <row r="20" spans="1:8" ht="5.45" customHeight="1">
      <c r="A20" s="113"/>
      <c r="B20" s="630"/>
      <c r="C20" s="636"/>
      <c r="D20" s="634"/>
      <c r="E20" s="81"/>
      <c r="F20" s="59"/>
      <c r="G20" s="124"/>
      <c r="H20" s="124"/>
    </row>
    <row r="21" spans="1:8">
      <c r="A21" s="113"/>
      <c r="B21" s="138" t="s">
        <v>470</v>
      </c>
      <c r="C21" s="100">
        <v>1690</v>
      </c>
      <c r="D21" s="83">
        <v>1408</v>
      </c>
      <c r="E21" s="84">
        <v>2252</v>
      </c>
      <c r="F21" s="63">
        <v>2425</v>
      </c>
      <c r="G21" s="121">
        <v>2689</v>
      </c>
      <c r="H21" s="155">
        <v>2418</v>
      </c>
    </row>
    <row r="22" spans="1:8">
      <c r="A22" s="113"/>
      <c r="B22" s="630" t="s">
        <v>471</v>
      </c>
      <c r="C22" s="637">
        <v>0.10199999999999999</v>
      </c>
      <c r="D22" s="638">
        <v>0.10199999999999999</v>
      </c>
      <c r="E22" s="85">
        <v>0.121</v>
      </c>
      <c r="F22" s="64">
        <v>0.126</v>
      </c>
      <c r="G22" s="86">
        <v>0.13</v>
      </c>
      <c r="H22" s="86">
        <v>0.104</v>
      </c>
    </row>
    <row r="23" spans="1:8" ht="5.0999999999999996" customHeight="1">
      <c r="A23" s="113"/>
      <c r="B23" s="141"/>
      <c r="C23" s="101"/>
      <c r="D23" s="82"/>
      <c r="E23" s="86"/>
      <c r="F23" s="64"/>
      <c r="G23" s="86"/>
      <c r="H23" s="86"/>
    </row>
    <row r="24" spans="1:8">
      <c r="A24" s="113"/>
      <c r="B24" s="138" t="s">
        <v>472</v>
      </c>
      <c r="C24" s="100"/>
      <c r="D24" s="83"/>
      <c r="E24" s="86"/>
      <c r="F24" s="64"/>
      <c r="G24" s="86"/>
      <c r="H24" s="86"/>
    </row>
    <row r="25" spans="1:8">
      <c r="A25" s="113"/>
      <c r="B25" s="142" t="s">
        <v>473</v>
      </c>
      <c r="C25" s="107">
        <v>1579</v>
      </c>
      <c r="D25" s="76">
        <v>1316</v>
      </c>
      <c r="E25" s="76">
        <v>2050</v>
      </c>
      <c r="F25" s="66">
        <v>2135</v>
      </c>
      <c r="G25" s="76">
        <v>2163</v>
      </c>
      <c r="H25" s="76">
        <v>2396</v>
      </c>
    </row>
    <row r="26" spans="1:8">
      <c r="A26" s="113"/>
      <c r="B26" s="139" t="s">
        <v>474</v>
      </c>
      <c r="C26" s="102">
        <f t="shared" ref="C26:H26" si="2">SUM(C25)</f>
        <v>1579</v>
      </c>
      <c r="D26" s="77">
        <f t="shared" si="2"/>
        <v>1316</v>
      </c>
      <c r="E26" s="83">
        <f t="shared" si="2"/>
        <v>2050</v>
      </c>
      <c r="F26" s="68">
        <f t="shared" si="2"/>
        <v>2135</v>
      </c>
      <c r="G26" s="83">
        <f t="shared" si="2"/>
        <v>2163</v>
      </c>
      <c r="H26" s="83">
        <f t="shared" si="2"/>
        <v>2396</v>
      </c>
    </row>
    <row r="27" spans="1:8" ht="5.0999999999999996" customHeight="1">
      <c r="A27" s="113"/>
      <c r="B27" s="141"/>
      <c r="C27" s="101"/>
      <c r="D27" s="82"/>
      <c r="E27" s="86"/>
      <c r="F27" s="64"/>
      <c r="G27" s="82"/>
      <c r="H27" s="82"/>
    </row>
    <row r="28" spans="1:8">
      <c r="A28" s="113"/>
      <c r="B28" s="138" t="s">
        <v>475</v>
      </c>
      <c r="C28" s="100">
        <v>111</v>
      </c>
      <c r="D28" s="83">
        <v>92</v>
      </c>
      <c r="E28" s="83">
        <v>202</v>
      </c>
      <c r="F28" s="68">
        <v>290</v>
      </c>
      <c r="G28" s="83">
        <v>526</v>
      </c>
      <c r="H28" s="156">
        <v>22</v>
      </c>
    </row>
    <row r="29" spans="1:8">
      <c r="A29" s="113" t="s">
        <v>476</v>
      </c>
      <c r="B29" s="630" t="s">
        <v>477</v>
      </c>
      <c r="C29" s="639" t="s">
        <v>478</v>
      </c>
      <c r="D29" s="640" t="s">
        <v>478</v>
      </c>
      <c r="E29" s="86">
        <v>1.0999999999999999E-2</v>
      </c>
      <c r="F29" s="69">
        <v>1.4999999999999999E-2</v>
      </c>
      <c r="G29" s="153">
        <v>2.5000000000000001E-2</v>
      </c>
      <c r="H29" s="641" t="s">
        <v>479</v>
      </c>
    </row>
    <row r="30" spans="1:8" ht="5.0999999999999996" customHeight="1">
      <c r="A30" s="113"/>
      <c r="B30" s="138"/>
      <c r="C30" s="100"/>
      <c r="D30" s="83"/>
      <c r="E30" s="642"/>
      <c r="F30" s="643"/>
      <c r="G30" s="83"/>
      <c r="H30" s="83"/>
    </row>
    <row r="31" spans="1:8">
      <c r="A31" s="113"/>
      <c r="B31" s="138" t="s">
        <v>96</v>
      </c>
      <c r="C31" s="100"/>
      <c r="D31" s="83"/>
      <c r="E31" s="82"/>
      <c r="F31" s="59"/>
      <c r="G31" s="152"/>
      <c r="H31" s="152"/>
    </row>
    <row r="32" spans="1:8">
      <c r="A32" s="113"/>
      <c r="B32" s="630" t="s">
        <v>480</v>
      </c>
      <c r="C32" s="631">
        <v>-258</v>
      </c>
      <c r="D32" s="82">
        <v>-215</v>
      </c>
      <c r="E32" s="82">
        <v>-274</v>
      </c>
      <c r="F32" s="59">
        <v>-300</v>
      </c>
      <c r="G32" s="152">
        <v>-407</v>
      </c>
      <c r="H32" s="152">
        <v>-322</v>
      </c>
    </row>
    <row r="33" spans="1:9" ht="15">
      <c r="A33" s="113"/>
      <c r="B33" s="630" t="s">
        <v>481</v>
      </c>
      <c r="C33" s="108">
        <v>0</v>
      </c>
      <c r="D33" s="104">
        <v>0</v>
      </c>
      <c r="E33" s="76">
        <v>14</v>
      </c>
      <c r="F33" s="90">
        <v>0</v>
      </c>
      <c r="G33" s="158">
        <v>0</v>
      </c>
      <c r="H33" s="158">
        <v>0</v>
      </c>
      <c r="I33" s="556"/>
    </row>
    <row r="34" spans="1:9">
      <c r="A34" s="113"/>
      <c r="B34" s="139" t="s">
        <v>482</v>
      </c>
      <c r="C34" s="102">
        <f t="shared" ref="C34:H34" si="3">SUM(C32:C33)</f>
        <v>-258</v>
      </c>
      <c r="D34" s="77">
        <f t="shared" si="3"/>
        <v>-215</v>
      </c>
      <c r="E34" s="83">
        <f t="shared" si="3"/>
        <v>-260</v>
      </c>
      <c r="F34" s="70">
        <f t="shared" si="3"/>
        <v>-300</v>
      </c>
      <c r="G34" s="159">
        <f t="shared" si="3"/>
        <v>-407</v>
      </c>
      <c r="H34" s="159">
        <f t="shared" si="3"/>
        <v>-322</v>
      </c>
      <c r="I34" s="556"/>
    </row>
    <row r="35" spans="1:9" ht="5.0999999999999996" customHeight="1">
      <c r="A35" s="113"/>
      <c r="B35" s="141"/>
      <c r="C35" s="101"/>
      <c r="D35" s="82"/>
      <c r="E35" s="82"/>
      <c r="F35" s="59"/>
      <c r="G35" s="152"/>
      <c r="H35" s="152"/>
      <c r="I35" s="556"/>
    </row>
    <row r="36" spans="1:9" ht="13.5" thickBot="1">
      <c r="A36" s="143"/>
      <c r="B36" s="144" t="s">
        <v>483</v>
      </c>
      <c r="C36" s="109">
        <v>-147</v>
      </c>
      <c r="D36" s="91">
        <v>-123</v>
      </c>
      <c r="E36" s="91">
        <v>-58</v>
      </c>
      <c r="F36" s="92">
        <v>-10</v>
      </c>
      <c r="G36" s="160">
        <v>119</v>
      </c>
      <c r="H36" s="161">
        <v>-300</v>
      </c>
      <c r="I36" s="556"/>
    </row>
    <row r="37" spans="1:9" ht="5.0999999999999996" customHeight="1">
      <c r="A37" s="556"/>
      <c r="B37" s="556"/>
      <c r="C37" s="556"/>
      <c r="D37" s="556"/>
      <c r="E37" s="556"/>
      <c r="F37" s="6"/>
      <c r="G37" s="6"/>
      <c r="H37" s="6"/>
      <c r="I37" s="556"/>
    </row>
    <row r="38" spans="1:9" ht="15.75">
      <c r="A38" s="19"/>
      <c r="B38" s="44" t="s">
        <v>484</v>
      </c>
      <c r="C38" s="44"/>
      <c r="D38" s="44"/>
      <c r="E38" s="556"/>
      <c r="F38" s="6"/>
      <c r="G38" s="6"/>
      <c r="H38" s="6"/>
      <c r="I38" s="556"/>
    </row>
    <row r="39" spans="1:9" ht="16.5" thickBot="1">
      <c r="A39" s="19"/>
      <c r="B39" s="3" t="s">
        <v>485</v>
      </c>
      <c r="C39" s="99" t="s">
        <v>486</v>
      </c>
      <c r="D39" s="98" t="s">
        <v>487</v>
      </c>
      <c r="E39" s="46" t="s">
        <v>461</v>
      </c>
      <c r="F39" s="47">
        <v>2016</v>
      </c>
      <c r="G39" s="47">
        <v>2015</v>
      </c>
      <c r="H39" s="47">
        <v>2014</v>
      </c>
      <c r="I39" s="556"/>
    </row>
    <row r="40" spans="1:9">
      <c r="A40" s="19"/>
      <c r="B40" s="2" t="s">
        <v>488</v>
      </c>
      <c r="C40" s="197">
        <v>16499</v>
      </c>
      <c r="D40" s="196">
        <v>13749</v>
      </c>
      <c r="E40" s="196">
        <v>18598</v>
      </c>
      <c r="F40" s="198">
        <v>19314</v>
      </c>
      <c r="G40" s="199">
        <v>20770</v>
      </c>
      <c r="H40" s="196">
        <v>23363</v>
      </c>
      <c r="I40" s="36"/>
    </row>
    <row r="41" spans="1:9">
      <c r="A41" s="19"/>
      <c r="B41" s="25" t="s">
        <v>489</v>
      </c>
      <c r="C41" s="110">
        <v>-147</v>
      </c>
      <c r="D41" s="93">
        <v>-123</v>
      </c>
      <c r="E41" s="93">
        <v>-58</v>
      </c>
      <c r="F41" s="163">
        <v>-10</v>
      </c>
      <c r="G41" s="162">
        <v>119</v>
      </c>
      <c r="H41" s="167">
        <v>-300</v>
      </c>
      <c r="I41" s="556"/>
    </row>
    <row r="42" spans="1:9">
      <c r="A42" s="1"/>
      <c r="B42" s="23" t="s">
        <v>490</v>
      </c>
      <c r="C42" s="644">
        <v>0</v>
      </c>
      <c r="D42" s="635">
        <v>0</v>
      </c>
      <c r="E42" s="82">
        <v>14</v>
      </c>
      <c r="F42" s="164">
        <v>0</v>
      </c>
      <c r="G42" s="162">
        <v>0</v>
      </c>
      <c r="H42" s="162">
        <v>0</v>
      </c>
      <c r="I42" s="556"/>
    </row>
    <row r="43" spans="1:9">
      <c r="A43" s="556"/>
      <c r="B43" s="25" t="s">
        <v>99</v>
      </c>
      <c r="C43" s="631">
        <v>258</v>
      </c>
      <c r="D43" s="632">
        <v>215</v>
      </c>
      <c r="E43" s="82">
        <v>274</v>
      </c>
      <c r="F43" s="165">
        <v>300</v>
      </c>
      <c r="G43" s="152">
        <v>407</v>
      </c>
      <c r="H43" s="152">
        <v>322</v>
      </c>
      <c r="I43" s="556"/>
    </row>
    <row r="44" spans="1:9" ht="13.5" thickBot="1">
      <c r="A44" s="556"/>
      <c r="B44" s="556" t="s">
        <v>491</v>
      </c>
      <c r="C44" s="631">
        <v>341</v>
      </c>
      <c r="D44" s="632">
        <v>284</v>
      </c>
      <c r="E44" s="632">
        <v>365</v>
      </c>
      <c r="F44" s="645">
        <v>404</v>
      </c>
      <c r="G44" s="646">
        <v>406</v>
      </c>
      <c r="H44" s="646">
        <v>417</v>
      </c>
      <c r="I44" s="556"/>
    </row>
    <row r="45" spans="1:9" ht="13.5" thickBot="1">
      <c r="A45" s="556"/>
      <c r="B45" s="39" t="s">
        <v>492</v>
      </c>
      <c r="C45" s="168">
        <f t="shared" ref="C45:H45" si="4">SUM(C41:C44)</f>
        <v>452</v>
      </c>
      <c r="D45" s="169">
        <f t="shared" si="4"/>
        <v>376</v>
      </c>
      <c r="E45" s="170">
        <f t="shared" si="4"/>
        <v>595</v>
      </c>
      <c r="F45" s="171">
        <f t="shared" si="4"/>
        <v>694</v>
      </c>
      <c r="G45" s="172">
        <f t="shared" si="4"/>
        <v>932</v>
      </c>
      <c r="H45" s="172">
        <f t="shared" si="4"/>
        <v>439</v>
      </c>
      <c r="I45" s="556"/>
    </row>
    <row r="46" spans="1:9" ht="13.5" thickBot="1">
      <c r="A46" s="556"/>
      <c r="B46" s="40" t="s">
        <v>493</v>
      </c>
      <c r="C46" s="111">
        <v>2.7E-2</v>
      </c>
      <c r="D46" s="112">
        <v>2.7E-2</v>
      </c>
      <c r="E46" s="89">
        <v>3.2000000000000001E-2</v>
      </c>
      <c r="F46" s="166">
        <v>3.5999999999999997E-2</v>
      </c>
      <c r="G46" s="173">
        <v>4.4999999999999998E-2</v>
      </c>
      <c r="H46" s="173">
        <v>1.9E-2</v>
      </c>
      <c r="I46" s="556"/>
    </row>
    <row r="47" spans="1:9" ht="15.75">
      <c r="A47" s="556"/>
      <c r="B47" s="34"/>
      <c r="C47" s="99"/>
      <c r="D47" s="98"/>
      <c r="E47" s="46"/>
      <c r="F47" s="47"/>
      <c r="G47" s="6"/>
      <c r="H47" s="6"/>
      <c r="I47" s="556"/>
    </row>
    <row r="48" spans="1:9">
      <c r="A48" s="556"/>
      <c r="B48" s="556"/>
      <c r="C48" s="556"/>
      <c r="D48" s="556"/>
      <c r="E48" s="49"/>
      <c r="F48" s="48"/>
      <c r="G48" s="6"/>
      <c r="H48" s="6"/>
      <c r="I48" s="556"/>
    </row>
    <row r="49" spans="1:11" ht="15.75">
      <c r="A49" s="35"/>
      <c r="B49" s="556"/>
      <c r="C49" s="556"/>
      <c r="D49" s="556"/>
      <c r="E49" s="647"/>
      <c r="F49" s="647"/>
      <c r="G49" s="24"/>
      <c r="H49" s="5"/>
      <c r="I49" s="556"/>
      <c r="J49" s="556"/>
      <c r="K49" s="556"/>
    </row>
    <row r="50" spans="1:11">
      <c r="A50" s="556"/>
      <c r="B50" s="556"/>
      <c r="C50" s="556"/>
      <c r="D50" s="556"/>
      <c r="E50" s="556"/>
      <c r="F50" s="6"/>
      <c r="G50" s="6"/>
      <c r="H50" s="6"/>
      <c r="I50" s="556"/>
      <c r="J50" s="556"/>
      <c r="K50" s="556"/>
    </row>
    <row r="51" spans="1:11">
      <c r="A51" s="2"/>
      <c r="B51" s="556"/>
      <c r="C51" s="556"/>
      <c r="D51" s="556"/>
      <c r="E51" s="556"/>
      <c r="F51" s="6"/>
      <c r="G51" s="6"/>
      <c r="H51" s="6"/>
      <c r="I51" s="556"/>
      <c r="J51" s="556"/>
      <c r="K51" s="556"/>
    </row>
    <row r="52" spans="1:11">
      <c r="A52" s="1"/>
      <c r="B52" s="556"/>
      <c r="C52" s="556"/>
      <c r="D52" s="556"/>
      <c r="E52" s="556"/>
      <c r="F52" s="6"/>
      <c r="G52" s="6"/>
      <c r="H52" s="6"/>
      <c r="I52" s="556"/>
      <c r="J52" s="556"/>
      <c r="K52" s="556"/>
    </row>
    <row r="53" spans="1:11">
      <c r="A53" s="556"/>
      <c r="B53" s="556"/>
      <c r="C53" s="556"/>
      <c r="D53" s="556"/>
      <c r="E53" s="11"/>
      <c r="F53" s="32"/>
      <c r="G53" s="32"/>
      <c r="H53" s="8"/>
      <c r="I53" s="556"/>
      <c r="J53" s="556"/>
      <c r="K53" s="556"/>
    </row>
    <row r="54" spans="1:11">
      <c r="A54" s="556"/>
      <c r="B54" s="556"/>
      <c r="C54" s="556"/>
      <c r="D54" s="556"/>
      <c r="E54" s="11"/>
      <c r="F54" s="14"/>
      <c r="G54" s="11"/>
      <c r="H54" s="11"/>
      <c r="I54" s="556"/>
      <c r="J54" s="556"/>
      <c r="K54" s="556"/>
    </row>
    <row r="55" spans="1:11">
      <c r="A55" s="556"/>
      <c r="B55" s="556"/>
      <c r="C55" s="556"/>
      <c r="D55" s="556"/>
      <c r="E55" s="25"/>
      <c r="F55" s="33"/>
      <c r="G55" s="32"/>
      <c r="H55" s="8"/>
      <c r="I55" s="556"/>
      <c r="J55" s="556"/>
      <c r="K55" s="556"/>
    </row>
    <row r="56" spans="1:11">
      <c r="A56" s="2"/>
      <c r="B56" s="2"/>
      <c r="C56" s="2"/>
      <c r="D56" s="2"/>
      <c r="E56" s="13"/>
      <c r="F56" s="13"/>
      <c r="G56" s="13"/>
      <c r="H56" s="13"/>
      <c r="I56" s="556"/>
      <c r="J56" s="556"/>
      <c r="K56" s="25"/>
    </row>
    <row r="57" spans="1:11">
      <c r="A57" s="2"/>
      <c r="B57" s="556"/>
      <c r="C57" s="556"/>
      <c r="D57" s="556"/>
      <c r="E57" s="556"/>
      <c r="F57" s="6"/>
      <c r="G57" s="6"/>
      <c r="H57" s="6"/>
      <c r="I57" s="556"/>
      <c r="J57" s="556"/>
      <c r="K57" s="556"/>
    </row>
    <row r="58" spans="1:11">
      <c r="A58" s="2"/>
      <c r="B58" s="556"/>
      <c r="C58" s="556"/>
      <c r="D58" s="556"/>
      <c r="E58" s="556"/>
      <c r="F58" s="6"/>
      <c r="G58" s="6"/>
      <c r="H58" s="6"/>
      <c r="I58" s="556"/>
      <c r="J58" s="556"/>
      <c r="K58" s="556"/>
    </row>
    <row r="59" spans="1:11">
      <c r="A59" s="2"/>
      <c r="B59" s="556"/>
      <c r="C59" s="556"/>
      <c r="D59" s="556"/>
      <c r="E59" s="556"/>
      <c r="F59" s="6"/>
      <c r="G59" s="6"/>
      <c r="H59" s="6"/>
      <c r="I59" s="556"/>
      <c r="J59" s="556"/>
      <c r="K59" s="556"/>
    </row>
    <row r="60" spans="1:11">
      <c r="A60" s="1"/>
      <c r="B60" s="556"/>
      <c r="C60" s="556"/>
      <c r="D60" s="556"/>
      <c r="E60" s="556"/>
      <c r="F60" s="6"/>
      <c r="G60" s="6"/>
      <c r="H60" s="6"/>
      <c r="I60" s="556"/>
      <c r="J60" s="556"/>
      <c r="K60" s="556"/>
    </row>
    <row r="61" spans="1:11">
      <c r="A61" s="556"/>
      <c r="B61" s="2"/>
      <c r="C61" s="2"/>
      <c r="D61" s="2"/>
      <c r="E61" s="556"/>
      <c r="F61" s="6"/>
      <c r="G61" s="6"/>
      <c r="H61" s="6"/>
      <c r="I61" s="556"/>
      <c r="J61" s="556"/>
      <c r="K61" s="556"/>
    </row>
    <row r="62" spans="1:11">
      <c r="A62" s="556"/>
      <c r="B62" s="556"/>
      <c r="C62" s="556"/>
      <c r="D62" s="556"/>
      <c r="E62" s="556"/>
      <c r="F62" s="6"/>
      <c r="G62" s="6"/>
      <c r="H62" s="6"/>
      <c r="I62" s="556"/>
      <c r="J62" s="556"/>
      <c r="K62" s="556"/>
    </row>
    <row r="63" spans="1:11">
      <c r="A63" s="556"/>
      <c r="B63" s="556"/>
      <c r="C63" s="556"/>
      <c r="D63" s="556"/>
      <c r="E63" s="14"/>
      <c r="F63" s="33"/>
      <c r="G63" s="32"/>
      <c r="H63" s="8"/>
      <c r="I63" s="556"/>
      <c r="J63" s="556"/>
      <c r="K63" s="556"/>
    </row>
    <row r="64" spans="1:11">
      <c r="A64" s="556"/>
      <c r="B64" s="556"/>
      <c r="C64" s="556"/>
      <c r="D64" s="556"/>
      <c r="E64" s="14"/>
      <c r="F64" s="33"/>
      <c r="G64" s="32"/>
      <c r="H64" s="8"/>
      <c r="I64" s="556"/>
      <c r="J64" s="556"/>
      <c r="K64" s="556"/>
    </row>
    <row r="65" spans="1:8">
      <c r="A65" s="556"/>
      <c r="B65" s="556"/>
      <c r="C65" s="556"/>
      <c r="D65" s="556"/>
      <c r="E65" s="14"/>
      <c r="F65" s="33"/>
      <c r="G65" s="32"/>
      <c r="H65" s="8"/>
    </row>
    <row r="66" spans="1:8">
      <c r="A66" s="556"/>
      <c r="B66" s="2"/>
      <c r="C66" s="2"/>
      <c r="D66" s="2"/>
      <c r="E66" s="16"/>
      <c r="F66" s="16"/>
      <c r="G66" s="2"/>
      <c r="H66" s="2"/>
    </row>
    <row r="67" spans="1:8">
      <c r="A67" s="556"/>
      <c r="B67" s="556"/>
      <c r="C67" s="556"/>
      <c r="D67" s="556"/>
      <c r="E67" s="14"/>
      <c r="F67" s="33"/>
      <c r="G67" s="32"/>
      <c r="H67" s="8"/>
    </row>
    <row r="68" spans="1:8">
      <c r="A68" s="556"/>
      <c r="B68" s="2"/>
      <c r="C68" s="2"/>
      <c r="D68" s="2"/>
      <c r="E68" s="16"/>
      <c r="F68" s="16"/>
      <c r="G68" s="13"/>
      <c r="H68" s="13"/>
    </row>
    <row r="69" spans="1:8">
      <c r="A69" s="2"/>
      <c r="B69" s="556"/>
      <c r="C69" s="556"/>
      <c r="D69" s="556"/>
      <c r="E69" s="14"/>
      <c r="F69" s="36"/>
      <c r="G69" s="37"/>
      <c r="H69" s="9"/>
    </row>
    <row r="70" spans="1:8" ht="12.75" customHeight="1">
      <c r="A70" s="556"/>
      <c r="B70" s="19"/>
      <c r="C70" s="19"/>
      <c r="D70" s="19"/>
      <c r="E70" s="556"/>
      <c r="F70" s="556"/>
      <c r="G70" s="556"/>
      <c r="H70" s="556"/>
    </row>
    <row r="71" spans="1:8">
      <c r="A71" s="11"/>
      <c r="B71" s="22"/>
      <c r="C71" s="22"/>
      <c r="D71" s="22"/>
      <c r="E71" s="21"/>
      <c r="F71" s="3"/>
      <c r="G71" s="556"/>
      <c r="H71" s="556"/>
    </row>
    <row r="72" spans="1:8">
      <c r="A72" s="11"/>
      <c r="B72" s="22"/>
      <c r="C72" s="22"/>
      <c r="D72" s="22"/>
      <c r="E72" s="21"/>
      <c r="F72" s="3"/>
      <c r="G72" s="556"/>
      <c r="H72" s="556"/>
    </row>
    <row r="73" spans="1:8">
      <c r="A73" s="11"/>
      <c r="B73" s="22"/>
      <c r="C73" s="22"/>
      <c r="D73" s="22"/>
      <c r="E73" s="21"/>
      <c r="F73" s="3"/>
      <c r="G73" s="556"/>
      <c r="H73" s="556"/>
    </row>
    <row r="74" spans="1:8" s="3" customFormat="1" ht="12.75" customHeight="1">
      <c r="B74" s="27"/>
      <c r="C74" s="27"/>
      <c r="D74" s="27"/>
    </row>
    <row r="75" spans="1:8" s="3" customFormat="1" ht="12.75" customHeight="1">
      <c r="B75" s="27"/>
      <c r="C75" s="27"/>
      <c r="D75" s="27"/>
    </row>
    <row r="76" spans="1:8" s="3" customFormat="1" ht="12.75" customHeight="1">
      <c r="B76" s="28"/>
      <c r="C76" s="28"/>
      <c r="D76" s="28"/>
      <c r="E76" s="28"/>
      <c r="F76" s="28"/>
      <c r="G76" s="29"/>
    </row>
    <row r="77" spans="1:8" s="3" customFormat="1" ht="12">
      <c r="B77" s="28"/>
      <c r="C77" s="28"/>
      <c r="D77" s="28"/>
      <c r="E77" s="28"/>
      <c r="F77" s="28"/>
      <c r="G77" s="29"/>
    </row>
    <row r="78" spans="1:8" s="3" customFormat="1" ht="11.25">
      <c r="A78" s="7"/>
      <c r="B78" s="30"/>
      <c r="C78" s="30"/>
      <c r="D78" s="30"/>
      <c r="E78" s="30"/>
      <c r="F78" s="30"/>
      <c r="G78" s="30"/>
    </row>
    <row r="79" spans="1:8" s="3" customFormat="1" ht="11.25">
      <c r="A79" s="4"/>
    </row>
    <row r="80" spans="1:8">
      <c r="A80" s="556"/>
      <c r="B80" s="556"/>
      <c r="C80" s="556"/>
      <c r="D80" s="556"/>
      <c r="E80" s="10"/>
      <c r="F80" s="556"/>
      <c r="G80" s="556"/>
      <c r="H80" s="556"/>
    </row>
  </sheetData>
  <phoneticPr fontId="0" type="noConversion"/>
  <pageMargins left="0.5" right="0.5" top="0.5" bottom="0.5" header="0.5" footer="0.5"/>
  <pageSetup orientation="portrait" r:id="rId1"/>
  <headerFooter alignWithMargins="0"/>
  <ignoredErrors>
    <ignoredError sqref="E9 E39" numberStoredAsText="1"/>
    <ignoredError sqref="C45:H45" formulaRange="1"/>
  </ignoredErrors>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6">
    <tabColor rgb="FF0070C0"/>
  </sheetPr>
  <dimension ref="A1:J37"/>
  <sheetViews>
    <sheetView workbookViewId="0"/>
  </sheetViews>
  <sheetFormatPr defaultRowHeight="12.75"/>
  <cols>
    <col min="1" max="1" width="23.7109375" customWidth="1"/>
    <col min="3" max="4" width="11.42578125" customWidth="1"/>
  </cols>
  <sheetData>
    <row r="1" spans="1:10" ht="15.75">
      <c r="A1" s="2" t="s">
        <v>452</v>
      </c>
      <c r="B1" s="41" t="s">
        <v>1</v>
      </c>
      <c r="C1" s="2"/>
      <c r="D1" s="2"/>
      <c r="E1" s="17"/>
      <c r="F1" s="41"/>
      <c r="G1" s="2"/>
      <c r="H1" s="2"/>
      <c r="I1" s="2"/>
      <c r="J1" s="17"/>
    </row>
    <row r="2" spans="1:10">
      <c r="A2" s="2" t="s">
        <v>454</v>
      </c>
      <c r="B2" s="50" t="s">
        <v>455</v>
      </c>
      <c r="C2" s="50"/>
      <c r="D2" s="50"/>
      <c r="E2" s="17"/>
      <c r="F2" s="50"/>
      <c r="G2" s="50"/>
      <c r="H2" s="50"/>
      <c r="I2" s="2"/>
      <c r="J2" s="18"/>
    </row>
    <row r="3" spans="1:10">
      <c r="A3" s="25"/>
      <c r="B3" s="50" t="s">
        <v>456</v>
      </c>
      <c r="C3" s="50"/>
      <c r="D3" s="50"/>
      <c r="E3" s="17"/>
      <c r="F3" s="50"/>
      <c r="G3" s="50"/>
      <c r="H3" s="50"/>
      <c r="I3" s="2"/>
      <c r="J3" s="18"/>
    </row>
    <row r="4" spans="1:10">
      <c r="A4" s="25"/>
      <c r="B4" s="50" t="s">
        <v>457</v>
      </c>
      <c r="C4" s="50"/>
      <c r="D4" s="50"/>
      <c r="E4" s="17"/>
      <c r="F4" s="50"/>
      <c r="G4" s="50"/>
      <c r="H4" s="50"/>
      <c r="I4" s="2"/>
      <c r="J4" s="18"/>
    </row>
    <row r="5" spans="1:10">
      <c r="A5" s="556"/>
      <c r="B5" s="50"/>
      <c r="C5" s="50"/>
      <c r="D5" s="50"/>
      <c r="E5" s="556"/>
      <c r="F5" s="556"/>
      <c r="G5" s="556"/>
      <c r="H5" s="556"/>
      <c r="I5" s="556"/>
      <c r="J5" s="556"/>
    </row>
    <row r="6" spans="1:10" ht="5.0999999999999996" customHeight="1" thickBot="1">
      <c r="A6" s="556"/>
      <c r="B6" s="50"/>
      <c r="C6" s="50"/>
      <c r="D6" s="50"/>
      <c r="E6" s="556"/>
      <c r="F6" s="556"/>
      <c r="G6" s="556"/>
      <c r="H6" s="556"/>
      <c r="I6" s="556"/>
      <c r="J6" s="556"/>
    </row>
    <row r="7" spans="1:10" ht="13.5" thickBot="1">
      <c r="A7" s="556"/>
      <c r="B7" s="180" t="s">
        <v>5</v>
      </c>
      <c r="C7" s="177"/>
      <c r="D7" s="186"/>
      <c r="E7" s="556"/>
      <c r="F7" s="556"/>
      <c r="G7" s="556"/>
      <c r="H7" s="556"/>
      <c r="I7" s="556"/>
      <c r="J7" s="556"/>
    </row>
    <row r="8" spans="1:10">
      <c r="A8" s="48"/>
      <c r="B8" s="176" t="s">
        <v>494</v>
      </c>
      <c r="C8" s="176" t="s">
        <v>7</v>
      </c>
      <c r="D8" s="176" t="s">
        <v>7</v>
      </c>
      <c r="E8" s="584" t="s">
        <v>495</v>
      </c>
      <c r="F8" s="585"/>
      <c r="G8" s="556"/>
      <c r="H8" s="556"/>
      <c r="I8" s="556"/>
      <c r="J8" s="556"/>
    </row>
    <row r="9" spans="1:10" ht="16.5" thickBot="1">
      <c r="A9" s="43" t="s">
        <v>496</v>
      </c>
      <c r="B9" s="181">
        <v>2018</v>
      </c>
      <c r="C9" s="178" t="s">
        <v>461</v>
      </c>
      <c r="D9" s="181">
        <v>2016</v>
      </c>
      <c r="E9" s="586"/>
      <c r="F9" s="587"/>
      <c r="G9" s="556"/>
      <c r="H9" s="556"/>
      <c r="I9" s="556"/>
      <c r="J9" s="556"/>
    </row>
    <row r="10" spans="1:10" ht="4.5" customHeight="1">
      <c r="A10" s="175"/>
      <c r="B10" s="182"/>
      <c r="C10" s="185"/>
      <c r="D10" s="187"/>
      <c r="E10" s="174"/>
      <c r="F10" s="174"/>
      <c r="G10" s="556"/>
      <c r="H10" s="556"/>
      <c r="I10" s="556"/>
      <c r="J10" s="556"/>
    </row>
    <row r="11" spans="1:10" ht="12.6" customHeight="1">
      <c r="A11" s="648" t="s">
        <v>497</v>
      </c>
      <c r="B11" s="82"/>
      <c r="C11" s="82">
        <v>7393101</v>
      </c>
      <c r="D11" s="82">
        <v>8235750</v>
      </c>
      <c r="E11" s="556"/>
      <c r="F11" s="556"/>
      <c r="G11" s="556"/>
      <c r="H11" s="556"/>
      <c r="I11" s="556"/>
      <c r="J11" s="556"/>
    </row>
    <row r="12" spans="1:10">
      <c r="A12" s="648" t="s">
        <v>498</v>
      </c>
      <c r="B12" s="82"/>
      <c r="C12" s="82">
        <v>1807217</v>
      </c>
      <c r="D12" s="82">
        <v>1880894</v>
      </c>
      <c r="E12" s="556"/>
      <c r="F12" s="556"/>
      <c r="G12" s="556"/>
      <c r="H12" s="556"/>
      <c r="I12" s="556"/>
      <c r="J12" s="556"/>
    </row>
    <row r="13" spans="1:10">
      <c r="A13" s="648" t="s">
        <v>499</v>
      </c>
      <c r="B13" s="82"/>
      <c r="C13" s="82">
        <v>1554803</v>
      </c>
      <c r="D13" s="82">
        <v>1757565</v>
      </c>
      <c r="E13" s="556"/>
      <c r="F13" s="556"/>
      <c r="G13" s="556"/>
      <c r="H13" s="556"/>
      <c r="I13" s="556"/>
      <c r="J13" s="556"/>
    </row>
    <row r="14" spans="1:10">
      <c r="A14" s="648" t="s">
        <v>353</v>
      </c>
      <c r="B14" s="183" t="s">
        <v>500</v>
      </c>
      <c r="C14" s="82">
        <v>862409</v>
      </c>
      <c r="D14" s="82">
        <v>934190</v>
      </c>
      <c r="E14" s="556"/>
      <c r="F14" s="556"/>
      <c r="G14" s="556"/>
      <c r="H14" s="556"/>
      <c r="I14" s="556"/>
      <c r="J14" s="556"/>
    </row>
    <row r="15" spans="1:10">
      <c r="A15" s="648" t="s">
        <v>501</v>
      </c>
      <c r="B15" s="183" t="s">
        <v>502</v>
      </c>
      <c r="C15" s="82">
        <v>628475</v>
      </c>
      <c r="D15" s="82">
        <v>427726</v>
      </c>
      <c r="E15" s="556"/>
      <c r="F15" s="556"/>
      <c r="G15" s="556"/>
      <c r="H15" s="556"/>
      <c r="I15" s="556"/>
      <c r="J15" s="556"/>
    </row>
    <row r="16" spans="1:10">
      <c r="A16" s="648" t="s">
        <v>355</v>
      </c>
      <c r="B16" s="183" t="s">
        <v>503</v>
      </c>
      <c r="C16" s="127">
        <v>490180</v>
      </c>
      <c r="D16" s="82">
        <v>450684</v>
      </c>
      <c r="E16" s="556"/>
      <c r="F16" s="556"/>
      <c r="G16" s="556"/>
      <c r="H16" s="556"/>
      <c r="I16" s="556"/>
      <c r="J16" s="556"/>
    </row>
    <row r="17" spans="1:4">
      <c r="A17" s="648" t="s">
        <v>421</v>
      </c>
      <c r="B17" s="184" t="s">
        <v>504</v>
      </c>
      <c r="C17" s="82">
        <v>486462</v>
      </c>
      <c r="D17" s="82">
        <v>470404</v>
      </c>
    </row>
    <row r="18" spans="1:4">
      <c r="A18" s="648" t="s">
        <v>34</v>
      </c>
      <c r="B18" s="82"/>
      <c r="C18" s="82">
        <v>360708</v>
      </c>
      <c r="D18" s="82">
        <v>380017</v>
      </c>
    </row>
    <row r="19" spans="1:4">
      <c r="A19" s="648" t="s">
        <v>359</v>
      </c>
      <c r="B19" s="82"/>
      <c r="C19" s="82">
        <v>343742</v>
      </c>
      <c r="D19" s="82">
        <v>361638</v>
      </c>
    </row>
    <row r="20" spans="1:4">
      <c r="A20" s="648" t="s">
        <v>274</v>
      </c>
      <c r="B20" s="82"/>
      <c r="C20" s="82">
        <v>336396</v>
      </c>
      <c r="D20" s="82">
        <v>331374</v>
      </c>
    </row>
    <row r="21" spans="1:4">
      <c r="A21" s="648" t="s">
        <v>505</v>
      </c>
      <c r="B21" s="82"/>
      <c r="C21" s="82">
        <v>322541</v>
      </c>
      <c r="D21" s="82">
        <v>349649</v>
      </c>
    </row>
    <row r="22" spans="1:4">
      <c r="A22" s="648" t="s">
        <v>362</v>
      </c>
      <c r="B22" s="82"/>
      <c r="C22" s="82">
        <v>289207</v>
      </c>
      <c r="D22" s="82">
        <v>323660</v>
      </c>
    </row>
    <row r="23" spans="1:4">
      <c r="A23" s="648" t="s">
        <v>272</v>
      </c>
      <c r="B23" s="82"/>
      <c r="C23" s="82">
        <v>204832</v>
      </c>
      <c r="D23" s="82">
        <v>199666</v>
      </c>
    </row>
    <row r="24" spans="1:4">
      <c r="A24" s="648" t="s">
        <v>506</v>
      </c>
      <c r="B24" s="82"/>
      <c r="C24" s="127">
        <v>158346</v>
      </c>
      <c r="D24" s="82">
        <v>135167</v>
      </c>
    </row>
    <row r="25" spans="1:4">
      <c r="A25" s="648" t="s">
        <v>507</v>
      </c>
      <c r="B25" s="82"/>
      <c r="C25" s="82">
        <v>158208</v>
      </c>
      <c r="D25" s="82">
        <v>177443</v>
      </c>
    </row>
    <row r="26" spans="1:4">
      <c r="A26" s="648" t="s">
        <v>35</v>
      </c>
      <c r="B26" s="82"/>
      <c r="C26" s="82">
        <v>142535</v>
      </c>
      <c r="D26" s="82">
        <v>162053</v>
      </c>
    </row>
    <row r="27" spans="1:4">
      <c r="A27" s="648" t="s">
        <v>424</v>
      </c>
      <c r="B27" s="82"/>
      <c r="C27" s="127">
        <v>129564</v>
      </c>
      <c r="D27" s="82">
        <v>44235</v>
      </c>
    </row>
    <row r="28" spans="1:4">
      <c r="A28" s="648" t="s">
        <v>36</v>
      </c>
      <c r="B28" s="82"/>
      <c r="C28" s="82">
        <v>74503</v>
      </c>
      <c r="D28" s="82">
        <v>89935</v>
      </c>
    </row>
    <row r="29" spans="1:4">
      <c r="A29" s="648" t="s">
        <v>508</v>
      </c>
      <c r="B29" s="82"/>
      <c r="C29" s="82">
        <v>69026</v>
      </c>
      <c r="D29" s="82">
        <v>67569</v>
      </c>
    </row>
    <row r="30" spans="1:4">
      <c r="A30" s="648" t="s">
        <v>509</v>
      </c>
      <c r="B30" s="82"/>
      <c r="C30" s="82">
        <v>34825</v>
      </c>
      <c r="D30" s="82">
        <v>17738</v>
      </c>
    </row>
    <row r="31" spans="1:4">
      <c r="A31" s="648" t="s">
        <v>510</v>
      </c>
      <c r="B31" s="82"/>
      <c r="C31" s="82">
        <v>20364</v>
      </c>
      <c r="D31" s="82">
        <v>11784</v>
      </c>
    </row>
    <row r="32" spans="1:4">
      <c r="A32" s="648" t="s">
        <v>511</v>
      </c>
      <c r="B32" s="82"/>
      <c r="C32" s="82">
        <v>729</v>
      </c>
      <c r="D32" s="82">
        <v>736</v>
      </c>
    </row>
    <row r="33" spans="1:4" ht="13.5" thickBot="1">
      <c r="A33" s="648" t="s">
        <v>512</v>
      </c>
      <c r="B33" s="632"/>
      <c r="C33" s="649">
        <v>-14975</v>
      </c>
      <c r="D33" s="632">
        <v>-42169</v>
      </c>
    </row>
    <row r="34" spans="1:4" ht="13.5" thickBot="1">
      <c r="A34" s="38" t="s">
        <v>513</v>
      </c>
      <c r="B34" s="189">
        <v>0</v>
      </c>
      <c r="C34" s="172">
        <f>SUM(C11:C33)</f>
        <v>15853198</v>
      </c>
      <c r="D34" s="172">
        <f>SUM(D11:D33)</f>
        <v>16767708</v>
      </c>
    </row>
    <row r="35" spans="1:4">
      <c r="A35" s="6"/>
      <c r="B35" s="556"/>
      <c r="C35" s="556"/>
      <c r="D35" s="556"/>
    </row>
    <row r="36" spans="1:4">
      <c r="A36" s="6"/>
      <c r="B36" s="53"/>
      <c r="C36" s="54"/>
      <c r="D36" s="54"/>
    </row>
    <row r="37" spans="1:4">
      <c r="A37" s="6"/>
      <c r="B37" s="556"/>
      <c r="C37" s="556"/>
      <c r="D37" s="556"/>
    </row>
  </sheetData>
  <mergeCells count="1">
    <mergeCell ref="E8:F9"/>
  </mergeCells>
  <pageMargins left="0.7" right="0.7" top="0.75" bottom="0.75" header="0.3" footer="0.3"/>
  <pageSetup orientation="portrait" r:id="rId1"/>
  <ignoredErrors>
    <ignoredError sqref="D34" formulaRange="1"/>
    <ignoredError sqref="C9"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7">
    <tabColor rgb="FF7030A0"/>
  </sheetPr>
  <dimension ref="A1:F33"/>
  <sheetViews>
    <sheetView workbookViewId="0"/>
  </sheetViews>
  <sheetFormatPr defaultRowHeight="12.75"/>
  <cols>
    <col min="1" max="1" width="22.7109375" customWidth="1"/>
    <col min="2" max="2" width="10.140625" customWidth="1"/>
    <col min="3" max="4" width="10.28515625" customWidth="1"/>
  </cols>
  <sheetData>
    <row r="1" spans="1:6" ht="15.75">
      <c r="A1" s="2" t="s">
        <v>452</v>
      </c>
      <c r="B1" s="41" t="s">
        <v>1</v>
      </c>
      <c r="C1" s="2"/>
      <c r="D1" s="2"/>
      <c r="E1" s="17"/>
      <c r="F1" s="41"/>
    </row>
    <row r="2" spans="1:6">
      <c r="A2" s="2" t="s">
        <v>454</v>
      </c>
      <c r="B2" s="50" t="s">
        <v>455</v>
      </c>
      <c r="C2" s="50"/>
      <c r="D2" s="50"/>
      <c r="E2" s="17"/>
      <c r="F2" s="50"/>
    </row>
    <row r="3" spans="1:6">
      <c r="A3" s="25"/>
      <c r="B3" s="50" t="s">
        <v>456</v>
      </c>
      <c r="C3" s="50"/>
      <c r="D3" s="50"/>
      <c r="E3" s="17"/>
      <c r="F3" s="50"/>
    </row>
    <row r="4" spans="1:6">
      <c r="A4" s="25"/>
      <c r="B4" s="50" t="s">
        <v>457</v>
      </c>
      <c r="C4" s="50"/>
      <c r="D4" s="50"/>
      <c r="E4" s="17"/>
      <c r="F4" s="50"/>
    </row>
    <row r="5" spans="1:6">
      <c r="A5" s="556"/>
      <c r="B5" s="50"/>
      <c r="C5" s="50"/>
      <c r="D5" s="50"/>
      <c r="E5" s="556"/>
      <c r="F5" s="556"/>
    </row>
    <row r="6" spans="1:6" ht="5.0999999999999996" customHeight="1" thickBot="1">
      <c r="A6" s="556"/>
      <c r="B6" s="50"/>
      <c r="C6" s="50"/>
      <c r="D6" s="50"/>
      <c r="E6" s="556"/>
      <c r="F6" s="556"/>
    </row>
    <row r="7" spans="1:6">
      <c r="A7" s="556"/>
      <c r="B7" s="180" t="s">
        <v>5</v>
      </c>
      <c r="C7" s="188"/>
      <c r="D7" s="188"/>
      <c r="E7" s="38"/>
      <c r="F7" s="556"/>
    </row>
    <row r="8" spans="1:6">
      <c r="A8" s="556"/>
      <c r="B8" s="176" t="s">
        <v>514</v>
      </c>
      <c r="C8" s="176" t="s">
        <v>7</v>
      </c>
      <c r="D8" s="176" t="s">
        <v>7</v>
      </c>
      <c r="E8" s="38"/>
      <c r="F8" s="556"/>
    </row>
    <row r="9" spans="1:6" ht="16.5" thickBot="1">
      <c r="A9" s="43" t="s">
        <v>472</v>
      </c>
      <c r="B9" s="178" t="s">
        <v>515</v>
      </c>
      <c r="C9" s="178" t="s">
        <v>461</v>
      </c>
      <c r="D9" s="181">
        <v>2016</v>
      </c>
      <c r="E9" s="45"/>
      <c r="F9" s="556"/>
    </row>
    <row r="10" spans="1:6">
      <c r="A10" s="648" t="s">
        <v>377</v>
      </c>
      <c r="B10" s="82"/>
      <c r="C10" s="82">
        <v>646402</v>
      </c>
      <c r="D10" s="82">
        <v>668660</v>
      </c>
      <c r="E10" s="14"/>
      <c r="F10" s="556"/>
    </row>
    <row r="11" spans="1:6">
      <c r="A11" s="648" t="s">
        <v>379</v>
      </c>
      <c r="B11" s="82"/>
      <c r="C11" s="82">
        <v>268428</v>
      </c>
      <c r="D11" s="82">
        <v>278012</v>
      </c>
      <c r="E11" s="14"/>
      <c r="F11" s="556"/>
    </row>
    <row r="12" spans="1:6">
      <c r="A12" s="650" t="s">
        <v>380</v>
      </c>
      <c r="B12" s="82"/>
      <c r="C12" s="82">
        <v>164431</v>
      </c>
      <c r="D12" s="82">
        <v>150799</v>
      </c>
      <c r="E12" s="14"/>
      <c r="F12" s="556"/>
    </row>
    <row r="13" spans="1:6">
      <c r="A13" s="648" t="s">
        <v>378</v>
      </c>
      <c r="B13" s="183" t="s">
        <v>500</v>
      </c>
      <c r="C13" s="82">
        <v>154936</v>
      </c>
      <c r="D13" s="82">
        <v>135590</v>
      </c>
      <c r="E13" s="14"/>
      <c r="F13" s="556"/>
    </row>
    <row r="14" spans="1:6">
      <c r="A14" s="648" t="s">
        <v>516</v>
      </c>
      <c r="B14" s="183" t="s">
        <v>502</v>
      </c>
      <c r="C14" s="82">
        <v>136474</v>
      </c>
      <c r="D14" s="82">
        <v>128846</v>
      </c>
      <c r="E14" s="14"/>
      <c r="F14" s="556"/>
    </row>
    <row r="15" spans="1:6">
      <c r="A15" s="650" t="s">
        <v>386</v>
      </c>
      <c r="B15" s="183" t="s">
        <v>503</v>
      </c>
      <c r="C15" s="82">
        <v>135396</v>
      </c>
      <c r="D15" s="82">
        <v>145380</v>
      </c>
      <c r="E15" s="14"/>
      <c r="F15" s="556"/>
    </row>
    <row r="16" spans="1:6">
      <c r="A16" s="648" t="s">
        <v>384</v>
      </c>
      <c r="B16" s="183" t="s">
        <v>504</v>
      </c>
      <c r="C16" s="82">
        <v>118997</v>
      </c>
      <c r="D16" s="82">
        <v>109469</v>
      </c>
      <c r="E16" s="14"/>
      <c r="F16" s="556"/>
    </row>
    <row r="17" spans="1:5">
      <c r="A17" s="648" t="s">
        <v>59</v>
      </c>
      <c r="B17" s="183" t="s">
        <v>517</v>
      </c>
      <c r="C17" s="82">
        <v>75949</v>
      </c>
      <c r="D17" s="82">
        <v>79688</v>
      </c>
      <c r="E17" s="14"/>
    </row>
    <row r="18" spans="1:5">
      <c r="A18" s="648" t="s">
        <v>518</v>
      </c>
      <c r="B18" s="183" t="s">
        <v>519</v>
      </c>
      <c r="C18" s="82">
        <v>74711</v>
      </c>
      <c r="D18" s="82">
        <v>87136</v>
      </c>
      <c r="E18" s="14"/>
    </row>
    <row r="19" spans="1:5">
      <c r="A19" s="648" t="s">
        <v>359</v>
      </c>
      <c r="B19" s="183" t="s">
        <v>514</v>
      </c>
      <c r="C19" s="82">
        <v>63758</v>
      </c>
      <c r="D19" s="82">
        <v>73929</v>
      </c>
      <c r="E19" s="14"/>
    </row>
    <row r="20" spans="1:5">
      <c r="A20" s="648" t="s">
        <v>520</v>
      </c>
      <c r="B20" s="183" t="s">
        <v>521</v>
      </c>
      <c r="C20" s="82">
        <v>49190</v>
      </c>
      <c r="D20" s="82">
        <v>73139</v>
      </c>
      <c r="E20" s="14"/>
    </row>
    <row r="21" spans="1:5">
      <c r="A21" s="648" t="s">
        <v>383</v>
      </c>
      <c r="B21" s="183"/>
      <c r="C21" s="127">
        <v>42349</v>
      </c>
      <c r="D21" s="82">
        <v>5000</v>
      </c>
      <c r="E21" s="14"/>
    </row>
    <row r="22" spans="1:5">
      <c r="A22" s="648" t="s">
        <v>395</v>
      </c>
      <c r="B22" s="82"/>
      <c r="C22" s="82">
        <v>36463</v>
      </c>
      <c r="D22" s="82">
        <v>41084</v>
      </c>
      <c r="E22" s="14"/>
    </row>
    <row r="23" spans="1:5">
      <c r="A23" s="648" t="s">
        <v>522</v>
      </c>
      <c r="B23" s="82"/>
      <c r="C23" s="82">
        <v>27347</v>
      </c>
      <c r="D23" s="82">
        <v>29073</v>
      </c>
      <c r="E23" s="14"/>
    </row>
    <row r="24" spans="1:5">
      <c r="A24" s="648" t="s">
        <v>523</v>
      </c>
      <c r="B24" s="82"/>
      <c r="C24" s="82">
        <v>26141</v>
      </c>
      <c r="D24" s="82">
        <v>31680</v>
      </c>
      <c r="E24" s="14"/>
    </row>
    <row r="25" spans="1:5">
      <c r="A25" s="648" t="s">
        <v>397</v>
      </c>
      <c r="B25" s="82"/>
      <c r="C25" s="82">
        <v>11286</v>
      </c>
      <c r="D25" s="82">
        <v>11058</v>
      </c>
      <c r="E25" s="14"/>
    </row>
    <row r="26" spans="1:5">
      <c r="A26" s="648" t="s">
        <v>399</v>
      </c>
      <c r="B26" s="82"/>
      <c r="C26" s="82">
        <v>10200</v>
      </c>
      <c r="D26" s="82">
        <v>13970</v>
      </c>
      <c r="E26" s="14"/>
    </row>
    <row r="27" spans="1:5">
      <c r="A27" s="648" t="s">
        <v>524</v>
      </c>
      <c r="B27" s="82"/>
      <c r="C27" s="82">
        <v>3285</v>
      </c>
      <c r="D27" s="82">
        <v>5405</v>
      </c>
      <c r="E27" s="14"/>
    </row>
    <row r="28" spans="1:5">
      <c r="A28" s="648" t="s">
        <v>76</v>
      </c>
      <c r="B28" s="82"/>
      <c r="C28" s="127">
        <v>2202</v>
      </c>
      <c r="D28" s="82">
        <v>39154</v>
      </c>
      <c r="E28" s="14"/>
    </row>
    <row r="29" spans="1:5">
      <c r="A29" s="648" t="s">
        <v>401</v>
      </c>
      <c r="B29" s="82"/>
      <c r="C29" s="82">
        <v>1589</v>
      </c>
      <c r="D29" s="82">
        <v>1283</v>
      </c>
      <c r="E29" s="14"/>
    </row>
    <row r="30" spans="1:5">
      <c r="A30" s="648" t="s">
        <v>525</v>
      </c>
      <c r="B30" s="82"/>
      <c r="C30" s="127">
        <v>451</v>
      </c>
      <c r="D30" s="82">
        <v>2023</v>
      </c>
      <c r="E30" s="14"/>
    </row>
    <row r="31" spans="1:5">
      <c r="A31" s="648" t="s">
        <v>75</v>
      </c>
      <c r="B31" s="82"/>
      <c r="C31" s="127">
        <v>425</v>
      </c>
      <c r="D31" s="82">
        <v>24786</v>
      </c>
      <c r="E31" s="14"/>
    </row>
    <row r="32" spans="1:5" ht="13.5" thickBot="1">
      <c r="A32" s="648" t="s">
        <v>526</v>
      </c>
      <c r="B32" s="632"/>
      <c r="C32" s="632">
        <v>-247</v>
      </c>
      <c r="D32" s="632">
        <v>-71</v>
      </c>
      <c r="E32" s="42"/>
    </row>
    <row r="33" spans="1:5" ht="13.5" thickBot="1">
      <c r="A33" s="38" t="s">
        <v>474</v>
      </c>
      <c r="B33" s="189">
        <v>0</v>
      </c>
      <c r="C33" s="172">
        <f>SUM(C10:C32)</f>
        <v>2050163</v>
      </c>
      <c r="D33" s="172">
        <f>SUM(D10:D32)</f>
        <v>2135093</v>
      </c>
      <c r="E33" s="16"/>
    </row>
  </sheetData>
  <pageMargins left="0.7" right="0.7" top="0.75" bottom="0.75" header="0.3" footer="0.3"/>
  <pageSetup orientation="portrait" r:id="rId1"/>
  <ignoredErrors>
    <ignoredError sqref="B9:C9" numberStoredAsText="1"/>
    <ignoredError sqref="D33" formulaRange="1"/>
  </ignoredError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8"/>
  <dimension ref="A1:K72"/>
  <sheetViews>
    <sheetView workbookViewId="0"/>
  </sheetViews>
  <sheetFormatPr defaultRowHeight="12.75"/>
  <cols>
    <col min="1" max="1" width="3.5703125" customWidth="1"/>
    <col min="2" max="2" width="32.85546875" customWidth="1"/>
    <col min="3" max="5" width="11.5703125" customWidth="1"/>
    <col min="6" max="6" width="10.7109375" customWidth="1"/>
    <col min="7" max="7" width="3" hidden="1" customWidth="1"/>
    <col min="8" max="8" width="10.7109375" customWidth="1"/>
  </cols>
  <sheetData>
    <row r="1" spans="1:8" ht="15.75">
      <c r="A1" s="2" t="s">
        <v>452</v>
      </c>
      <c r="B1" s="556"/>
      <c r="C1" s="41" t="s">
        <v>1</v>
      </c>
      <c r="D1" s="2"/>
      <c r="E1" s="2"/>
      <c r="F1" s="41"/>
      <c r="G1" s="556"/>
      <c r="H1" s="556"/>
    </row>
    <row r="2" spans="1:8">
      <c r="A2" s="2" t="s">
        <v>454</v>
      </c>
      <c r="B2" s="2"/>
      <c r="C2" s="50" t="s">
        <v>455</v>
      </c>
      <c r="D2" s="50"/>
      <c r="E2" s="50"/>
      <c r="F2" s="50"/>
      <c r="G2" s="556"/>
      <c r="H2" s="556"/>
    </row>
    <row r="3" spans="1:8">
      <c r="A3" s="25"/>
      <c r="B3" s="556"/>
      <c r="C3" s="50" t="s">
        <v>456</v>
      </c>
      <c r="D3" s="50"/>
      <c r="E3" s="50"/>
      <c r="F3" s="50"/>
      <c r="G3" s="556"/>
      <c r="H3" s="556"/>
    </row>
    <row r="4" spans="1:8">
      <c r="A4" s="25"/>
      <c r="B4" s="556"/>
      <c r="C4" s="50" t="s">
        <v>457</v>
      </c>
      <c r="D4" s="50"/>
      <c r="E4" s="50"/>
      <c r="F4" s="50"/>
      <c r="G4" s="556"/>
      <c r="H4" s="556"/>
    </row>
    <row r="5" spans="1:8">
      <c r="A5" s="25"/>
      <c r="B5" s="556"/>
      <c r="C5" s="50"/>
      <c r="D5" s="50"/>
      <c r="E5" s="50"/>
      <c r="F5" s="556"/>
      <c r="G5" s="556"/>
      <c r="H5" s="556"/>
    </row>
    <row r="6" spans="1:8" ht="5.0999999999999996" customHeight="1" thickBot="1">
      <c r="A6" s="25"/>
      <c r="B6" s="556"/>
      <c r="C6" s="50"/>
      <c r="D6" s="50"/>
      <c r="E6" s="50"/>
      <c r="F6" s="556"/>
      <c r="G6" s="556"/>
      <c r="H6" s="556"/>
    </row>
    <row r="7" spans="1:8">
      <c r="A7" s="556"/>
      <c r="B7" s="556"/>
      <c r="C7" s="117" t="s">
        <v>5</v>
      </c>
      <c r="D7" s="117" t="s">
        <v>7</v>
      </c>
      <c r="E7" s="131" t="s">
        <v>7</v>
      </c>
      <c r="F7" s="556"/>
      <c r="G7" s="556"/>
      <c r="H7" s="556"/>
    </row>
    <row r="8" spans="1:8" ht="18">
      <c r="A8" s="146" t="s">
        <v>109</v>
      </c>
      <c r="B8" s="147"/>
      <c r="C8" s="118">
        <v>43404</v>
      </c>
      <c r="D8" s="129" t="s">
        <v>461</v>
      </c>
      <c r="E8" s="130">
        <v>2016</v>
      </c>
      <c r="F8" s="24"/>
      <c r="G8" s="5"/>
      <c r="H8" s="5"/>
    </row>
    <row r="9" spans="1:8" ht="15.75">
      <c r="A9" s="41" t="s">
        <v>527</v>
      </c>
      <c r="B9" s="556"/>
      <c r="C9" s="78"/>
      <c r="D9" s="78"/>
      <c r="E9" s="88"/>
      <c r="F9" s="6"/>
      <c r="G9" s="556"/>
      <c r="H9" s="6"/>
    </row>
    <row r="10" spans="1:8">
      <c r="A10" s="556"/>
      <c r="B10" s="2" t="s">
        <v>112</v>
      </c>
      <c r="C10" s="82"/>
      <c r="D10" s="82"/>
      <c r="E10" s="60"/>
      <c r="F10" s="8"/>
      <c r="G10" s="556"/>
      <c r="H10" s="8"/>
    </row>
    <row r="11" spans="1:8">
      <c r="A11" s="556"/>
      <c r="B11" s="25" t="s">
        <v>528</v>
      </c>
      <c r="C11" s="82">
        <v>-31954</v>
      </c>
      <c r="D11" s="82">
        <v>47309</v>
      </c>
      <c r="E11" s="60">
        <v>156976</v>
      </c>
      <c r="F11" s="8"/>
      <c r="G11" s="556"/>
      <c r="H11" s="8"/>
    </row>
    <row r="12" spans="1:8">
      <c r="A12" s="556"/>
      <c r="B12" s="25" t="s">
        <v>529</v>
      </c>
      <c r="C12" s="82">
        <v>1507097</v>
      </c>
      <c r="D12" s="82">
        <v>1578706</v>
      </c>
      <c r="E12" s="60">
        <v>1529648</v>
      </c>
      <c r="F12" s="8"/>
      <c r="G12" s="556"/>
      <c r="H12" s="8"/>
    </row>
    <row r="13" spans="1:8">
      <c r="A13" s="556"/>
      <c r="B13" s="25" t="s">
        <v>530</v>
      </c>
      <c r="C13" s="82">
        <v>33173</v>
      </c>
      <c r="D13" s="82">
        <v>27478</v>
      </c>
      <c r="E13" s="60">
        <v>21113</v>
      </c>
      <c r="F13" s="8"/>
      <c r="G13" s="556"/>
      <c r="H13" s="8"/>
    </row>
    <row r="14" spans="1:8">
      <c r="A14" s="556"/>
      <c r="B14" s="25" t="s">
        <v>531</v>
      </c>
      <c r="C14" s="82">
        <v>0</v>
      </c>
      <c r="D14" s="82">
        <v>48572</v>
      </c>
      <c r="E14" s="60">
        <v>48572</v>
      </c>
      <c r="F14" s="8"/>
      <c r="G14" s="556"/>
      <c r="H14" s="8"/>
    </row>
    <row r="15" spans="1:8">
      <c r="A15" s="556"/>
      <c r="B15" s="25" t="s">
        <v>532</v>
      </c>
      <c r="C15" s="82">
        <v>926294</v>
      </c>
      <c r="D15" s="82">
        <v>895487</v>
      </c>
      <c r="E15" s="60">
        <v>1388309</v>
      </c>
      <c r="F15" s="8"/>
      <c r="G15" s="556"/>
      <c r="H15" s="8"/>
    </row>
    <row r="16" spans="1:8">
      <c r="A16" s="556"/>
      <c r="B16" s="25" t="s">
        <v>533</v>
      </c>
      <c r="C16" s="76">
        <v>12389</v>
      </c>
      <c r="D16" s="76">
        <v>8312</v>
      </c>
      <c r="E16" s="61">
        <v>16707</v>
      </c>
      <c r="F16" s="8"/>
      <c r="G16" s="556"/>
      <c r="H16" s="8"/>
    </row>
    <row r="17" spans="2:8">
      <c r="B17" s="67" t="s">
        <v>534</v>
      </c>
      <c r="C17" s="83">
        <v>2447002</v>
      </c>
      <c r="D17" s="83">
        <f>SUM(D11:D16)</f>
        <v>2605864</v>
      </c>
      <c r="E17" s="62">
        <f>SUM(E11:E16)</f>
        <v>3161325</v>
      </c>
      <c r="F17" s="8"/>
      <c r="G17" s="556"/>
      <c r="H17" s="8"/>
    </row>
    <row r="18" spans="2:8" ht="5.0999999999999996" customHeight="1">
      <c r="B18" s="556"/>
      <c r="C18" s="78"/>
      <c r="D18" s="81"/>
      <c r="E18" s="59"/>
      <c r="F18" s="8"/>
      <c r="G18" s="556"/>
      <c r="H18" s="8"/>
    </row>
    <row r="19" spans="2:8">
      <c r="B19" s="2" t="s">
        <v>535</v>
      </c>
      <c r="C19" s="78"/>
      <c r="D19" s="81"/>
      <c r="E19" s="65"/>
      <c r="F19" s="11"/>
      <c r="G19" s="11"/>
      <c r="H19" s="11"/>
    </row>
    <row r="20" spans="2:8">
      <c r="B20" s="25" t="s">
        <v>536</v>
      </c>
      <c r="C20" s="127">
        <v>175730</v>
      </c>
      <c r="D20" s="81">
        <v>88000</v>
      </c>
      <c r="E20" s="65">
        <v>88000</v>
      </c>
      <c r="F20" s="11"/>
      <c r="G20" s="11"/>
      <c r="H20" s="11"/>
    </row>
    <row r="21" spans="2:8">
      <c r="B21" s="25" t="s">
        <v>537</v>
      </c>
      <c r="C21" s="82">
        <v>1095186</v>
      </c>
      <c r="D21" s="81">
        <v>1182916</v>
      </c>
      <c r="E21" s="65">
        <v>1182916</v>
      </c>
      <c r="F21" s="11"/>
      <c r="G21" s="11"/>
      <c r="H21" s="11"/>
    </row>
    <row r="22" spans="2:8">
      <c r="B22" s="25" t="s">
        <v>538</v>
      </c>
      <c r="C22" s="82">
        <v>1594653</v>
      </c>
      <c r="D22" s="81">
        <v>1594653</v>
      </c>
      <c r="E22" s="65">
        <v>1535364</v>
      </c>
      <c r="F22" s="11"/>
      <c r="G22" s="11"/>
      <c r="H22" s="11"/>
    </row>
    <row r="23" spans="2:8">
      <c r="B23" s="25" t="s">
        <v>539</v>
      </c>
      <c r="C23" s="82">
        <v>11502424</v>
      </c>
      <c r="D23" s="82">
        <v>11454410</v>
      </c>
      <c r="E23" s="65">
        <v>11426702</v>
      </c>
      <c r="F23" s="11"/>
      <c r="G23" s="11"/>
      <c r="H23" s="11"/>
    </row>
    <row r="24" spans="2:8">
      <c r="B24" s="25" t="s">
        <v>540</v>
      </c>
      <c r="C24" s="82">
        <v>320055</v>
      </c>
      <c r="D24" s="82">
        <v>320055</v>
      </c>
      <c r="E24" s="65">
        <v>320055</v>
      </c>
      <c r="F24" s="11"/>
      <c r="G24" s="11"/>
      <c r="H24" s="11"/>
    </row>
    <row r="25" spans="2:8">
      <c r="B25" s="25" t="s">
        <v>541</v>
      </c>
      <c r="C25" s="76">
        <v>702558</v>
      </c>
      <c r="D25" s="76">
        <v>692558</v>
      </c>
      <c r="E25" s="66">
        <v>692558</v>
      </c>
      <c r="F25" s="11"/>
      <c r="G25" s="11"/>
      <c r="H25" s="11"/>
    </row>
    <row r="26" spans="2:8">
      <c r="B26" s="67" t="s">
        <v>542</v>
      </c>
      <c r="C26" s="83">
        <v>15390607</v>
      </c>
      <c r="D26" s="121">
        <f>SUM(D20:D25)</f>
        <v>15332592</v>
      </c>
      <c r="E26" s="68">
        <f>SUM(E20:E25)</f>
        <v>15245595</v>
      </c>
      <c r="F26" s="11"/>
      <c r="G26" s="11"/>
      <c r="H26" s="11"/>
    </row>
    <row r="27" spans="2:8">
      <c r="B27" s="25" t="s">
        <v>543</v>
      </c>
      <c r="C27" s="76">
        <v>-12803817</v>
      </c>
      <c r="D27" s="76">
        <v>-12519356</v>
      </c>
      <c r="E27" s="66">
        <v>-12154201</v>
      </c>
      <c r="F27" s="11"/>
      <c r="G27" s="11"/>
      <c r="H27" s="11"/>
    </row>
    <row r="28" spans="2:8">
      <c r="B28" s="67" t="s">
        <v>544</v>
      </c>
      <c r="C28" s="83">
        <f>SUM(C26:C27)</f>
        <v>2586790</v>
      </c>
      <c r="D28" s="121">
        <f>SUM(D26:D27)</f>
        <v>2813236</v>
      </c>
      <c r="E28" s="68">
        <f>SUM(E26:E27)</f>
        <v>3091394</v>
      </c>
      <c r="F28" s="11"/>
      <c r="G28" s="11"/>
      <c r="H28" s="11"/>
    </row>
    <row r="29" spans="2:8" ht="3" customHeight="1">
      <c r="B29" s="67"/>
      <c r="C29" s="83"/>
      <c r="D29" s="121"/>
      <c r="E29" s="68"/>
      <c r="F29" s="11"/>
      <c r="G29" s="11"/>
      <c r="H29" s="11"/>
    </row>
    <row r="30" spans="2:8">
      <c r="B30" s="148" t="s">
        <v>141</v>
      </c>
      <c r="C30" s="83"/>
      <c r="D30" s="121"/>
      <c r="E30" s="68"/>
      <c r="F30" s="11"/>
      <c r="G30" s="11"/>
      <c r="H30" s="11"/>
    </row>
    <row r="31" spans="2:8">
      <c r="B31" s="651" t="s">
        <v>545</v>
      </c>
      <c r="C31" s="632">
        <v>217605</v>
      </c>
      <c r="D31" s="652">
        <v>214477</v>
      </c>
      <c r="E31" s="653">
        <v>209952</v>
      </c>
      <c r="F31" s="11"/>
      <c r="G31" s="11"/>
      <c r="H31" s="11"/>
    </row>
    <row r="32" spans="2:8">
      <c r="B32" s="651" t="s">
        <v>546</v>
      </c>
      <c r="C32" s="632">
        <v>0</v>
      </c>
      <c r="D32" s="652">
        <v>10000</v>
      </c>
      <c r="E32" s="653">
        <v>10000</v>
      </c>
      <c r="F32" s="11"/>
      <c r="G32" s="11"/>
      <c r="H32" s="11"/>
    </row>
    <row r="33" spans="1:11">
      <c r="A33" s="556"/>
      <c r="B33" s="651" t="s">
        <v>547</v>
      </c>
      <c r="C33" s="76">
        <v>7173</v>
      </c>
      <c r="D33" s="126">
        <v>2697</v>
      </c>
      <c r="E33" s="66">
        <v>2697</v>
      </c>
      <c r="F33" s="11"/>
      <c r="G33" s="11"/>
      <c r="H33" s="11"/>
      <c r="I33" s="556"/>
      <c r="J33" s="556"/>
      <c r="K33" s="556"/>
    </row>
    <row r="34" spans="1:11">
      <c r="A34" s="556"/>
      <c r="B34" s="67" t="s">
        <v>548</v>
      </c>
      <c r="C34" s="83">
        <f>SUM(C31:C33)</f>
        <v>224778</v>
      </c>
      <c r="D34" s="121">
        <f>SUM(D31:D33)</f>
        <v>227174</v>
      </c>
      <c r="E34" s="68">
        <f>SUM(E31:E33)</f>
        <v>222649</v>
      </c>
      <c r="F34" s="11"/>
      <c r="G34" s="11"/>
      <c r="H34" s="11"/>
      <c r="I34" s="556"/>
      <c r="J34" s="556"/>
      <c r="K34" s="556"/>
    </row>
    <row r="35" spans="1:11" ht="4.5" customHeight="1">
      <c r="A35" s="556"/>
      <c r="B35" s="651"/>
      <c r="C35" s="83"/>
      <c r="D35" s="121"/>
      <c r="E35" s="68"/>
      <c r="F35" s="11"/>
      <c r="G35" s="11"/>
      <c r="H35" s="11"/>
      <c r="I35" s="556"/>
      <c r="J35" s="556"/>
      <c r="K35" s="556"/>
    </row>
    <row r="36" spans="1:11" ht="16.5" thickBot="1">
      <c r="A36" s="2"/>
      <c r="B36" s="125" t="s">
        <v>549</v>
      </c>
      <c r="C36" s="119">
        <v>5258571</v>
      </c>
      <c r="D36" s="122">
        <v>5646274</v>
      </c>
      <c r="E36" s="114">
        <v>6475368</v>
      </c>
      <c r="F36" s="13"/>
      <c r="G36" s="12"/>
      <c r="H36" s="13"/>
      <c r="I36" s="556"/>
      <c r="J36" s="556"/>
      <c r="K36" s="25"/>
    </row>
    <row r="37" spans="1:11" ht="5.45" customHeight="1" thickTop="1">
      <c r="A37" s="2"/>
      <c r="B37" s="556"/>
      <c r="C37" s="78"/>
      <c r="D37" s="78"/>
      <c r="E37" s="88"/>
      <c r="F37" s="6"/>
      <c r="G37" s="556"/>
      <c r="H37" s="6"/>
      <c r="I37" s="556"/>
      <c r="J37" s="556"/>
      <c r="K37" s="556"/>
    </row>
    <row r="38" spans="1:11" ht="15.75">
      <c r="A38" s="146" t="s">
        <v>550</v>
      </c>
      <c r="B38" s="147"/>
      <c r="C38" s="78"/>
      <c r="D38" s="78"/>
      <c r="E38" s="88"/>
      <c r="F38" s="6"/>
      <c r="G38" s="556"/>
      <c r="H38" s="6"/>
      <c r="I38" s="556"/>
      <c r="J38" s="556"/>
      <c r="K38" s="556"/>
    </row>
    <row r="39" spans="1:11" ht="15.75">
      <c r="A39" s="146" t="s">
        <v>551</v>
      </c>
      <c r="B39" s="147"/>
      <c r="C39" s="78"/>
      <c r="D39" s="78"/>
      <c r="E39" s="88"/>
      <c r="F39" s="6"/>
      <c r="G39" s="556"/>
      <c r="H39" s="6"/>
      <c r="I39" s="556"/>
      <c r="J39" s="556"/>
      <c r="K39" s="556"/>
    </row>
    <row r="40" spans="1:11" ht="15.75">
      <c r="A40" s="41" t="s">
        <v>149</v>
      </c>
      <c r="B40" s="2"/>
      <c r="C40" s="75"/>
      <c r="D40" s="78"/>
      <c r="E40" s="88"/>
      <c r="F40" s="6"/>
      <c r="G40" s="556"/>
      <c r="H40" s="6"/>
      <c r="I40" s="556"/>
      <c r="J40" s="556"/>
      <c r="K40" s="556"/>
    </row>
    <row r="41" spans="1:11">
      <c r="A41" s="556"/>
      <c r="B41" s="2" t="s">
        <v>150</v>
      </c>
      <c r="C41" s="82"/>
      <c r="D41" s="82"/>
      <c r="E41" s="60"/>
      <c r="F41" s="15"/>
      <c r="G41" s="556"/>
      <c r="H41" s="8"/>
      <c r="I41" s="556"/>
      <c r="J41" s="556"/>
      <c r="K41" s="556"/>
    </row>
    <row r="42" spans="1:11">
      <c r="A42" s="556"/>
      <c r="B42" s="25" t="s">
        <v>552</v>
      </c>
      <c r="C42" s="632">
        <v>9238</v>
      </c>
      <c r="D42" s="632">
        <v>24648</v>
      </c>
      <c r="E42" s="654">
        <v>53721</v>
      </c>
      <c r="F42" s="15"/>
      <c r="G42" s="556"/>
      <c r="H42" s="8"/>
      <c r="I42" s="556"/>
      <c r="J42" s="556"/>
      <c r="K42" s="556"/>
    </row>
    <row r="43" spans="1:11">
      <c r="A43" s="556"/>
      <c r="B43" s="25" t="s">
        <v>553</v>
      </c>
      <c r="C43" s="632">
        <v>120000</v>
      </c>
      <c r="D43" s="632">
        <v>120000</v>
      </c>
      <c r="E43" s="654">
        <v>470365</v>
      </c>
      <c r="F43" s="15"/>
      <c r="G43" s="556"/>
      <c r="H43" s="8"/>
      <c r="I43" s="556"/>
      <c r="J43" s="556"/>
      <c r="K43" s="556"/>
    </row>
    <row r="44" spans="1:11">
      <c r="A44" s="556"/>
      <c r="B44" s="25" t="s">
        <v>554</v>
      </c>
      <c r="C44" s="632">
        <v>2415200</v>
      </c>
      <c r="D44" s="632">
        <v>2726174</v>
      </c>
      <c r="E44" s="654">
        <v>2765674</v>
      </c>
      <c r="F44" s="15"/>
      <c r="G44" s="556"/>
      <c r="H44" s="8"/>
      <c r="I44" s="556"/>
      <c r="J44" s="556"/>
      <c r="K44" s="556"/>
    </row>
    <row r="45" spans="1:11">
      <c r="A45" s="556"/>
      <c r="B45" s="25" t="s">
        <v>555</v>
      </c>
      <c r="C45" s="632">
        <v>194180</v>
      </c>
      <c r="D45" s="632">
        <v>132858</v>
      </c>
      <c r="E45" s="654">
        <v>147025</v>
      </c>
      <c r="F45" s="15"/>
      <c r="G45" s="556"/>
      <c r="H45" s="8"/>
      <c r="I45" s="556"/>
      <c r="J45" s="556"/>
      <c r="K45" s="556"/>
    </row>
    <row r="46" spans="1:11">
      <c r="A46" s="556"/>
      <c r="B46" s="25" t="s">
        <v>556</v>
      </c>
      <c r="C46" s="649">
        <v>0</v>
      </c>
      <c r="D46" s="632">
        <v>75500</v>
      </c>
      <c r="E46" s="654">
        <v>67500</v>
      </c>
      <c r="F46" s="15"/>
      <c r="G46" s="556"/>
      <c r="H46" s="8"/>
      <c r="I46" s="556"/>
      <c r="J46" s="556"/>
      <c r="K46" s="556"/>
    </row>
    <row r="47" spans="1:11">
      <c r="A47" s="556"/>
      <c r="B47" s="25" t="s">
        <v>557</v>
      </c>
      <c r="C47" s="649">
        <v>0</v>
      </c>
      <c r="D47" s="632">
        <v>46261</v>
      </c>
      <c r="E47" s="654">
        <v>45040</v>
      </c>
      <c r="F47" s="15"/>
      <c r="G47" s="556"/>
      <c r="H47" s="8"/>
      <c r="I47" s="556"/>
      <c r="J47" s="556"/>
      <c r="K47" s="556"/>
    </row>
    <row r="48" spans="1:11">
      <c r="A48" s="556"/>
      <c r="B48" s="25" t="s">
        <v>558</v>
      </c>
      <c r="C48" s="632">
        <v>18491</v>
      </c>
      <c r="D48" s="632">
        <v>15740</v>
      </c>
      <c r="E48" s="654">
        <v>16910</v>
      </c>
      <c r="F48" s="15"/>
      <c r="G48" s="556"/>
      <c r="H48" s="8"/>
      <c r="I48" s="556"/>
      <c r="J48" s="556"/>
      <c r="K48" s="556"/>
    </row>
    <row r="49" spans="1:8">
      <c r="A49" s="556"/>
      <c r="B49" s="25" t="s">
        <v>559</v>
      </c>
      <c r="C49" s="104">
        <v>0</v>
      </c>
      <c r="D49" s="104">
        <v>0</v>
      </c>
      <c r="E49" s="61">
        <v>26543</v>
      </c>
      <c r="F49" s="15"/>
      <c r="G49" s="556"/>
      <c r="H49" s="8"/>
    </row>
    <row r="50" spans="1:8">
      <c r="A50" s="556"/>
      <c r="B50" s="67" t="s">
        <v>560</v>
      </c>
      <c r="C50" s="83">
        <v>2757110</v>
      </c>
      <c r="D50" s="83">
        <f>SUM(D42:D49)</f>
        <v>3141181</v>
      </c>
      <c r="E50" s="62">
        <f>SUM(E42:E49)</f>
        <v>3592778</v>
      </c>
      <c r="F50" s="15"/>
      <c r="G50" s="556"/>
      <c r="H50" s="8"/>
    </row>
    <row r="51" spans="1:8" ht="6" customHeight="1">
      <c r="A51" s="556"/>
      <c r="B51" s="25"/>
      <c r="C51" s="82"/>
      <c r="D51" s="82"/>
      <c r="E51" s="60"/>
      <c r="F51" s="15"/>
      <c r="G51" s="556"/>
      <c r="H51" s="8"/>
    </row>
    <row r="52" spans="1:8" ht="12.95" customHeight="1">
      <c r="A52" s="556"/>
      <c r="B52" s="2" t="s">
        <v>561</v>
      </c>
      <c r="C52" s="82"/>
      <c r="D52" s="82"/>
      <c r="E52" s="60"/>
      <c r="F52" s="15"/>
      <c r="G52" s="556"/>
      <c r="H52" s="8"/>
    </row>
    <row r="53" spans="1:8" ht="12.95" customHeight="1">
      <c r="A53" s="556"/>
      <c r="B53" s="25" t="s">
        <v>562</v>
      </c>
      <c r="C53" s="82">
        <v>1242019</v>
      </c>
      <c r="D53" s="82">
        <v>1294116</v>
      </c>
      <c r="E53" s="60">
        <v>1316609</v>
      </c>
      <c r="F53" s="15"/>
      <c r="G53" s="556"/>
      <c r="H53" s="8"/>
    </row>
    <row r="54" spans="1:8" ht="12.95" customHeight="1">
      <c r="A54" s="556"/>
      <c r="B54" s="25" t="s">
        <v>563</v>
      </c>
      <c r="C54" s="82">
        <v>0</v>
      </c>
      <c r="D54" s="82">
        <v>5006</v>
      </c>
      <c r="E54" s="60">
        <v>29650</v>
      </c>
      <c r="F54" s="15"/>
      <c r="G54" s="556"/>
      <c r="H54" s="8"/>
    </row>
    <row r="55" spans="1:8" ht="12.95" customHeight="1">
      <c r="A55" s="556"/>
      <c r="B55" s="25" t="s">
        <v>564</v>
      </c>
      <c r="C55" s="76">
        <v>140000</v>
      </c>
      <c r="D55" s="76">
        <v>240000</v>
      </c>
      <c r="E55" s="61">
        <v>360000</v>
      </c>
      <c r="F55" s="15"/>
      <c r="G55" s="556"/>
      <c r="H55" s="8"/>
    </row>
    <row r="56" spans="1:8" ht="12.95" customHeight="1">
      <c r="A56" s="556"/>
      <c r="B56" s="67" t="s">
        <v>565</v>
      </c>
      <c r="C56" s="83">
        <f>SUM(C53:C55)</f>
        <v>1382019</v>
      </c>
      <c r="D56" s="83">
        <f>SUM(D53:D55)</f>
        <v>1539122</v>
      </c>
      <c r="E56" s="62">
        <f>SUM(E53:E55)</f>
        <v>1706259</v>
      </c>
      <c r="F56" s="15"/>
      <c r="G56" s="556"/>
      <c r="H56" s="8"/>
    </row>
    <row r="57" spans="1:8" ht="5.45" customHeight="1">
      <c r="A57" s="556"/>
      <c r="B57" s="25"/>
      <c r="C57" s="82"/>
      <c r="D57" s="82"/>
      <c r="E57" s="60"/>
      <c r="F57" s="15"/>
      <c r="G57" s="556"/>
      <c r="H57" s="8"/>
    </row>
    <row r="58" spans="1:8" ht="16.5" thickBot="1">
      <c r="A58" s="556"/>
      <c r="B58" s="125" t="s">
        <v>566</v>
      </c>
      <c r="C58" s="149">
        <v>4139129</v>
      </c>
      <c r="D58" s="119">
        <v>4680303</v>
      </c>
      <c r="E58" s="115">
        <v>5299037</v>
      </c>
      <c r="F58" s="16"/>
      <c r="G58" s="2"/>
      <c r="H58" s="2"/>
    </row>
    <row r="59" spans="1:8" ht="6.6" customHeight="1" thickBot="1">
      <c r="A59" s="556"/>
      <c r="B59" s="556"/>
      <c r="C59" s="145"/>
      <c r="D59" s="120"/>
      <c r="E59" s="116"/>
      <c r="F59" s="15"/>
      <c r="G59" s="556"/>
      <c r="H59" s="8"/>
    </row>
    <row r="60" spans="1:8" ht="16.5" thickBot="1">
      <c r="A60" s="556"/>
      <c r="B60" s="47" t="s">
        <v>567</v>
      </c>
      <c r="C60" s="128">
        <v>1119443</v>
      </c>
      <c r="D60" s="51">
        <v>965971</v>
      </c>
      <c r="E60" s="52">
        <v>1176331</v>
      </c>
      <c r="F60" s="16"/>
      <c r="G60" s="13"/>
      <c r="H60" s="13"/>
    </row>
    <row r="61" spans="1:8" ht="15.75">
      <c r="A61" s="2"/>
      <c r="B61" s="556"/>
      <c r="C61" s="46" t="s">
        <v>568</v>
      </c>
      <c r="D61" s="46" t="s">
        <v>461</v>
      </c>
      <c r="E61" s="46" t="s">
        <v>569</v>
      </c>
      <c r="F61" s="9"/>
      <c r="G61" s="556"/>
      <c r="H61" s="9"/>
    </row>
    <row r="62" spans="1:8" ht="12.75" customHeight="1">
      <c r="A62" s="556"/>
      <c r="B62" s="19"/>
      <c r="C62" s="556"/>
      <c r="D62" s="556"/>
      <c r="E62" s="556"/>
      <c r="F62" s="556"/>
      <c r="G62" s="556"/>
      <c r="H62" s="556"/>
    </row>
    <row r="63" spans="1:8">
      <c r="A63" s="11"/>
      <c r="B63" s="22"/>
      <c r="C63" s="20"/>
      <c r="D63" s="21"/>
      <c r="E63" s="3"/>
      <c r="F63" s="556"/>
      <c r="G63" s="556"/>
      <c r="H63" s="556"/>
    </row>
    <row r="64" spans="1:8">
      <c r="A64" s="11"/>
      <c r="B64" s="22"/>
      <c r="C64" s="22"/>
      <c r="D64" s="21"/>
      <c r="E64" s="3"/>
      <c r="F64" s="556"/>
      <c r="G64" s="556"/>
      <c r="H64" s="556"/>
    </row>
    <row r="65" spans="1:6">
      <c r="A65" s="11"/>
      <c r="B65" s="22"/>
      <c r="C65" s="22"/>
      <c r="D65" s="21"/>
      <c r="E65" s="3"/>
      <c r="F65" s="556"/>
    </row>
    <row r="66" spans="1:6" s="3" customFormat="1" ht="12.75" customHeight="1">
      <c r="B66" s="27"/>
      <c r="C66" s="26"/>
    </row>
    <row r="67" spans="1:6" s="3" customFormat="1" ht="12.75" customHeight="1">
      <c r="B67" s="27"/>
      <c r="C67" s="26"/>
    </row>
    <row r="68" spans="1:6" s="3" customFormat="1" ht="12.75" customHeight="1">
      <c r="B68" s="28"/>
      <c r="C68" s="28"/>
      <c r="D68" s="28"/>
      <c r="E68" s="28"/>
      <c r="F68" s="29"/>
    </row>
    <row r="69" spans="1:6" s="3" customFormat="1" ht="12">
      <c r="B69" s="28"/>
      <c r="C69" s="28"/>
      <c r="D69" s="28"/>
      <c r="E69" s="28"/>
      <c r="F69" s="29"/>
    </row>
    <row r="70" spans="1:6" s="3" customFormat="1" ht="11.25">
      <c r="A70" s="7"/>
      <c r="B70" s="30"/>
      <c r="C70" s="30"/>
      <c r="D70" s="30"/>
      <c r="E70" s="30"/>
      <c r="F70" s="30"/>
    </row>
    <row r="71" spans="1:6" s="3" customFormat="1" ht="11.25">
      <c r="A71" s="4"/>
    </row>
    <row r="72" spans="1:6">
      <c r="A72" s="556"/>
      <c r="B72" s="556"/>
      <c r="C72" s="556"/>
      <c r="D72" s="10"/>
      <c r="E72" s="556"/>
      <c r="F72" s="556"/>
    </row>
  </sheetData>
  <pageMargins left="0.5" right="0.5" top="0.5" bottom="0.5" header="0.5" footer="0.5"/>
  <pageSetup scale="95" orientation="portrait" r:id="rId1"/>
  <headerFooter alignWithMargins="0"/>
  <ignoredErrors>
    <ignoredError sqref="C61" twoDigitTextYear="1"/>
    <ignoredError sqref="D61:E61 D8" numberStoredAsText="1"/>
    <ignoredError sqref="C28" formulaRange="1"/>
  </ignoredErrors>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52415-BB72-46F5-94B9-ABB00242A3FF}">
  <sheetPr codeName="Sheet19"/>
  <dimension ref="A1:G49"/>
  <sheetViews>
    <sheetView workbookViewId="0">
      <selection sqref="A1:G30"/>
    </sheetView>
  </sheetViews>
  <sheetFormatPr defaultRowHeight="12.75"/>
  <sheetData>
    <row r="1" spans="1:7">
      <c r="A1" s="655"/>
      <c r="B1" s="655"/>
      <c r="C1" s="655"/>
      <c r="D1" s="655"/>
      <c r="E1" s="655"/>
      <c r="F1" s="655"/>
      <c r="G1" s="655"/>
    </row>
    <row r="2" spans="1:7">
      <c r="A2" s="655"/>
      <c r="B2" s="655"/>
      <c r="C2" s="655"/>
      <c r="D2" s="655"/>
      <c r="E2" s="655"/>
      <c r="F2" s="655"/>
      <c r="G2" s="655"/>
    </row>
    <row r="3" spans="1:7">
      <c r="A3" s="655"/>
      <c r="B3" s="655"/>
      <c r="C3" s="655"/>
      <c r="D3" s="655"/>
      <c r="E3" s="655"/>
      <c r="F3" s="655"/>
      <c r="G3" s="655"/>
    </row>
    <row r="4" spans="1:7">
      <c r="A4" s="655"/>
      <c r="B4" s="655"/>
      <c r="C4" s="655"/>
      <c r="D4" s="655"/>
      <c r="E4" s="655"/>
      <c r="F4" s="655"/>
      <c r="G4" s="655"/>
    </row>
    <row r="5" spans="1:7">
      <c r="A5" s="655"/>
      <c r="B5" s="655"/>
      <c r="C5" s="655"/>
      <c r="D5" s="655"/>
      <c r="E5" s="655"/>
      <c r="F5" s="655"/>
      <c r="G5" s="655"/>
    </row>
    <row r="6" spans="1:7">
      <c r="A6" s="655"/>
      <c r="B6" s="655"/>
      <c r="C6" s="655"/>
      <c r="D6" s="655"/>
      <c r="E6" s="655"/>
      <c r="F6" s="655"/>
      <c r="G6" s="655"/>
    </row>
    <row r="7" spans="1:7">
      <c r="A7" s="655"/>
      <c r="B7" s="655"/>
      <c r="C7" s="655"/>
      <c r="D7" s="655"/>
      <c r="E7" s="655"/>
      <c r="F7" s="655"/>
      <c r="G7" s="655"/>
    </row>
    <row r="8" spans="1:7">
      <c r="A8" s="655"/>
      <c r="B8" s="655"/>
      <c r="C8" s="655"/>
      <c r="D8" s="655"/>
      <c r="E8" s="655"/>
      <c r="F8" s="655"/>
      <c r="G8" s="655"/>
    </row>
    <row r="9" spans="1:7">
      <c r="A9" s="655"/>
      <c r="B9" s="655"/>
      <c r="C9" s="655"/>
      <c r="D9" s="655"/>
      <c r="E9" s="655"/>
      <c r="F9" s="655"/>
      <c r="G9" s="655"/>
    </row>
    <row r="10" spans="1:7">
      <c r="A10" s="655"/>
      <c r="B10" s="655"/>
      <c r="C10" s="655"/>
      <c r="D10" s="655"/>
      <c r="E10" s="655"/>
      <c r="F10" s="655"/>
      <c r="G10" s="655"/>
    </row>
    <row r="11" spans="1:7">
      <c r="A11" s="655"/>
      <c r="B11" s="655"/>
      <c r="C11" s="655"/>
      <c r="D11" s="655"/>
      <c r="E11" s="655"/>
      <c r="F11" s="655"/>
      <c r="G11" s="655"/>
    </row>
    <row r="12" spans="1:7">
      <c r="A12" s="655"/>
      <c r="B12" s="655"/>
      <c r="C12" s="655"/>
      <c r="D12" s="655"/>
      <c r="E12" s="655"/>
      <c r="F12" s="655"/>
      <c r="G12" s="655"/>
    </row>
    <row r="13" spans="1:7">
      <c r="A13" s="655"/>
      <c r="B13" s="655"/>
      <c r="C13" s="655"/>
      <c r="D13" s="655"/>
      <c r="E13" s="655"/>
      <c r="F13" s="655"/>
      <c r="G13" s="655"/>
    </row>
    <row r="14" spans="1:7">
      <c r="A14" s="655"/>
      <c r="B14" s="655"/>
      <c r="C14" s="655"/>
      <c r="D14" s="655"/>
      <c r="E14" s="655"/>
      <c r="F14" s="655"/>
      <c r="G14" s="655"/>
    </row>
    <row r="15" spans="1:7">
      <c r="A15" s="655"/>
      <c r="B15" s="655"/>
      <c r="C15" s="655"/>
      <c r="D15" s="655"/>
      <c r="E15" s="655"/>
      <c r="F15" s="655"/>
      <c r="G15" s="655"/>
    </row>
    <row r="16" spans="1:7">
      <c r="A16" s="655"/>
      <c r="B16" s="655"/>
      <c r="C16" s="655"/>
      <c r="D16" s="655"/>
      <c r="E16" s="655"/>
      <c r="F16" s="655"/>
      <c r="G16" s="655"/>
    </row>
    <row r="17" spans="1:7">
      <c r="A17" s="655"/>
      <c r="B17" s="655"/>
      <c r="C17" s="655"/>
      <c r="D17" s="655"/>
      <c r="E17" s="655"/>
      <c r="F17" s="655"/>
      <c r="G17" s="655"/>
    </row>
    <row r="18" spans="1:7">
      <c r="A18" s="655"/>
      <c r="B18" s="655"/>
      <c r="C18" s="655"/>
      <c r="D18" s="655"/>
      <c r="E18" s="655"/>
      <c r="F18" s="655"/>
      <c r="G18" s="655"/>
    </row>
    <row r="19" spans="1:7">
      <c r="A19" s="655"/>
      <c r="B19" s="655"/>
      <c r="C19" s="655"/>
      <c r="D19" s="655"/>
      <c r="E19" s="655"/>
      <c r="F19" s="655"/>
      <c r="G19" s="655"/>
    </row>
    <row r="20" spans="1:7">
      <c r="A20" s="655"/>
      <c r="B20" s="655"/>
      <c r="C20" s="655"/>
      <c r="D20" s="655"/>
      <c r="E20" s="655"/>
      <c r="F20" s="655"/>
      <c r="G20" s="655"/>
    </row>
    <row r="21" spans="1:7">
      <c r="A21" s="655"/>
      <c r="B21" s="655"/>
      <c r="C21" s="655"/>
      <c r="D21" s="655"/>
      <c r="E21" s="655"/>
      <c r="F21" s="655"/>
      <c r="G21" s="655"/>
    </row>
    <row r="22" spans="1:7">
      <c r="A22" s="655"/>
      <c r="B22" s="655"/>
      <c r="C22" s="655"/>
      <c r="D22" s="655"/>
      <c r="E22" s="655"/>
      <c r="F22" s="655"/>
      <c r="G22" s="655"/>
    </row>
    <row r="23" spans="1:7">
      <c r="A23" s="655"/>
      <c r="B23" s="655"/>
      <c r="C23" s="655"/>
      <c r="D23" s="655"/>
      <c r="E23" s="655"/>
      <c r="F23" s="655"/>
      <c r="G23" s="655"/>
    </row>
    <row r="24" spans="1:7">
      <c r="A24" s="655"/>
      <c r="B24" s="655"/>
      <c r="C24" s="655"/>
      <c r="D24" s="655"/>
      <c r="E24" s="655"/>
      <c r="F24" s="655"/>
      <c r="G24" s="655"/>
    </row>
    <row r="25" spans="1:7">
      <c r="A25" s="655"/>
      <c r="B25" s="655"/>
      <c r="C25" s="655"/>
      <c r="D25" s="655"/>
      <c r="E25" s="655"/>
      <c r="F25" s="655"/>
      <c r="G25" s="655"/>
    </row>
    <row r="26" spans="1:7">
      <c r="A26" s="655"/>
      <c r="B26" s="655"/>
      <c r="C26" s="655"/>
      <c r="D26" s="655"/>
      <c r="E26" s="655"/>
      <c r="F26" s="655"/>
      <c r="G26" s="655"/>
    </row>
    <row r="27" spans="1:7">
      <c r="A27" s="655"/>
      <c r="B27" s="655"/>
      <c r="C27" s="655"/>
      <c r="D27" s="655"/>
      <c r="E27" s="655"/>
      <c r="F27" s="655"/>
      <c r="G27" s="655"/>
    </row>
    <row r="28" spans="1:7">
      <c r="A28" s="655"/>
      <c r="B28" s="655"/>
      <c r="C28" s="655"/>
      <c r="D28" s="655"/>
      <c r="E28" s="655"/>
      <c r="F28" s="655"/>
      <c r="G28" s="655"/>
    </row>
    <row r="29" spans="1:7">
      <c r="A29" s="655"/>
      <c r="B29" s="655"/>
      <c r="C29" s="655"/>
      <c r="D29" s="655"/>
      <c r="E29" s="655"/>
      <c r="F29" s="655"/>
      <c r="G29" s="655"/>
    </row>
    <row r="30" spans="1:7">
      <c r="A30" s="655"/>
      <c r="B30" s="655"/>
      <c r="C30" s="655"/>
      <c r="D30" s="655"/>
      <c r="E30" s="655"/>
      <c r="F30" s="655"/>
      <c r="G30" s="655"/>
    </row>
    <row r="31" spans="1:7" ht="4.3499999999999996" customHeight="1">
      <c r="A31" s="556"/>
      <c r="B31" s="556"/>
      <c r="C31" s="556"/>
      <c r="D31" s="556"/>
      <c r="E31" s="556"/>
      <c r="F31" s="556"/>
      <c r="G31" s="556"/>
    </row>
    <row r="32" spans="1:7">
      <c r="A32" s="655"/>
      <c r="B32" s="655"/>
      <c r="C32" s="655"/>
      <c r="D32" s="655"/>
      <c r="E32" s="655"/>
      <c r="F32" s="655"/>
      <c r="G32" s="655"/>
    </row>
    <row r="33" spans="1:7">
      <c r="A33" s="655"/>
      <c r="B33" s="655"/>
      <c r="C33" s="655"/>
      <c r="D33" s="655"/>
      <c r="E33" s="655"/>
      <c r="F33" s="655"/>
      <c r="G33" s="655"/>
    </row>
    <row r="34" spans="1:7">
      <c r="A34" s="655"/>
      <c r="B34" s="655"/>
      <c r="C34" s="655"/>
      <c r="D34" s="655"/>
      <c r="E34" s="655"/>
      <c r="F34" s="655"/>
      <c r="G34" s="655"/>
    </row>
    <row r="35" spans="1:7">
      <c r="A35" s="655"/>
      <c r="B35" s="655"/>
      <c r="C35" s="655"/>
      <c r="D35" s="655"/>
      <c r="E35" s="655"/>
      <c r="F35" s="655"/>
      <c r="G35" s="655"/>
    </row>
    <row r="36" spans="1:7">
      <c r="A36" s="655"/>
      <c r="B36" s="655"/>
      <c r="C36" s="655"/>
      <c r="D36" s="655"/>
      <c r="E36" s="655"/>
      <c r="F36" s="655"/>
      <c r="G36" s="655"/>
    </row>
    <row r="37" spans="1:7">
      <c r="A37" s="655"/>
      <c r="B37" s="655"/>
      <c r="C37" s="655"/>
      <c r="D37" s="655"/>
      <c r="E37" s="655"/>
      <c r="F37" s="655"/>
      <c r="G37" s="655"/>
    </row>
    <row r="38" spans="1:7">
      <c r="A38" s="655"/>
      <c r="B38" s="655"/>
      <c r="C38" s="655"/>
      <c r="D38" s="655"/>
      <c r="E38" s="655"/>
      <c r="F38" s="655"/>
      <c r="G38" s="655"/>
    </row>
    <row r="39" spans="1:7">
      <c r="A39" s="655"/>
      <c r="B39" s="655"/>
      <c r="C39" s="655"/>
      <c r="D39" s="655"/>
      <c r="E39" s="655"/>
      <c r="F39" s="655"/>
      <c r="G39" s="655"/>
    </row>
    <row r="40" spans="1:7">
      <c r="A40" s="655"/>
      <c r="B40" s="655"/>
      <c r="C40" s="655"/>
      <c r="D40" s="655"/>
      <c r="E40" s="655"/>
      <c r="F40" s="655"/>
      <c r="G40" s="655"/>
    </row>
    <row r="41" spans="1:7">
      <c r="A41" s="655"/>
      <c r="B41" s="655"/>
      <c r="C41" s="655"/>
      <c r="D41" s="655"/>
      <c r="E41" s="655"/>
      <c r="F41" s="655"/>
      <c r="G41" s="655"/>
    </row>
    <row r="42" spans="1:7">
      <c r="A42" s="655"/>
      <c r="B42" s="655"/>
      <c r="C42" s="655"/>
      <c r="D42" s="655"/>
      <c r="E42" s="655"/>
      <c r="F42" s="655"/>
      <c r="G42" s="655"/>
    </row>
    <row r="43" spans="1:7">
      <c r="A43" s="655"/>
      <c r="B43" s="655"/>
      <c r="C43" s="655"/>
      <c r="D43" s="655"/>
      <c r="E43" s="655"/>
      <c r="F43" s="655"/>
      <c r="G43" s="655"/>
    </row>
    <row r="44" spans="1:7">
      <c r="A44" s="655"/>
      <c r="B44" s="655"/>
      <c r="C44" s="655"/>
      <c r="D44" s="655"/>
      <c r="E44" s="655"/>
      <c r="F44" s="655"/>
      <c r="G44" s="655"/>
    </row>
    <row r="45" spans="1:7">
      <c r="A45" s="655"/>
      <c r="B45" s="655"/>
      <c r="C45" s="655"/>
      <c r="D45" s="655"/>
      <c r="E45" s="655"/>
      <c r="F45" s="655"/>
      <c r="G45" s="655"/>
    </row>
    <row r="46" spans="1:7">
      <c r="A46" s="655"/>
      <c r="B46" s="655"/>
      <c r="C46" s="655"/>
      <c r="D46" s="655"/>
      <c r="E46" s="655"/>
      <c r="F46" s="655"/>
      <c r="G46" s="655"/>
    </row>
    <row r="47" spans="1:7">
      <c r="A47" s="655"/>
      <c r="B47" s="655"/>
      <c r="C47" s="655"/>
      <c r="D47" s="655"/>
      <c r="E47" s="655"/>
      <c r="F47" s="655"/>
      <c r="G47" s="655"/>
    </row>
    <row r="48" spans="1:7">
      <c r="A48" s="655"/>
      <c r="B48" s="655"/>
      <c r="C48" s="655"/>
      <c r="D48" s="655"/>
      <c r="E48" s="655"/>
      <c r="F48" s="655"/>
      <c r="G48" s="655"/>
    </row>
    <row r="49" spans="1:7">
      <c r="A49" s="655"/>
      <c r="B49" s="655"/>
      <c r="C49" s="655"/>
      <c r="D49" s="655"/>
      <c r="E49" s="655"/>
      <c r="F49" s="655"/>
      <c r="G49" s="655"/>
    </row>
  </sheetData>
  <mergeCells count="2">
    <mergeCell ref="A1:G30"/>
    <mergeCell ref="A32:G49"/>
  </mergeCell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12F7-FCA5-4EDC-9227-A74D8131D70E}">
  <sheetPr codeName="Sheet20"/>
  <dimension ref="A1:H77"/>
  <sheetViews>
    <sheetView workbookViewId="0"/>
  </sheetViews>
  <sheetFormatPr defaultColWidth="8.7109375" defaultRowHeight="12.75"/>
  <cols>
    <col min="1" max="1" width="3.5703125" customWidth="1"/>
    <col min="2" max="2" width="31.42578125" customWidth="1"/>
    <col min="3" max="4" width="11.5703125" customWidth="1"/>
  </cols>
  <sheetData>
    <row r="1" spans="1:8" ht="15.75">
      <c r="A1" s="2" t="s">
        <v>452</v>
      </c>
      <c r="B1" s="556"/>
      <c r="C1" s="2" t="s">
        <v>570</v>
      </c>
      <c r="D1" s="41"/>
      <c r="E1" s="41"/>
      <c r="F1" s="2"/>
      <c r="G1" s="2"/>
      <c r="H1" s="17"/>
    </row>
    <row r="2" spans="1:8">
      <c r="A2" s="2" t="s">
        <v>454</v>
      </c>
      <c r="B2" s="2"/>
      <c r="C2" s="50" t="s">
        <v>458</v>
      </c>
      <c r="D2" s="50"/>
      <c r="E2" s="50"/>
      <c r="F2" s="50"/>
      <c r="G2" s="50"/>
      <c r="H2" s="17"/>
    </row>
    <row r="3" spans="1:8">
      <c r="A3" s="25"/>
      <c r="B3" s="556"/>
      <c r="C3" s="50"/>
      <c r="D3" s="50"/>
      <c r="E3" s="50"/>
      <c r="F3" s="50"/>
      <c r="G3" s="50"/>
      <c r="H3" s="17"/>
    </row>
    <row r="4" spans="1:8" ht="5.0999999999999996" customHeight="1" thickBot="1">
      <c r="A4" s="556"/>
      <c r="B4" s="556"/>
      <c r="C4" s="31"/>
      <c r="D4" s="556"/>
      <c r="E4" s="556"/>
      <c r="F4" s="556"/>
      <c r="G4" s="556"/>
      <c r="H4" s="556"/>
    </row>
    <row r="5" spans="1:8" ht="15.75">
      <c r="A5" s="208"/>
      <c r="B5" s="209"/>
      <c r="C5" s="190" t="s">
        <v>571</v>
      </c>
      <c r="D5" s="191" t="s">
        <v>572</v>
      </c>
      <c r="E5" s="556"/>
      <c r="F5" s="556"/>
      <c r="G5" s="556"/>
      <c r="H5" s="556"/>
    </row>
    <row r="6" spans="1:8" ht="16.5" thickBot="1">
      <c r="A6" s="137" t="s">
        <v>8</v>
      </c>
      <c r="B6" s="136"/>
      <c r="C6" s="178" t="s">
        <v>461</v>
      </c>
      <c r="D6" s="179">
        <v>2017</v>
      </c>
      <c r="E6" s="556"/>
      <c r="F6" s="556"/>
      <c r="G6" s="556"/>
      <c r="H6" s="556"/>
    </row>
    <row r="7" spans="1:8">
      <c r="A7" s="113"/>
      <c r="B7" s="138" t="s">
        <v>462</v>
      </c>
      <c r="C7" s="81"/>
      <c r="D7" s="123"/>
      <c r="E7" s="556"/>
      <c r="F7" s="556"/>
      <c r="G7" s="556"/>
      <c r="H7" s="556"/>
    </row>
    <row r="8" spans="1:8">
      <c r="A8" s="113"/>
      <c r="B8" s="630" t="s">
        <v>463</v>
      </c>
      <c r="C8" s="82">
        <v>17905</v>
      </c>
      <c r="D8" s="633">
        <v>370171</v>
      </c>
      <c r="E8" s="556"/>
      <c r="F8" s="556"/>
      <c r="G8" s="556"/>
      <c r="H8" s="556"/>
    </row>
    <row r="9" spans="1:8" ht="15">
      <c r="A9" s="113"/>
      <c r="B9" s="630" t="s">
        <v>464</v>
      </c>
      <c r="C9" s="76">
        <v>693</v>
      </c>
      <c r="D9" s="158">
        <v>0</v>
      </c>
      <c r="E9" s="556"/>
      <c r="F9" s="556"/>
      <c r="G9" s="556"/>
      <c r="H9" s="556"/>
    </row>
    <row r="10" spans="1:8">
      <c r="A10" s="113"/>
      <c r="B10" s="139" t="s">
        <v>465</v>
      </c>
      <c r="C10" s="83">
        <f>SUM(C8:C9)</f>
        <v>18598</v>
      </c>
      <c r="D10" s="151">
        <f>SUM(D8:D9)</f>
        <v>370171</v>
      </c>
      <c r="E10" s="556"/>
      <c r="F10" s="556"/>
      <c r="G10" s="556"/>
      <c r="H10" s="556"/>
    </row>
    <row r="11" spans="1:8" ht="5.45" customHeight="1">
      <c r="A11" s="113"/>
      <c r="B11" s="630"/>
      <c r="C11" s="81"/>
      <c r="D11" s="124"/>
      <c r="E11" s="556"/>
      <c r="F11" s="556"/>
      <c r="G11" s="556"/>
      <c r="H11" s="556"/>
    </row>
    <row r="12" spans="1:8">
      <c r="A12" s="113"/>
      <c r="B12" s="138" t="s">
        <v>288</v>
      </c>
      <c r="C12" s="81"/>
      <c r="D12" s="124"/>
      <c r="E12" s="556"/>
      <c r="F12" s="556"/>
      <c r="G12" s="556"/>
      <c r="H12" s="556"/>
    </row>
    <row r="13" spans="1:8">
      <c r="A13" s="113"/>
      <c r="B13" s="630" t="s">
        <v>466</v>
      </c>
      <c r="C13" s="82">
        <v>1388</v>
      </c>
      <c r="D13" s="157">
        <v>0</v>
      </c>
      <c r="E13" s="556"/>
      <c r="F13" s="556"/>
      <c r="G13" s="556"/>
      <c r="H13" s="556"/>
    </row>
    <row r="14" spans="1:8">
      <c r="A14" s="113"/>
      <c r="B14" s="140" t="s">
        <v>573</v>
      </c>
      <c r="C14" s="82">
        <v>15854</v>
      </c>
      <c r="D14" s="157">
        <v>0</v>
      </c>
      <c r="E14" s="556"/>
      <c r="F14" s="556"/>
      <c r="G14" s="556"/>
      <c r="H14" s="556"/>
    </row>
    <row r="15" spans="1:8" ht="15">
      <c r="A15" s="113"/>
      <c r="B15" s="630" t="s">
        <v>468</v>
      </c>
      <c r="C15" s="76">
        <v>-896</v>
      </c>
      <c r="D15" s="158">
        <v>0</v>
      </c>
      <c r="E15" s="556"/>
      <c r="F15" s="556"/>
      <c r="G15" s="556"/>
      <c r="H15" s="556"/>
    </row>
    <row r="16" spans="1:8">
      <c r="A16" s="113"/>
      <c r="B16" s="139" t="s">
        <v>469</v>
      </c>
      <c r="C16" s="83">
        <f>SUM(C13:C15)</f>
        <v>16346</v>
      </c>
      <c r="D16" s="192">
        <v>253257</v>
      </c>
      <c r="E16" s="556"/>
      <c r="F16" s="556"/>
      <c r="G16" s="556"/>
      <c r="H16" s="556"/>
    </row>
    <row r="17" spans="1:4" ht="5.45" customHeight="1">
      <c r="A17" s="113"/>
      <c r="B17" s="630"/>
      <c r="C17" s="81"/>
      <c r="D17" s="193"/>
    </row>
    <row r="18" spans="1:4">
      <c r="A18" s="113"/>
      <c r="B18" s="138" t="s">
        <v>470</v>
      </c>
      <c r="C18" s="84">
        <v>2252</v>
      </c>
      <c r="D18" s="121">
        <v>116914</v>
      </c>
    </row>
    <row r="19" spans="1:4">
      <c r="A19" s="113"/>
      <c r="B19" s="630" t="s">
        <v>471</v>
      </c>
      <c r="C19" s="85">
        <v>0.121</v>
      </c>
      <c r="D19" s="86">
        <v>0.316</v>
      </c>
    </row>
    <row r="20" spans="1:4" ht="5.0999999999999996" customHeight="1">
      <c r="A20" s="113"/>
      <c r="B20" s="141"/>
      <c r="C20" s="86"/>
      <c r="D20" s="86"/>
    </row>
    <row r="21" spans="1:4">
      <c r="A21" s="113"/>
      <c r="B21" s="138" t="s">
        <v>474</v>
      </c>
      <c r="C21" s="83">
        <v>2050</v>
      </c>
      <c r="D21" s="83">
        <v>69451</v>
      </c>
    </row>
    <row r="22" spans="1:4">
      <c r="A22" s="113"/>
      <c r="B22" s="656" t="s">
        <v>574</v>
      </c>
      <c r="C22" s="638">
        <v>0.11</v>
      </c>
      <c r="D22" s="638">
        <v>0.188</v>
      </c>
    </row>
    <row r="23" spans="1:4" ht="5.0999999999999996" customHeight="1">
      <c r="A23" s="113"/>
      <c r="B23" s="141"/>
      <c r="C23" s="86"/>
      <c r="D23" s="82"/>
    </row>
    <row r="24" spans="1:4">
      <c r="A24" s="113"/>
      <c r="B24" s="138" t="s">
        <v>475</v>
      </c>
      <c r="C24" s="83">
        <v>202</v>
      </c>
      <c r="D24" s="83">
        <v>47463</v>
      </c>
    </row>
    <row r="25" spans="1:4">
      <c r="A25" s="113" t="s">
        <v>476</v>
      </c>
      <c r="B25" s="630" t="s">
        <v>477</v>
      </c>
      <c r="C25" s="86">
        <v>1.0999999999999999E-2</v>
      </c>
      <c r="D25" s="641">
        <v>0.128</v>
      </c>
    </row>
    <row r="26" spans="1:4" ht="5.0999999999999996" customHeight="1">
      <c r="A26" s="113"/>
      <c r="B26" s="138"/>
      <c r="C26" s="642"/>
      <c r="D26" s="83"/>
    </row>
    <row r="27" spans="1:4">
      <c r="A27" s="113"/>
      <c r="B27" s="138" t="s">
        <v>96</v>
      </c>
      <c r="C27" s="82"/>
      <c r="D27" s="152"/>
    </row>
    <row r="28" spans="1:4">
      <c r="A28" s="113"/>
      <c r="B28" s="630" t="s">
        <v>480</v>
      </c>
      <c r="C28" s="82">
        <v>-274</v>
      </c>
      <c r="D28" s="157">
        <v>0</v>
      </c>
    </row>
    <row r="29" spans="1:4">
      <c r="A29" s="113"/>
      <c r="B29" s="630" t="s">
        <v>575</v>
      </c>
      <c r="C29" s="632">
        <v>14</v>
      </c>
      <c r="D29" s="657">
        <v>-162</v>
      </c>
    </row>
    <row r="30" spans="1:4" ht="15">
      <c r="A30" s="113"/>
      <c r="B30" s="630" t="s">
        <v>576</v>
      </c>
      <c r="C30" s="104">
        <v>0</v>
      </c>
      <c r="D30" s="158">
        <v>-392</v>
      </c>
    </row>
    <row r="31" spans="1:4">
      <c r="A31" s="113"/>
      <c r="B31" s="139" t="s">
        <v>482</v>
      </c>
      <c r="C31" s="83">
        <f>SUM(C28:C30)</f>
        <v>-260</v>
      </c>
      <c r="D31" s="159">
        <f>SUM(D28:D30)</f>
        <v>-554</v>
      </c>
    </row>
    <row r="32" spans="1:4" ht="5.0999999999999996" customHeight="1">
      <c r="A32" s="113"/>
      <c r="B32" s="141"/>
      <c r="C32" s="82"/>
      <c r="D32" s="152"/>
    </row>
    <row r="33" spans="1:8" ht="13.5" thickBot="1">
      <c r="A33" s="143"/>
      <c r="B33" s="144" t="s">
        <v>483</v>
      </c>
      <c r="C33" s="91">
        <v>-58</v>
      </c>
      <c r="D33" s="160">
        <v>46909</v>
      </c>
      <c r="E33" s="556"/>
      <c r="F33" s="556"/>
      <c r="G33" s="556"/>
      <c r="H33" s="556"/>
    </row>
    <row r="34" spans="1:8" ht="5.0999999999999996" customHeight="1" thickBot="1">
      <c r="A34" s="556"/>
      <c r="B34" s="556"/>
      <c r="C34" s="556"/>
      <c r="D34" s="6"/>
      <c r="E34" s="556"/>
      <c r="F34" s="556"/>
      <c r="G34" s="556"/>
      <c r="H34" s="556"/>
    </row>
    <row r="35" spans="1:8" ht="15.75">
      <c r="A35" s="19"/>
      <c r="B35" s="44" t="s">
        <v>484</v>
      </c>
      <c r="C35" s="180" t="s">
        <v>571</v>
      </c>
      <c r="D35" s="195" t="s">
        <v>572</v>
      </c>
      <c r="E35" s="658" t="s">
        <v>577</v>
      </c>
      <c r="F35" s="659"/>
      <c r="G35" s="659"/>
      <c r="H35" s="660"/>
    </row>
    <row r="36" spans="1:8" ht="16.5" thickBot="1">
      <c r="A36" s="19"/>
      <c r="B36" s="3" t="s">
        <v>485</v>
      </c>
      <c r="C36" s="178" t="s">
        <v>461</v>
      </c>
      <c r="D36" s="179">
        <v>2017</v>
      </c>
      <c r="E36" s="661" t="s">
        <v>578</v>
      </c>
      <c r="F36" s="662"/>
      <c r="G36" s="662"/>
      <c r="H36" s="663"/>
    </row>
    <row r="37" spans="1:8">
      <c r="A37" s="19"/>
      <c r="B37" s="2" t="s">
        <v>488</v>
      </c>
      <c r="C37" s="196">
        <v>18598</v>
      </c>
      <c r="D37" s="196">
        <v>370171</v>
      </c>
      <c r="E37" s="664" t="s">
        <v>579</v>
      </c>
      <c r="F37" s="662"/>
      <c r="G37" s="662"/>
      <c r="H37" s="663"/>
    </row>
    <row r="38" spans="1:8">
      <c r="A38" s="19"/>
      <c r="B38" s="25" t="s">
        <v>489</v>
      </c>
      <c r="C38" s="93">
        <v>-58</v>
      </c>
      <c r="D38" s="665">
        <v>46909</v>
      </c>
      <c r="E38" s="661" t="s">
        <v>580</v>
      </c>
      <c r="F38" s="662"/>
      <c r="G38" s="662"/>
      <c r="H38" s="663"/>
    </row>
    <row r="39" spans="1:8">
      <c r="A39" s="1"/>
      <c r="B39" s="23" t="s">
        <v>490</v>
      </c>
      <c r="C39" s="82">
        <v>14</v>
      </c>
      <c r="D39" s="162">
        <v>162</v>
      </c>
      <c r="E39" s="661" t="s">
        <v>581</v>
      </c>
      <c r="F39" s="662"/>
      <c r="G39" s="662"/>
      <c r="H39" s="663"/>
    </row>
    <row r="40" spans="1:8">
      <c r="A40" s="556"/>
      <c r="B40" s="25" t="s">
        <v>99</v>
      </c>
      <c r="C40" s="82">
        <v>274</v>
      </c>
      <c r="D40" s="152">
        <v>777</v>
      </c>
      <c r="E40" s="661" t="s">
        <v>582</v>
      </c>
      <c r="F40" s="662"/>
      <c r="G40" s="662"/>
      <c r="H40" s="663"/>
    </row>
    <row r="41" spans="1:8" ht="13.5" thickBot="1">
      <c r="A41" s="556"/>
      <c r="B41" s="556" t="s">
        <v>491</v>
      </c>
      <c r="C41" s="632">
        <v>365</v>
      </c>
      <c r="D41" s="646">
        <v>8033</v>
      </c>
      <c r="E41" s="661" t="s">
        <v>583</v>
      </c>
      <c r="F41" s="662"/>
      <c r="G41" s="662"/>
      <c r="H41" s="663"/>
    </row>
    <row r="42" spans="1:8" ht="13.5" thickBot="1">
      <c r="A42" s="556"/>
      <c r="B42" s="39" t="s">
        <v>492</v>
      </c>
      <c r="C42" s="194">
        <f>SUM(C38:C41)</f>
        <v>595</v>
      </c>
      <c r="D42" s="172">
        <f>SUM(D38:D41)</f>
        <v>55881</v>
      </c>
      <c r="E42" s="661" t="s">
        <v>584</v>
      </c>
      <c r="F42" s="662"/>
      <c r="G42" s="662"/>
      <c r="H42" s="663"/>
    </row>
    <row r="43" spans="1:8" ht="13.5" thickBot="1">
      <c r="A43" s="556"/>
      <c r="B43" s="40" t="s">
        <v>493</v>
      </c>
      <c r="C43" s="201">
        <v>3.2000000000000001E-2</v>
      </c>
      <c r="D43" s="173">
        <v>0.151</v>
      </c>
      <c r="E43" s="200" t="s">
        <v>585</v>
      </c>
      <c r="F43" s="666"/>
      <c r="G43" s="666"/>
      <c r="H43" s="667"/>
    </row>
    <row r="44" spans="1:8" ht="15.75">
      <c r="A44" s="556"/>
      <c r="B44" s="202" t="s">
        <v>586</v>
      </c>
      <c r="C44" s="203"/>
      <c r="D44" s="6"/>
      <c r="E44" s="556"/>
      <c r="F44" s="556"/>
      <c r="G44" s="556"/>
      <c r="H44" s="556"/>
    </row>
    <row r="45" spans="1:8">
      <c r="A45" s="556"/>
      <c r="B45" s="206" t="s">
        <v>587</v>
      </c>
      <c r="C45" s="204"/>
      <c r="D45" s="6"/>
      <c r="E45" s="556"/>
      <c r="F45" s="556"/>
      <c r="G45" s="556"/>
      <c r="H45" s="556"/>
    </row>
    <row r="46" spans="1:8" ht="15.75">
      <c r="A46" s="35"/>
      <c r="B46" s="668" t="s">
        <v>588</v>
      </c>
      <c r="C46" s="205"/>
      <c r="D46" s="5"/>
      <c r="E46" s="556"/>
      <c r="F46" s="556"/>
      <c r="G46" s="556"/>
      <c r="H46" s="556"/>
    </row>
    <row r="47" spans="1:8">
      <c r="A47" s="556"/>
      <c r="B47" s="668" t="s">
        <v>589</v>
      </c>
      <c r="C47" s="669"/>
      <c r="D47" s="6"/>
      <c r="E47" s="556"/>
      <c r="F47" s="556"/>
      <c r="G47" s="556"/>
      <c r="H47" s="556"/>
    </row>
    <row r="48" spans="1:8">
      <c r="A48" s="2"/>
      <c r="B48" s="668" t="s">
        <v>590</v>
      </c>
      <c r="C48" s="669"/>
      <c r="D48" s="6"/>
      <c r="E48" s="556"/>
      <c r="F48" s="556"/>
      <c r="G48" s="556"/>
      <c r="H48" s="556"/>
    </row>
    <row r="49" spans="1:7" ht="13.5" thickBot="1">
      <c r="A49" s="1"/>
      <c r="B49" s="207" t="s">
        <v>591</v>
      </c>
      <c r="C49" s="670"/>
      <c r="D49" s="6"/>
      <c r="E49" s="556"/>
      <c r="F49" s="556"/>
      <c r="G49" s="556"/>
    </row>
    <row r="50" spans="1:7">
      <c r="A50" s="556"/>
      <c r="B50" s="556"/>
      <c r="C50" s="11"/>
      <c r="D50" s="8"/>
      <c r="E50" s="556"/>
      <c r="F50" s="556"/>
      <c r="G50" s="556"/>
    </row>
    <row r="51" spans="1:7">
      <c r="A51" s="556"/>
      <c r="B51" s="556"/>
      <c r="C51" s="11"/>
      <c r="D51" s="11"/>
      <c r="E51" s="556"/>
      <c r="F51" s="556"/>
      <c r="G51" s="556"/>
    </row>
    <row r="52" spans="1:7">
      <c r="A52" s="556"/>
      <c r="B52" s="556"/>
      <c r="C52" s="25"/>
      <c r="D52" s="8"/>
      <c r="E52" s="556"/>
      <c r="F52" s="556"/>
      <c r="G52" s="556"/>
    </row>
    <row r="53" spans="1:7">
      <c r="A53" s="2"/>
      <c r="B53" s="2"/>
      <c r="C53" s="13"/>
      <c r="D53" s="13"/>
      <c r="E53" s="556"/>
      <c r="F53" s="556"/>
      <c r="G53" s="25"/>
    </row>
    <row r="54" spans="1:7">
      <c r="A54" s="2"/>
      <c r="B54" s="556"/>
      <c r="C54" s="556"/>
      <c r="D54" s="6"/>
      <c r="E54" s="556"/>
      <c r="F54" s="556"/>
      <c r="G54" s="556"/>
    </row>
    <row r="55" spans="1:7">
      <c r="A55" s="2"/>
      <c r="B55" s="556"/>
      <c r="C55" s="556"/>
      <c r="D55" s="6"/>
      <c r="E55" s="556"/>
      <c r="F55" s="556"/>
      <c r="G55" s="556"/>
    </row>
    <row r="56" spans="1:7">
      <c r="A56" s="2"/>
      <c r="B56" s="556"/>
      <c r="C56" s="556"/>
      <c r="D56" s="6"/>
      <c r="E56" s="556"/>
      <c r="F56" s="556"/>
      <c r="G56" s="556"/>
    </row>
    <row r="57" spans="1:7">
      <c r="A57" s="1"/>
      <c r="B57" s="556"/>
      <c r="C57" s="556"/>
      <c r="D57" s="6"/>
      <c r="E57" s="556"/>
      <c r="F57" s="556"/>
      <c r="G57" s="556"/>
    </row>
    <row r="58" spans="1:7">
      <c r="A58" s="556"/>
      <c r="B58" s="2"/>
      <c r="C58" s="556"/>
      <c r="D58" s="6"/>
      <c r="E58" s="556"/>
      <c r="F58" s="556"/>
      <c r="G58" s="556"/>
    </row>
    <row r="59" spans="1:7">
      <c r="A59" s="556"/>
      <c r="B59" s="556"/>
      <c r="C59" s="556"/>
      <c r="D59" s="6"/>
      <c r="E59" s="556"/>
      <c r="F59" s="556"/>
      <c r="G59" s="556"/>
    </row>
    <row r="60" spans="1:7">
      <c r="A60" s="556"/>
      <c r="B60" s="556"/>
      <c r="C60" s="14"/>
      <c r="D60" s="8"/>
      <c r="E60" s="556"/>
      <c r="F60" s="556"/>
      <c r="G60" s="556"/>
    </row>
    <row r="61" spans="1:7">
      <c r="A61" s="556"/>
      <c r="B61" s="556"/>
      <c r="C61" s="14"/>
      <c r="D61" s="8"/>
      <c r="E61" s="556"/>
      <c r="F61" s="556"/>
      <c r="G61" s="556"/>
    </row>
    <row r="62" spans="1:7">
      <c r="A62" s="556"/>
      <c r="B62" s="556"/>
      <c r="C62" s="14"/>
      <c r="D62" s="8"/>
      <c r="E62" s="556"/>
      <c r="F62" s="556"/>
      <c r="G62" s="556"/>
    </row>
    <row r="63" spans="1:7">
      <c r="A63" s="556"/>
      <c r="B63" s="2"/>
      <c r="C63" s="16"/>
      <c r="D63" s="2"/>
      <c r="E63" s="556"/>
      <c r="F63" s="556"/>
      <c r="G63" s="556"/>
    </row>
    <row r="64" spans="1:7">
      <c r="A64" s="556"/>
      <c r="B64" s="556"/>
      <c r="C64" s="14"/>
      <c r="D64" s="8"/>
      <c r="E64" s="556"/>
      <c r="F64" s="556"/>
      <c r="G64" s="556"/>
    </row>
    <row r="65" spans="1:4">
      <c r="A65" s="556"/>
      <c r="B65" s="2"/>
      <c r="C65" s="16"/>
      <c r="D65" s="13"/>
    </row>
    <row r="66" spans="1:4">
      <c r="A66" s="2"/>
      <c r="B66" s="556"/>
      <c r="C66" s="14"/>
      <c r="D66" s="9"/>
    </row>
    <row r="67" spans="1:4" ht="12.75" customHeight="1">
      <c r="A67" s="556"/>
      <c r="B67" s="19"/>
      <c r="C67" s="556"/>
      <c r="D67" s="556"/>
    </row>
    <row r="68" spans="1:4">
      <c r="A68" s="11"/>
      <c r="B68" s="22"/>
      <c r="C68" s="21"/>
      <c r="D68" s="556"/>
    </row>
    <row r="69" spans="1:4">
      <c r="A69" s="11"/>
      <c r="B69" s="22"/>
      <c r="C69" s="21"/>
      <c r="D69" s="556"/>
    </row>
    <row r="70" spans="1:4">
      <c r="A70" s="11"/>
      <c r="B70" s="22"/>
      <c r="C70" s="21"/>
      <c r="D70" s="556"/>
    </row>
    <row r="71" spans="1:4" s="3" customFormat="1" ht="12.75" customHeight="1">
      <c r="B71" s="27"/>
    </row>
    <row r="72" spans="1:4" s="3" customFormat="1" ht="12.75" customHeight="1">
      <c r="B72" s="27"/>
    </row>
    <row r="73" spans="1:4" s="3" customFormat="1" ht="12.75" customHeight="1">
      <c r="B73" s="28"/>
      <c r="C73" s="28"/>
    </row>
    <row r="74" spans="1:4" s="3" customFormat="1" ht="12">
      <c r="B74" s="28"/>
      <c r="C74" s="28"/>
    </row>
    <row r="75" spans="1:4" s="3" customFormat="1" ht="11.25">
      <c r="A75" s="7"/>
      <c r="B75" s="30"/>
      <c r="C75" s="30"/>
    </row>
    <row r="76" spans="1:4" s="3" customFormat="1" ht="11.25">
      <c r="A76" s="4"/>
    </row>
    <row r="77" spans="1:4">
      <c r="A77" s="556"/>
      <c r="B77" s="556"/>
      <c r="C77" s="10"/>
      <c r="D77" s="556"/>
    </row>
  </sheetData>
  <pageMargins left="0.5" right="0.5" top="0.5" bottom="0.5" header="0.5" footer="0.5"/>
  <pageSetup orientation="portrait" r:id="rId1"/>
  <headerFooter alignWithMargins="0"/>
  <ignoredErrors>
    <ignoredError sqref="C6 C36" numberStoredAsText="1"/>
    <ignoredError sqref="C42:D42" formulaRange="1"/>
  </ignoredErrors>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CDA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Jim Anderson</dc:creator>
  <cp:keywords/>
  <dc:description/>
  <cp:lastModifiedBy>Brooke Hargett</cp:lastModifiedBy>
  <cp:revision/>
  <dcterms:created xsi:type="dcterms:W3CDTF">2000-01-21T14:31:42Z</dcterms:created>
  <dcterms:modified xsi:type="dcterms:W3CDTF">2026-09-07T01:04:28Z</dcterms:modified>
  <cp:category/>
  <cp:contentStatus/>
</cp:coreProperties>
</file>