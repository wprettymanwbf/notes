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and\OneDrive\Documents\Highland CF\2025 and beyond\Pixelle Ops\"/>
    </mc:Choice>
  </mc:AlternateContent>
  <xr:revisionPtr revIDLastSave="0" documentId="13_ncr:1_{9BDABB44-9CED-4517-87D3-269ACC75F77E}" xr6:coauthVersionLast="47" xr6:coauthVersionMax="47" xr10:uidLastSave="{00000000-0000-0000-0000-000000000000}"/>
  <bookViews>
    <workbookView xWindow="-113" yWindow="-113" windowWidth="24267" windowHeight="13023" xr2:uid="{7303FD92-71CB-417F-B559-6B906A5B5084}"/>
  </bookViews>
  <sheets>
    <sheet name="1-Gross Margin Allocation" sheetId="3" r:id="rId1"/>
    <sheet name="2-Pixelle Sheeting Ops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3" l="1"/>
  <c r="D18" i="3"/>
  <c r="C18" i="3"/>
  <c r="F17" i="3"/>
  <c r="E17" i="3"/>
  <c r="D17" i="3"/>
  <c r="C17" i="3"/>
  <c r="F16" i="3"/>
  <c r="E16" i="3"/>
  <c r="D16" i="3"/>
  <c r="C16" i="3"/>
  <c r="F15" i="3"/>
  <c r="D15" i="3"/>
  <c r="C15" i="3"/>
  <c r="E15" i="3"/>
  <c r="F14" i="3"/>
  <c r="E14" i="3"/>
  <c r="D14" i="3"/>
  <c r="C14" i="3"/>
  <c r="F9" i="3"/>
  <c r="H10" i="3"/>
  <c r="F7" i="3"/>
  <c r="D52" i="1"/>
  <c r="D51" i="1"/>
  <c r="D49" i="1"/>
  <c r="D40" i="1"/>
  <c r="D29" i="1"/>
  <c r="D19" i="1"/>
  <c r="D11" i="1"/>
  <c r="F65" i="1"/>
  <c r="F64" i="1"/>
  <c r="F63" i="1"/>
  <c r="F62" i="1"/>
  <c r="F61" i="1"/>
  <c r="F55" i="1"/>
  <c r="F54" i="1"/>
  <c r="F46" i="1"/>
  <c r="F43" i="1"/>
  <c r="B40" i="1"/>
  <c r="F39" i="1"/>
  <c r="B39" i="1"/>
  <c r="F36" i="1"/>
  <c r="B36" i="1"/>
  <c r="F35" i="1"/>
  <c r="B35" i="1"/>
  <c r="F34" i="1"/>
  <c r="F33" i="1"/>
  <c r="B33" i="1"/>
  <c r="F29" i="1"/>
  <c r="B29" i="1"/>
  <c r="F28" i="1"/>
  <c r="F27" i="1"/>
  <c r="B27" i="1"/>
  <c r="F26" i="1"/>
  <c r="B26" i="1"/>
  <c r="F25" i="1"/>
  <c r="B25" i="1"/>
  <c r="F24" i="1"/>
  <c r="B24" i="1"/>
  <c r="F23" i="1"/>
  <c r="B23" i="1"/>
  <c r="B19" i="1"/>
  <c r="F18" i="1"/>
  <c r="B18" i="1"/>
  <c r="F17" i="1"/>
  <c r="B17" i="1"/>
  <c r="F16" i="1"/>
  <c r="B16" i="1"/>
  <c r="F15" i="1"/>
  <c r="B15" i="1"/>
  <c r="F10" i="1"/>
  <c r="F9" i="1"/>
  <c r="B9" i="1"/>
  <c r="F8" i="1"/>
  <c r="B8" i="1"/>
  <c r="D8" i="3" l="1"/>
  <c r="D13" i="3" s="1"/>
  <c r="C8" i="3"/>
  <c r="E8" i="3"/>
  <c r="E13" i="3" s="1"/>
  <c r="H15" i="3"/>
  <c r="H18" i="3" s="1"/>
  <c r="H11" i="3"/>
  <c r="F66" i="1"/>
  <c r="F56" i="1"/>
  <c r="F40" i="1"/>
  <c r="F19" i="1"/>
  <c r="F11" i="1"/>
  <c r="F8" i="3" l="1"/>
  <c r="C13" i="3"/>
  <c r="F13" i="3" s="1"/>
  <c r="E10" i="3"/>
  <c r="D10" i="3"/>
  <c r="C10" i="3"/>
  <c r="C11" i="3"/>
  <c r="F49" i="1"/>
  <c r="D11" i="3" l="1"/>
  <c r="E18" i="3"/>
  <c r="F10" i="3"/>
  <c r="E11" i="3"/>
  <c r="C12" i="3"/>
  <c r="E12" i="3"/>
  <c r="F41" i="1"/>
  <c r="F44" i="1"/>
  <c r="F47" i="1"/>
  <c r="F30" i="1"/>
  <c r="F51" i="1"/>
  <c r="F20" i="1"/>
  <c r="F11" i="3" l="1"/>
  <c r="D12" i="3"/>
  <c r="F12" i="3" s="1"/>
  <c r="F52" i="1"/>
  <c r="F58" i="1"/>
  <c r="F68" i="1" s="1"/>
</calcChain>
</file>

<file path=xl/sharedStrings.xml><?xml version="1.0" encoding="utf-8"?>
<sst xmlns="http://schemas.openxmlformats.org/spreadsheetml/2006/main" count="67" uniqueCount="57">
  <si>
    <t>Financial Information</t>
  </si>
  <si>
    <t>Highland Computer Forms, Inc.</t>
  </si>
  <si>
    <t>Date: 6/12/26</t>
  </si>
  <si>
    <t>Hillsboro, Ohio "S"-Corp</t>
  </si>
  <si>
    <t>First five (5) Months of 2026</t>
  </si>
  <si>
    <t>Income Statement</t>
  </si>
  <si>
    <t>Hillsboro #1</t>
  </si>
  <si>
    <t>Angola</t>
  </si>
  <si>
    <t>Pixelle</t>
  </si>
  <si>
    <t>Total</t>
  </si>
  <si>
    <t>Statement</t>
  </si>
  <si>
    <t>Net Sales</t>
  </si>
  <si>
    <t>Sales $ percent to Total</t>
  </si>
  <si>
    <t>Cost of Goods Sold</t>
  </si>
  <si>
    <t xml:space="preserve">Why is the COGS off </t>
  </si>
  <si>
    <r>
      <t xml:space="preserve">Gross Margin </t>
    </r>
    <r>
      <rPr>
        <b/>
        <sz val="12"/>
        <color rgb="FF006600"/>
        <rFont val="Calibri"/>
        <family val="2"/>
      </rPr>
      <t>$</t>
    </r>
  </si>
  <si>
    <r>
      <t xml:space="preserve">by </t>
    </r>
    <r>
      <rPr>
        <b/>
        <sz val="11"/>
        <color rgb="FFFF0000"/>
        <rFont val="Calibri"/>
        <family val="2"/>
      </rPr>
      <t xml:space="preserve">-$90,276 </t>
    </r>
    <r>
      <rPr>
        <b/>
        <sz val="11"/>
        <rFont val="Calibri"/>
        <family val="2"/>
      </rPr>
      <t>?</t>
    </r>
  </si>
  <si>
    <t>Gross Margin %</t>
  </si>
  <si>
    <t>Gross Margin $ percent to Total</t>
  </si>
  <si>
    <t>Freight Income (Expense)</t>
  </si>
  <si>
    <t xml:space="preserve"> General &amp; Administrative</t>
  </si>
  <si>
    <r>
      <t xml:space="preserve">Income </t>
    </r>
    <r>
      <rPr>
        <b/>
        <sz val="12"/>
        <color rgb="FFFF0000"/>
        <rFont val="Calibri"/>
        <family val="2"/>
      </rPr>
      <t>(Loss)</t>
    </r>
    <r>
      <rPr>
        <b/>
        <sz val="12"/>
        <color theme="1"/>
        <rFont val="Calibri"/>
        <family val="2"/>
      </rPr>
      <t xml:space="preserve"> from Operations</t>
    </r>
  </si>
  <si>
    <r>
      <rPr>
        <b/>
        <sz val="9"/>
        <color theme="1"/>
        <rFont val="Aptos Narrow"/>
      </rPr>
      <t>①</t>
    </r>
    <r>
      <rPr>
        <sz val="12"/>
        <color theme="1"/>
        <rFont val="Calibri"/>
        <family val="2"/>
      </rPr>
      <t xml:space="preserve"> Total Other Income</t>
    </r>
  </si>
  <si>
    <t>Total Other Expenses</t>
  </si>
  <si>
    <t>Total Pretax Income</t>
  </si>
  <si>
    <r>
      <rPr>
        <b/>
        <sz val="9"/>
        <color theme="1"/>
        <rFont val="Aptos Narrow"/>
      </rPr>
      <t>①</t>
    </r>
    <r>
      <rPr>
        <sz val="9"/>
        <color theme="1"/>
        <rFont val="Aptos Narrow"/>
        <family val="2"/>
        <charset val="1"/>
      </rPr>
      <t xml:space="preserve"> </t>
    </r>
    <r>
      <rPr>
        <sz val="9"/>
        <color theme="1"/>
        <rFont val="Calibri"/>
        <family val="2"/>
      </rPr>
      <t>Total Other Income is 22% of Total Income and includes $38,713 in sales of Scrap &amp; $13,176 of Purchase Discounts both of which could lower COGS.</t>
    </r>
  </si>
  <si>
    <t>Pixelle Sheeting Ops</t>
  </si>
  <si>
    <t>6 mo. 2026</t>
  </si>
  <si>
    <t>5 mo. 2026</t>
  </si>
  <si>
    <t>Sales</t>
  </si>
  <si>
    <r>
      <rPr>
        <i/>
        <u/>
        <sz val="11"/>
        <color rgb="FFFF0000"/>
        <rFont val="Calibri"/>
        <family val="2"/>
      </rPr>
      <t>Less</t>
    </r>
    <r>
      <rPr>
        <i/>
        <sz val="11"/>
        <color theme="1"/>
        <rFont val="Calibri"/>
        <family val="2"/>
      </rPr>
      <t xml:space="preserve"> Sales Discount</t>
    </r>
  </si>
  <si>
    <t>Total Sales, net</t>
  </si>
  <si>
    <t>Materials</t>
  </si>
  <si>
    <t>% to Total COGS</t>
  </si>
  <si>
    <t>Labor</t>
  </si>
  <si>
    <t>Benefits (Health Ins. &amp; 401k)</t>
  </si>
  <si>
    <t>% to Total COGs</t>
  </si>
  <si>
    <t>Plant Overhead</t>
  </si>
  <si>
    <t xml:space="preserve">Utilities </t>
  </si>
  <si>
    <t xml:space="preserve">Insurance-General </t>
  </si>
  <si>
    <t>Taxes-General</t>
  </si>
  <si>
    <t>Freight and Delivery</t>
  </si>
  <si>
    <t>Allocated COGS*</t>
  </si>
  <si>
    <t>Total COGS</t>
  </si>
  <si>
    <r>
      <t xml:space="preserve">Gross Margin </t>
    </r>
    <r>
      <rPr>
        <b/>
        <sz val="12"/>
        <color rgb="FF00B050"/>
        <rFont val="Calibri"/>
        <family val="2"/>
      </rPr>
      <t>$</t>
    </r>
  </si>
  <si>
    <t>G&amp;A Expenses</t>
  </si>
  <si>
    <r>
      <t>Utilities-</t>
    </r>
    <r>
      <rPr>
        <b/>
        <sz val="11"/>
        <color rgb="FFFF0000"/>
        <rFont val="Calibri"/>
        <family val="2"/>
      </rPr>
      <t>???</t>
    </r>
    <r>
      <rPr>
        <sz val="11"/>
        <color theme="1"/>
        <rFont val="Calibri"/>
        <family val="2"/>
      </rPr>
      <t xml:space="preserve"> </t>
    </r>
  </si>
  <si>
    <t>Total G&amp;A Expenses</t>
  </si>
  <si>
    <r>
      <t xml:space="preserve">Operating Profit </t>
    </r>
    <r>
      <rPr>
        <b/>
        <sz val="12"/>
        <color rgb="FFFF0000"/>
        <rFont val="Calibri"/>
        <family val="2"/>
      </rPr>
      <t>(Loss)</t>
    </r>
  </si>
  <si>
    <t>Other Income</t>
  </si>
  <si>
    <t>Scrap Paper</t>
  </si>
  <si>
    <t>Interest Expense</t>
  </si>
  <si>
    <t>Gain on Sale of Assets</t>
  </si>
  <si>
    <t>Purchase Discounts</t>
  </si>
  <si>
    <t>Misc. Income</t>
  </si>
  <si>
    <t>Total Other Income</t>
  </si>
  <si>
    <r>
      <t xml:space="preserve">Net Profit </t>
    </r>
    <r>
      <rPr>
        <b/>
        <sz val="12"/>
        <color rgb="FFFF0000"/>
        <rFont val="Calibri"/>
        <family val="2"/>
      </rPr>
      <t>(Loss)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</si>
</sst>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_(* #,##0.00000_);_(* \(#,##0.00000\);_(* &quot;-&quot;?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0000CC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i/>
      <u/>
      <sz val="11"/>
      <color rgb="FFFF0000"/>
      <name val="Calibri"/>
      <family val="2"/>
    </font>
    <font>
      <u val="singleAccounting"/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</font>
    <font>
      <i/>
      <sz val="11"/>
      <color theme="4" tint="-0.249977111117893"/>
      <name val="Calibri"/>
      <family val="2"/>
    </font>
    <font>
      <b/>
      <sz val="16"/>
      <color rgb="FF0000CC"/>
      <name val="Calibri"/>
      <family val="2"/>
    </font>
    <font>
      <u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rgb="FF002060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rgb="FFFF0000"/>
      <name val="Calibri"/>
      <family val="2"/>
    </font>
    <font>
      <u val="singleAccounting"/>
      <sz val="12"/>
      <color theme="1"/>
      <name val="Calibri"/>
      <family val="2"/>
    </font>
    <font>
      <b/>
      <sz val="12"/>
      <color rgb="FF006600"/>
      <name val="Calibri"/>
      <family val="2"/>
    </font>
    <font>
      <b/>
      <sz val="16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  <charset val="1"/>
    </font>
    <font>
      <sz val="9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Aptos Narrow"/>
    </font>
    <font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66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2" xfId="1" applyFont="1" applyBorder="1"/>
    <xf numFmtId="0" fontId="1" fillId="2" borderId="3" xfId="1" applyFill="1" applyBorder="1"/>
    <xf numFmtId="0" fontId="1" fillId="0" borderId="2" xfId="1" applyBorder="1" applyAlignment="1">
      <alignment horizontal="left" vertical="center" indent="1"/>
    </xf>
    <xf numFmtId="41" fontId="1" fillId="2" borderId="2" xfId="1" applyNumberFormat="1" applyFill="1" applyBorder="1"/>
    <xf numFmtId="0" fontId="5" fillId="0" borderId="2" xfId="1" applyFont="1" applyBorder="1" applyAlignment="1">
      <alignment horizontal="right"/>
    </xf>
    <xf numFmtId="41" fontId="7" fillId="2" borderId="2" xfId="1" applyNumberFormat="1" applyFont="1" applyFill="1" applyBorder="1"/>
    <xf numFmtId="0" fontId="4" fillId="0" borderId="2" xfId="1" applyFont="1" applyBorder="1" applyAlignment="1">
      <alignment horizontal="right"/>
    </xf>
    <xf numFmtId="41" fontId="4" fillId="2" borderId="2" xfId="1" applyNumberFormat="1" applyFont="1" applyFill="1" applyBorder="1" applyAlignment="1">
      <alignment horizontal="right"/>
    </xf>
    <xf numFmtId="0" fontId="1" fillId="0" borderId="2" xfId="1" applyBorder="1"/>
    <xf numFmtId="0" fontId="1" fillId="0" borderId="2" xfId="1" applyBorder="1" applyAlignment="1">
      <alignment horizontal="left" vertical="center" indent="2"/>
    </xf>
    <xf numFmtId="0" fontId="1" fillId="0" borderId="2" xfId="1" applyBorder="1" applyAlignment="1">
      <alignment horizontal="right"/>
    </xf>
    <xf numFmtId="164" fontId="1" fillId="2" borderId="2" xfId="2" applyNumberFormat="1" applyFont="1" applyFill="1" applyBorder="1" applyAlignment="1">
      <alignment horizontal="right"/>
    </xf>
    <xf numFmtId="0" fontId="4" fillId="0" borderId="2" xfId="1" applyFont="1" applyBorder="1" applyAlignment="1">
      <alignment horizontal="left"/>
    </xf>
    <xf numFmtId="0" fontId="2" fillId="0" borderId="2" xfId="1" applyFont="1" applyBorder="1" applyAlignment="1">
      <alignment horizontal="right"/>
    </xf>
    <xf numFmtId="41" fontId="4" fillId="2" borderId="2" xfId="1" applyNumberFormat="1" applyFont="1" applyFill="1" applyBorder="1"/>
    <xf numFmtId="0" fontId="4" fillId="3" borderId="4" xfId="1" applyFont="1" applyFill="1" applyBorder="1" applyAlignment="1">
      <alignment horizontal="right"/>
    </xf>
    <xf numFmtId="41" fontId="4" fillId="2" borderId="4" xfId="1" applyNumberFormat="1" applyFont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164" fontId="1" fillId="2" borderId="5" xfId="2" applyNumberFormat="1" applyFont="1" applyFill="1" applyBorder="1" applyAlignment="1">
      <alignment horizontal="right"/>
    </xf>
    <xf numFmtId="0" fontId="1" fillId="0" borderId="2" xfId="1" applyBorder="1" applyAlignment="1">
      <alignment horizontal="right" vertical="center"/>
    </xf>
    <xf numFmtId="0" fontId="4" fillId="3" borderId="6" xfId="1" applyFont="1" applyFill="1" applyBorder="1" applyAlignment="1">
      <alignment horizontal="right"/>
    </xf>
    <xf numFmtId="41" fontId="4" fillId="2" borderId="6" xfId="1" applyNumberFormat="1" applyFont="1" applyFill="1" applyBorder="1" applyAlignment="1">
      <alignment horizontal="right"/>
    </xf>
    <xf numFmtId="0" fontId="1" fillId="2" borderId="2" xfId="1" applyFill="1" applyBorder="1"/>
    <xf numFmtId="0" fontId="4" fillId="4" borderId="1" xfId="1" applyFont="1" applyFill="1" applyBorder="1" applyAlignment="1">
      <alignment horizontal="right"/>
    </xf>
    <xf numFmtId="0" fontId="2" fillId="0" borderId="0" xfId="1" applyFont="1" applyFill="1" applyBorder="1" applyAlignment="1">
      <alignment horizontal="right" vertical="center"/>
    </xf>
    <xf numFmtId="0" fontId="13" fillId="0" borderId="1" xfId="1" applyFont="1" applyBorder="1" applyAlignment="1">
      <alignment horizontal="center" vertical="center"/>
    </xf>
    <xf numFmtId="0" fontId="1" fillId="0" borderId="3" xfId="1" applyFill="1" applyBorder="1"/>
    <xf numFmtId="41" fontId="1" fillId="0" borderId="2" xfId="1" applyNumberFormat="1" applyFill="1" applyBorder="1"/>
    <xf numFmtId="41" fontId="7" fillId="0" borderId="2" xfId="1" applyNumberFormat="1" applyFont="1" applyFill="1" applyBorder="1"/>
    <xf numFmtId="41" fontId="4" fillId="0" borderId="2" xfId="1" applyNumberFormat="1" applyFont="1" applyFill="1" applyBorder="1" applyAlignment="1">
      <alignment horizontal="right"/>
    </xf>
    <xf numFmtId="164" fontId="1" fillId="0" borderId="2" xfId="2" applyNumberFormat="1" applyFont="1" applyFill="1" applyBorder="1" applyAlignment="1">
      <alignment horizontal="right"/>
    </xf>
    <xf numFmtId="41" fontId="4" fillId="0" borderId="2" xfId="1" applyNumberFormat="1" applyFont="1" applyFill="1" applyBorder="1"/>
    <xf numFmtId="41" fontId="4" fillId="0" borderId="4" xfId="1" applyNumberFormat="1" applyFont="1" applyFill="1" applyBorder="1" applyAlignment="1">
      <alignment horizontal="right"/>
    </xf>
    <xf numFmtId="164" fontId="1" fillId="0" borderId="5" xfId="2" applyNumberFormat="1" applyFont="1" applyFill="1" applyBorder="1" applyAlignment="1">
      <alignment horizontal="right"/>
    </xf>
    <xf numFmtId="41" fontId="4" fillId="0" borderId="6" xfId="1" applyNumberFormat="1" applyFont="1" applyFill="1" applyBorder="1" applyAlignment="1">
      <alignment horizontal="right"/>
    </xf>
    <xf numFmtId="0" fontId="1" fillId="0" borderId="2" xfId="1" applyFill="1" applyBorder="1"/>
    <xf numFmtId="41" fontId="11" fillId="0" borderId="1" xfId="1" applyNumberFormat="1" applyFont="1" applyFill="1" applyBorder="1" applyAlignment="1">
      <alignment horizontal="right"/>
    </xf>
    <xf numFmtId="0" fontId="12" fillId="0" borderId="7" xfId="1" applyFont="1" applyBorder="1" applyAlignment="1">
      <alignment horizontal="left" wrapText="1"/>
    </xf>
    <xf numFmtId="0" fontId="12" fillId="0" borderId="0" xfId="1" applyFont="1" applyAlignment="1">
      <alignment horizontal="left" wrapText="1"/>
    </xf>
    <xf numFmtId="0" fontId="12" fillId="0" borderId="0" xfId="1" applyFont="1" applyAlignment="1">
      <alignment horizontal="left" vertical="top" wrapText="1"/>
    </xf>
    <xf numFmtId="165" fontId="1" fillId="0" borderId="2" xfId="1" applyNumberFormat="1" applyBorder="1" applyAlignment="1">
      <alignment horizontal="left" vertical="center" indent="1"/>
    </xf>
    <xf numFmtId="165" fontId="1" fillId="0" borderId="2" xfId="1" applyNumberFormat="1" applyFill="1" applyBorder="1"/>
    <xf numFmtId="165" fontId="5" fillId="0" borderId="2" xfId="1" applyNumberFormat="1" applyFont="1" applyBorder="1" applyAlignment="1">
      <alignment horizontal="right"/>
    </xf>
    <xf numFmtId="165" fontId="7" fillId="0" borderId="2" xfId="1" applyNumberFormat="1" applyFont="1" applyFill="1" applyBorder="1"/>
    <xf numFmtId="165" fontId="1" fillId="0" borderId="2" xfId="1" applyNumberFormat="1" applyBorder="1" applyAlignment="1">
      <alignment horizontal="left" vertical="center" indent="2"/>
    </xf>
    <xf numFmtId="41" fontId="14" fillId="0" borderId="2" xfId="1" applyNumberFormat="1" applyFont="1" applyFill="1" applyBorder="1"/>
    <xf numFmtId="165" fontId="14" fillId="0" borderId="2" xfId="1" applyNumberFormat="1" applyFont="1" applyBorder="1" applyAlignment="1">
      <alignment horizontal="left" vertical="center" indent="2"/>
    </xf>
    <xf numFmtId="0" fontId="1" fillId="6" borderId="2" xfId="1" applyFill="1" applyBorder="1" applyAlignment="1">
      <alignment horizontal="left" vertical="center" indent="2"/>
    </xf>
    <xf numFmtId="41" fontId="1" fillId="6" borderId="2" xfId="1" applyNumberFormat="1" applyFill="1" applyBorder="1"/>
    <xf numFmtId="41" fontId="8" fillId="6" borderId="2" xfId="1" applyNumberFormat="1" applyFont="1" applyFill="1" applyBorder="1"/>
    <xf numFmtId="41" fontId="1" fillId="5" borderId="2" xfId="1" applyNumberFormat="1" applyFill="1" applyBorder="1"/>
    <xf numFmtId="165" fontId="1" fillId="2" borderId="2" xfId="1" applyNumberFormat="1" applyFill="1" applyBorder="1"/>
    <xf numFmtId="165" fontId="7" fillId="2" borderId="2" xfId="1" applyNumberFormat="1" applyFont="1" applyFill="1" applyBorder="1"/>
    <xf numFmtId="41" fontId="14" fillId="2" borderId="2" xfId="1" applyNumberFormat="1" applyFont="1" applyFill="1" applyBorder="1"/>
    <xf numFmtId="165" fontId="4" fillId="2" borderId="2" xfId="1" applyNumberFormat="1" applyFont="1" applyFill="1" applyBorder="1" applyAlignment="1">
      <alignment horizontal="right"/>
    </xf>
    <xf numFmtId="165" fontId="1" fillId="2" borderId="2" xfId="2" applyNumberFormat="1" applyFont="1" applyFill="1" applyBorder="1" applyAlignment="1">
      <alignment horizontal="right"/>
    </xf>
    <xf numFmtId="41" fontId="11" fillId="2" borderId="1" xfId="1" applyNumberFormat="1" applyFont="1" applyFill="1" applyBorder="1" applyAlignment="1">
      <alignment horizontal="right"/>
    </xf>
    <xf numFmtId="0" fontId="3" fillId="7" borderId="1" xfId="1" applyFont="1" applyFill="1" applyBorder="1" applyAlignment="1">
      <alignment horizontal="center" vertical="center"/>
    </xf>
    <xf numFmtId="41" fontId="4" fillId="5" borderId="2" xfId="1" applyNumberFormat="1" applyFont="1" applyFill="1" applyBorder="1" applyAlignment="1">
      <alignment horizontal="right"/>
    </xf>
    <xf numFmtId="0" fontId="12" fillId="0" borderId="0" xfId="1" applyFont="1" applyBorder="1" applyAlignment="1">
      <alignment horizontal="left" wrapText="1"/>
    </xf>
    <xf numFmtId="0" fontId="1" fillId="0" borderId="0" xfId="1" applyFill="1" applyBorder="1"/>
    <xf numFmtId="41" fontId="1" fillId="0" borderId="0" xfId="1" applyNumberFormat="1" applyFill="1" applyBorder="1"/>
    <xf numFmtId="0" fontId="1" fillId="0" borderId="0" xfId="1" applyFill="1" applyBorder="1" applyAlignment="1">
      <alignment horizontal="left" vertical="center" indent="2"/>
    </xf>
    <xf numFmtId="0" fontId="4" fillId="0" borderId="0" xfId="1" applyFont="1" applyFill="1" applyBorder="1" applyAlignment="1">
      <alignment horizontal="right"/>
    </xf>
    <xf numFmtId="41" fontId="4" fillId="0" borderId="0" xfId="1" applyNumberFormat="1" applyFont="1" applyFill="1" applyBorder="1" applyAlignment="1">
      <alignment horizontal="right"/>
    </xf>
    <xf numFmtId="0" fontId="1" fillId="0" borderId="0" xfId="1" applyFill="1" applyBorder="1" applyAlignment="1">
      <alignment horizontal="right"/>
    </xf>
    <xf numFmtId="164" fontId="1" fillId="0" borderId="0" xfId="2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/>
    </xf>
    <xf numFmtId="41" fontId="7" fillId="0" borderId="0" xfId="1" applyNumberFormat="1" applyFont="1" applyFill="1" applyBorder="1"/>
    <xf numFmtId="165" fontId="7" fillId="0" borderId="0" xfId="1" applyNumberFormat="1" applyFont="1" applyFill="1" applyBorder="1"/>
    <xf numFmtId="0" fontId="2" fillId="0" borderId="0" xfId="1" applyFont="1" applyFill="1" applyBorder="1" applyAlignment="1">
      <alignment horizontal="right"/>
    </xf>
    <xf numFmtId="165" fontId="4" fillId="0" borderId="0" xfId="1" applyNumberFormat="1" applyFont="1" applyFill="1" applyBorder="1" applyAlignment="1">
      <alignment horizontal="right"/>
    </xf>
    <xf numFmtId="165" fontId="1" fillId="0" borderId="0" xfId="2" applyNumberFormat="1" applyFont="1" applyFill="1" applyBorder="1" applyAlignment="1">
      <alignment horizontal="right"/>
    </xf>
    <xf numFmtId="41" fontId="4" fillId="0" borderId="0" xfId="1" applyNumberFormat="1" applyFont="1" applyFill="1" applyBorder="1"/>
    <xf numFmtId="0" fontId="1" fillId="0" borderId="0" xfId="1" applyFill="1" applyBorder="1" applyAlignment="1">
      <alignment horizontal="right" vertical="center"/>
    </xf>
    <xf numFmtId="0" fontId="1" fillId="0" borderId="0" xfId="1" applyFill="1" applyBorder="1" applyAlignment="1">
      <alignment horizontal="left" vertical="center" indent="1"/>
    </xf>
    <xf numFmtId="41" fontId="11" fillId="0" borderId="0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/>
    </xf>
    <xf numFmtId="41" fontId="17" fillId="0" borderId="0" xfId="1" applyNumberFormat="1" applyFont="1" applyFill="1" applyBorder="1"/>
    <xf numFmtId="0" fontId="17" fillId="0" borderId="0" xfId="1" applyFont="1" applyFill="1" applyBorder="1" applyAlignment="1">
      <alignment horizontal="left" vertical="center" indent="2"/>
    </xf>
    <xf numFmtId="41" fontId="19" fillId="0" borderId="0" xfId="1" applyNumberFormat="1" applyFont="1" applyFill="1" applyBorder="1"/>
    <xf numFmtId="41" fontId="20" fillId="0" borderId="0" xfId="1" applyNumberFormat="1" applyFont="1" applyFill="1" applyBorder="1"/>
    <xf numFmtId="0" fontId="17" fillId="0" borderId="12" xfId="1" applyFont="1" applyFill="1" applyBorder="1" applyAlignment="1">
      <alignment horizontal="right" vertical="center"/>
    </xf>
    <xf numFmtId="0" fontId="17" fillId="0" borderId="6" xfId="1" applyFont="1" applyFill="1" applyBorder="1" applyAlignment="1">
      <alignment horizontal="right" vertical="center"/>
    </xf>
    <xf numFmtId="0" fontId="3" fillId="0" borderId="1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37" fontId="17" fillId="0" borderId="12" xfId="1" applyNumberFormat="1" applyFont="1" applyFill="1" applyBorder="1"/>
    <xf numFmtId="37" fontId="4" fillId="0" borderId="6" xfId="1" applyNumberFormat="1" applyFont="1" applyFill="1" applyBorder="1"/>
    <xf numFmtId="37" fontId="17" fillId="0" borderId="6" xfId="1" applyNumberFormat="1" applyFont="1" applyFill="1" applyBorder="1"/>
    <xf numFmtId="0" fontId="4" fillId="0" borderId="6" xfId="1" applyFont="1" applyFill="1" applyBorder="1" applyAlignment="1">
      <alignment horizontal="right" vertical="center"/>
    </xf>
    <xf numFmtId="164" fontId="17" fillId="0" borderId="6" xfId="1" applyNumberFormat="1" applyFont="1" applyFill="1" applyBorder="1" applyAlignment="1">
      <alignment horizontal="center"/>
    </xf>
    <xf numFmtId="37" fontId="4" fillId="0" borderId="6" xfId="1" applyNumberFormat="1" applyFont="1" applyFill="1" applyBorder="1" applyAlignment="1">
      <alignment horizontal="center" vertical="center"/>
    </xf>
    <xf numFmtId="0" fontId="13" fillId="10" borderId="14" xfId="1" applyFont="1" applyFill="1" applyBorder="1" applyAlignment="1">
      <alignment horizontal="center" vertical="center"/>
    </xf>
    <xf numFmtId="37" fontId="17" fillId="10" borderId="15" xfId="1" applyNumberFormat="1" applyFont="1" applyFill="1" applyBorder="1"/>
    <xf numFmtId="37" fontId="4" fillId="10" borderId="15" xfId="1" applyNumberFormat="1" applyFont="1" applyFill="1" applyBorder="1"/>
    <xf numFmtId="164" fontId="17" fillId="10" borderId="15" xfId="1" applyNumberFormat="1" applyFont="1" applyFill="1" applyBorder="1" applyAlignment="1">
      <alignment horizontal="center"/>
    </xf>
    <xf numFmtId="37" fontId="18" fillId="10" borderId="15" xfId="1" applyNumberFormat="1" applyFont="1" applyFill="1" applyBorder="1"/>
    <xf numFmtId="37" fontId="17" fillId="10" borderId="15" xfId="1" applyNumberFormat="1" applyFont="1" applyFill="1" applyBorder="1" applyAlignment="1">
      <alignment horizontal="right"/>
    </xf>
    <xf numFmtId="37" fontId="17" fillId="10" borderId="16" xfId="2" applyNumberFormat="1" applyFont="1" applyFill="1" applyBorder="1" applyAlignment="1">
      <alignment horizontal="right"/>
    </xf>
    <xf numFmtId="0" fontId="22" fillId="0" borderId="8" xfId="1" applyFont="1" applyBorder="1" applyAlignment="1">
      <alignment horizontal="center" vertical="center"/>
    </xf>
    <xf numFmtId="37" fontId="4" fillId="11" borderId="6" xfId="1" applyNumberFormat="1" applyFont="1" applyFill="1" applyBorder="1"/>
    <xf numFmtId="37" fontId="17" fillId="11" borderId="6" xfId="1" applyNumberFormat="1" applyFont="1" applyFill="1" applyBorder="1"/>
    <xf numFmtId="0" fontId="17" fillId="0" borderId="4" xfId="1" applyFont="1" applyFill="1" applyBorder="1" applyAlignment="1">
      <alignment horizontal="right" vertical="center"/>
    </xf>
    <xf numFmtId="37" fontId="17" fillId="0" borderId="4" xfId="1" applyNumberFormat="1" applyFont="1" applyFill="1" applyBorder="1" applyAlignment="1">
      <alignment horizontal="right"/>
    </xf>
    <xf numFmtId="164" fontId="4" fillId="0" borderId="6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/>
    </xf>
    <xf numFmtId="0" fontId="23" fillId="12" borderId="6" xfId="1" applyFont="1" applyFill="1" applyBorder="1" applyAlignment="1">
      <alignment horizontal="right" vertical="center"/>
    </xf>
    <xf numFmtId="164" fontId="23" fillId="12" borderId="6" xfId="1" applyNumberFormat="1" applyFont="1" applyFill="1" applyBorder="1" applyAlignment="1">
      <alignment horizontal="center" vertical="center"/>
    </xf>
    <xf numFmtId="164" fontId="23" fillId="12" borderId="6" xfId="1" applyNumberFormat="1" applyFont="1" applyFill="1" applyBorder="1" applyAlignment="1">
      <alignment horizontal="center"/>
    </xf>
    <xf numFmtId="0" fontId="24" fillId="11" borderId="13" xfId="1" applyFont="1" applyFill="1" applyBorder="1" applyAlignment="1">
      <alignment horizontal="left" vertical="center"/>
    </xf>
    <xf numFmtId="0" fontId="24" fillId="11" borderId="17" xfId="1" applyFont="1" applyFill="1" applyBorder="1" applyAlignment="1">
      <alignment horizontal="left" vertical="center"/>
    </xf>
    <xf numFmtId="0" fontId="4" fillId="9" borderId="8" xfId="1" applyFont="1" applyFill="1" applyBorder="1" applyAlignment="1">
      <alignment horizontal="right" vertical="center"/>
    </xf>
    <xf numFmtId="37" fontId="4" fillId="9" borderId="8" xfId="1" applyNumberFormat="1" applyFont="1" applyFill="1" applyBorder="1" applyAlignment="1">
      <alignment horizontal="right"/>
    </xf>
    <xf numFmtId="37" fontId="4" fillId="9" borderId="8" xfId="2" applyNumberFormat="1" applyFont="1" applyFill="1" applyBorder="1" applyAlignment="1">
      <alignment horizontal="right"/>
    </xf>
    <xf numFmtId="165" fontId="4" fillId="0" borderId="6" xfId="1" applyNumberFormat="1" applyFont="1" applyFill="1" applyBorder="1"/>
    <xf numFmtId="165" fontId="17" fillId="0" borderId="5" xfId="1" applyNumberFormat="1" applyFont="1" applyFill="1" applyBorder="1"/>
    <xf numFmtId="164" fontId="23" fillId="12" borderId="5" xfId="1" applyNumberFormat="1" applyFont="1" applyFill="1" applyBorder="1" applyAlignment="1">
      <alignment horizontal="center" vertical="center"/>
    </xf>
    <xf numFmtId="0" fontId="26" fillId="0" borderId="6" xfId="1" applyFont="1" applyFill="1" applyBorder="1" applyAlignment="1">
      <alignment horizontal="right" vertical="center"/>
    </xf>
    <xf numFmtId="37" fontId="26" fillId="0" borderId="6" xfId="1" applyNumberFormat="1" applyFont="1" applyFill="1" applyBorder="1"/>
    <xf numFmtId="37" fontId="10" fillId="0" borderId="6" xfId="1" applyNumberFormat="1" applyFont="1" applyFill="1" applyBorder="1"/>
    <xf numFmtId="37" fontId="30" fillId="11" borderId="6" xfId="1" applyNumberFormat="1" applyFont="1" applyFill="1" applyBorder="1"/>
    <xf numFmtId="37" fontId="17" fillId="11" borderId="4" xfId="1" applyNumberFormat="1" applyFont="1" applyFill="1" applyBorder="1" applyAlignment="1">
      <alignment horizontal="right"/>
    </xf>
    <xf numFmtId="37" fontId="17" fillId="0" borderId="6" xfId="1" applyNumberFormat="1" applyFont="1" applyFill="1" applyBorder="1" applyAlignment="1">
      <alignment horizontal="right" vertical="center"/>
    </xf>
    <xf numFmtId="37" fontId="4" fillId="0" borderId="6" xfId="1" applyNumberFormat="1" applyFont="1" applyFill="1" applyBorder="1" applyAlignment="1">
      <alignment horizontal="right" vertical="center"/>
    </xf>
    <xf numFmtId="37" fontId="4" fillId="11" borderId="8" xfId="2" applyNumberFormat="1" applyFont="1" applyFill="1" applyBorder="1" applyAlignment="1">
      <alignment horizontal="right"/>
    </xf>
    <xf numFmtId="37" fontId="10" fillId="9" borderId="8" xfId="2" applyNumberFormat="1" applyFont="1" applyFill="1" applyBorder="1" applyAlignment="1">
      <alignment horizontal="right"/>
    </xf>
    <xf numFmtId="0" fontId="24" fillId="11" borderId="16" xfId="1" applyFont="1" applyFill="1" applyBorder="1" applyAlignment="1">
      <alignment horizontal="center" vertical="center"/>
    </xf>
    <xf numFmtId="0" fontId="24" fillId="11" borderId="18" xfId="1" applyFont="1" applyFill="1" applyBorder="1" applyAlignment="1">
      <alignment horizontal="center" vertical="center"/>
    </xf>
    <xf numFmtId="0" fontId="28" fillId="0" borderId="0" xfId="1" applyFont="1" applyFill="1" applyBorder="1" applyAlignment="1">
      <alignment horizontal="left" vertical="center"/>
    </xf>
    <xf numFmtId="0" fontId="25" fillId="0" borderId="0" xfId="1" applyFont="1" applyFill="1" applyBorder="1" applyAlignment="1">
      <alignment horizontal="left" vertical="center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horizontal="center" vertical="center"/>
    </xf>
    <xf numFmtId="0" fontId="16" fillId="5" borderId="9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5" borderId="1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16" fillId="8" borderId="9" xfId="1" applyFont="1" applyFill="1" applyBorder="1" applyAlignment="1">
      <alignment horizontal="center"/>
    </xf>
    <xf numFmtId="0" fontId="16" fillId="8" borderId="10" xfId="1" applyFont="1" applyFill="1" applyBorder="1" applyAlignment="1">
      <alignment horizontal="center"/>
    </xf>
    <xf numFmtId="0" fontId="16" fillId="8" borderId="11" xfId="1" applyFont="1" applyFill="1" applyBorder="1" applyAlignment="1">
      <alignment horizontal="center"/>
    </xf>
  </cellXfs>
  <cellStyles count="3">
    <cellStyle name="Normal" xfId="0" builtinId="0"/>
    <cellStyle name="Normal 2" xfId="1" xr:uid="{255DBA78-9ADD-4F50-8AB6-0FC9EE121E4D}"/>
    <cellStyle name="Percent 2" xfId="2" xr:uid="{4C21CA1E-670A-4CB6-AB8A-DB9C7FF729F5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and\OneDrive\Documents\Highland%20CF\2025%20and%20beyond\CDA%20prep\Financial%20Info-HCF%2004-10-25%20v5%20with%20Plant%20Breakouts.xlsx" TargetMode="External"/><Relationship Id="rId1" Type="http://schemas.openxmlformats.org/officeDocument/2006/relationships/externalLinkPath" Target="file:///C:\Users\jaand\OneDrive\Documents\Highland%20CF\2025%20and%20beyond\CDA%20prep\Financial%20Info-HCF%2004-10-25%20v5%20with%20Plant%20Breako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Plant Breakdown"/>
      <sheetName val="2-T5Y IS"/>
      <sheetName val="3-T5Y IS (Cont.)"/>
      <sheetName val="4-Balance Sheet"/>
      <sheetName val="5-EBITDA"/>
      <sheetName val="6-Working Cap"/>
      <sheetName val="P&amp;L Assistant"/>
      <sheetName val="Mfg. Costs"/>
      <sheetName val="2024&amp;2023"/>
      <sheetName val="2024&amp;2023-CPA Rev"/>
      <sheetName val="1-Inc. Statements"/>
      <sheetName val="2-Mfg. Exp. Detail"/>
      <sheetName val="3-Operating Exp."/>
      <sheetName val="4-Balance Sheets"/>
      <sheetName val="5-Debt"/>
      <sheetName val="6-Comp to EBF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Sales</v>
          </cell>
          <cell r="E5">
            <v>537398</v>
          </cell>
        </row>
        <row r="6">
          <cell r="B6" t="str">
            <v>Freight Charged to Customer</v>
          </cell>
          <cell r="E6">
            <v>0</v>
          </cell>
        </row>
        <row r="7">
          <cell r="E7">
            <v>0</v>
          </cell>
        </row>
        <row r="15">
          <cell r="B15" t="str">
            <v>Paper</v>
          </cell>
          <cell r="E15">
            <v>-382</v>
          </cell>
        </row>
        <row r="16">
          <cell r="B16" t="str">
            <v>Carbon &amp; Cartons</v>
          </cell>
          <cell r="E16">
            <v>0</v>
          </cell>
        </row>
        <row r="17">
          <cell r="B17" t="str">
            <v>Ink</v>
          </cell>
          <cell r="E17">
            <v>1873</v>
          </cell>
        </row>
        <row r="18">
          <cell r="B18" t="str">
            <v>Materials + Supplies</v>
          </cell>
          <cell r="E18">
            <v>4832</v>
          </cell>
        </row>
        <row r="23">
          <cell r="B23" t="str">
            <v>Sub-Total Materials</v>
          </cell>
        </row>
        <row r="26">
          <cell r="B26" t="str">
            <v>Direct Labor Wages</v>
          </cell>
          <cell r="E26">
            <v>139496</v>
          </cell>
        </row>
        <row r="27">
          <cell r="B27" t="str">
            <v>Indirect Labor Wages</v>
          </cell>
          <cell r="E27">
            <v>82781</v>
          </cell>
        </row>
        <row r="28">
          <cell r="B28" t="str">
            <v>Taxes - Prod Payroll</v>
          </cell>
          <cell r="E28">
            <v>23956</v>
          </cell>
        </row>
        <row r="29">
          <cell r="B29" t="str">
            <v>Supervisor's Salaries</v>
          </cell>
          <cell r="E29">
            <v>-32017</v>
          </cell>
        </row>
        <row r="30">
          <cell r="B30" t="str">
            <v>Caretaking-Production</v>
          </cell>
          <cell r="E30">
            <v>3472</v>
          </cell>
        </row>
        <row r="31">
          <cell r="E31">
            <v>74985</v>
          </cell>
        </row>
        <row r="32">
          <cell r="B32" t="str">
            <v>Sub-Total Labor</v>
          </cell>
          <cell r="E32">
            <v>292673</v>
          </cell>
        </row>
        <row r="35">
          <cell r="B35" t="str">
            <v>Rent</v>
          </cell>
          <cell r="E35">
            <v>30000</v>
          </cell>
        </row>
        <row r="36">
          <cell r="E36">
            <v>24643</v>
          </cell>
        </row>
        <row r="37">
          <cell r="B37" t="str">
            <v>Depreciation</v>
          </cell>
          <cell r="E37">
            <v>3757</v>
          </cell>
        </row>
        <row r="38">
          <cell r="B38" t="str">
            <v>Repairs &amp; Maintenance</v>
          </cell>
          <cell r="E38">
            <v>22352</v>
          </cell>
        </row>
        <row r="40">
          <cell r="B40" t="str">
            <v>Misc. Plant Overhead</v>
          </cell>
          <cell r="E40">
            <v>9974</v>
          </cell>
        </row>
        <row r="41">
          <cell r="B41" t="str">
            <v>Sub-Total Plant Overhead</v>
          </cell>
        </row>
        <row r="46">
          <cell r="E46">
            <v>0</v>
          </cell>
        </row>
        <row r="47">
          <cell r="E47">
            <v>0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13.982697652990577</v>
          </cell>
        </row>
        <row r="56">
          <cell r="E56">
            <v>8734.0185144212664</v>
          </cell>
        </row>
        <row r="58">
          <cell r="E58">
            <v>15954</v>
          </cell>
        </row>
        <row r="59">
          <cell r="E59">
            <v>51260.113638331291</v>
          </cell>
        </row>
        <row r="60">
          <cell r="E60">
            <v>1729.9535389734392</v>
          </cell>
        </row>
        <row r="68">
          <cell r="E68">
            <v>5100</v>
          </cell>
        </row>
        <row r="69">
          <cell r="E69">
            <v>0</v>
          </cell>
        </row>
        <row r="72">
          <cell r="E72">
            <v>0</v>
          </cell>
        </row>
        <row r="73">
          <cell r="E73">
            <v>0</v>
          </cell>
        </row>
        <row r="74">
          <cell r="E74">
            <v>1414.4309267168258</v>
          </cell>
        </row>
        <row r="75">
          <cell r="E75">
            <v>0.35463363612657262</v>
          </cell>
        </row>
        <row r="76">
          <cell r="E76">
            <v>-970.12564259824831</v>
          </cell>
        </row>
        <row r="77">
          <cell r="E77">
            <v>135.06475341620609</v>
          </cell>
        </row>
        <row r="78">
          <cell r="E78">
            <v>3160.5456271080329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21C7-3027-424D-A528-4D59AE9A0CF8}">
  <sheetPr>
    <tabColor rgb="FF006600"/>
  </sheetPr>
  <dimension ref="B1:J71"/>
  <sheetViews>
    <sheetView tabSelected="1" zoomScaleNormal="100" workbookViewId="0">
      <selection activeCell="L15" sqref="L15"/>
    </sheetView>
  </sheetViews>
  <sheetFormatPr defaultColWidth="8.85546875" defaultRowHeight="15"/>
  <cols>
    <col min="1" max="1" width="0.85546875" style="1" customWidth="1"/>
    <col min="2" max="2" width="30.7109375" style="1" customWidth="1"/>
    <col min="3" max="6" width="13.28515625" style="1" customWidth="1"/>
    <col min="7" max="7" width="1" style="1" customWidth="1"/>
    <col min="8" max="8" width="13.7109375" style="1" customWidth="1"/>
    <col min="9" max="16384" width="8.85546875" style="1"/>
  </cols>
  <sheetData>
    <row r="1" spans="2:10" ht="4.5" customHeight="1"/>
    <row r="2" spans="2:10" ht="18.2">
      <c r="B2" s="2" t="s">
        <v>0</v>
      </c>
      <c r="C2" s="138" t="s">
        <v>1</v>
      </c>
      <c r="D2" s="138"/>
      <c r="E2" s="138"/>
      <c r="F2" s="138"/>
      <c r="G2" s="138"/>
      <c r="H2" s="138"/>
      <c r="I2" s="2"/>
    </row>
    <row r="3" spans="2:10" ht="18.75" thickBot="1">
      <c r="B3" s="2" t="s">
        <v>2</v>
      </c>
      <c r="C3" s="138" t="s">
        <v>3</v>
      </c>
      <c r="D3" s="138"/>
      <c r="E3" s="138"/>
      <c r="F3" s="138"/>
      <c r="G3" s="138"/>
      <c r="H3" s="138"/>
      <c r="I3" s="2"/>
    </row>
    <row r="4" spans="2:10" ht="18.75" thickBot="1">
      <c r="B4" s="29"/>
      <c r="C4" s="139" t="s">
        <v>4</v>
      </c>
      <c r="D4" s="140"/>
      <c r="E4" s="140"/>
      <c r="F4" s="140"/>
      <c r="G4" s="140"/>
      <c r="H4" s="141"/>
      <c r="I4" s="2"/>
    </row>
    <row r="5" spans="2:10" ht="4.5" customHeight="1" thickBot="1">
      <c r="D5" s="3"/>
      <c r="E5" s="3"/>
      <c r="F5" s="3"/>
      <c r="G5" s="3"/>
      <c r="H5" s="3"/>
      <c r="I5" s="2"/>
    </row>
    <row r="6" spans="2:10" ht="21.95" thickBot="1">
      <c r="B6" s="89" t="s">
        <v>5</v>
      </c>
      <c r="C6" s="90" t="s">
        <v>6</v>
      </c>
      <c r="D6" s="91" t="s">
        <v>7</v>
      </c>
      <c r="E6" s="91" t="s">
        <v>8</v>
      </c>
      <c r="F6" s="92" t="s">
        <v>9</v>
      </c>
      <c r="G6" s="99"/>
      <c r="H6" s="106" t="s">
        <v>10</v>
      </c>
    </row>
    <row r="7" spans="2:10" ht="15.6">
      <c r="B7" s="87" t="s">
        <v>11</v>
      </c>
      <c r="C7" s="93">
        <v>1811736</v>
      </c>
      <c r="D7" s="93">
        <v>1298161</v>
      </c>
      <c r="E7" s="93">
        <v>811386</v>
      </c>
      <c r="F7" s="93">
        <f>SUM(C7:E7)</f>
        <v>3921283</v>
      </c>
      <c r="G7" s="100"/>
      <c r="H7" s="93">
        <v>3930190</v>
      </c>
    </row>
    <row r="8" spans="2:10" ht="16.350000000000001" thickBot="1">
      <c r="B8" s="113" t="s">
        <v>12</v>
      </c>
      <c r="C8" s="123">
        <f>C7/F7</f>
        <v>0.4620263316878685</v>
      </c>
      <c r="D8" s="123">
        <f>D7/F7</f>
        <v>0.3310551674031178</v>
      </c>
      <c r="E8" s="123">
        <f>E7/F7</f>
        <v>0.2069185009090137</v>
      </c>
      <c r="F8" s="123">
        <f>SUM(C8:E8)</f>
        <v>1</v>
      </c>
      <c r="G8" s="100"/>
      <c r="H8" s="122">
        <v>0</v>
      </c>
    </row>
    <row r="9" spans="2:10" ht="15.6">
      <c r="B9" s="88" t="s">
        <v>13</v>
      </c>
      <c r="C9" s="95">
        <v>-1531102</v>
      </c>
      <c r="D9" s="95">
        <v>-1173618</v>
      </c>
      <c r="E9" s="95">
        <v>-344607</v>
      </c>
      <c r="F9" s="108">
        <f>SUM(C9:E9)</f>
        <v>-3049327</v>
      </c>
      <c r="G9" s="100"/>
      <c r="H9" s="108">
        <v>-3139603</v>
      </c>
      <c r="I9" s="116" t="s">
        <v>14</v>
      </c>
      <c r="J9" s="117"/>
    </row>
    <row r="10" spans="2:10" ht="16.350000000000001" thickBot="1">
      <c r="B10" s="96" t="s">
        <v>15</v>
      </c>
      <c r="C10" s="98">
        <f>SUM(C7:C9)</f>
        <v>280634.46202633157</v>
      </c>
      <c r="D10" s="98">
        <f>SUM(D7:D9)</f>
        <v>124543.33105516736</v>
      </c>
      <c r="E10" s="98">
        <f>SUM(E7:E9)</f>
        <v>466779.20691850095</v>
      </c>
      <c r="F10" s="107">
        <f>SUM(C10:E10)</f>
        <v>871956.99999999988</v>
      </c>
      <c r="G10" s="101"/>
      <c r="H10" s="107">
        <f>SUM(H7:H9)</f>
        <v>790587</v>
      </c>
      <c r="I10" s="133" t="s">
        <v>16</v>
      </c>
      <c r="J10" s="134"/>
    </row>
    <row r="11" spans="2:10" ht="15.6">
      <c r="B11" s="96" t="s">
        <v>17</v>
      </c>
      <c r="C11" s="111">
        <f>C10/C7</f>
        <v>0.15489809885454148</v>
      </c>
      <c r="D11" s="112">
        <f>D10/D7</f>
        <v>9.5938278114322775E-2</v>
      </c>
      <c r="E11" s="112">
        <f>E10/E7</f>
        <v>0.57528624713576637</v>
      </c>
      <c r="F11" s="112">
        <f>F10/F7</f>
        <v>0.2223652309715978</v>
      </c>
      <c r="G11" s="102"/>
      <c r="H11" s="97">
        <f>H10/H7</f>
        <v>0.20115745040316116</v>
      </c>
    </row>
    <row r="12" spans="2:10" ht="15.6">
      <c r="B12" s="113" t="s">
        <v>18</v>
      </c>
      <c r="C12" s="114">
        <f>C10/F10</f>
        <v>0.32184438226464335</v>
      </c>
      <c r="D12" s="115">
        <f>D10/F10</f>
        <v>0.1428319642541632</v>
      </c>
      <c r="E12" s="115">
        <f>E10/F10</f>
        <v>0.53532365348119348</v>
      </c>
      <c r="F12" s="115">
        <f>SUM(C12:E12)</f>
        <v>1</v>
      </c>
      <c r="G12" s="101"/>
      <c r="H12" s="121">
        <v>0</v>
      </c>
    </row>
    <row r="13" spans="2:10" ht="15.6">
      <c r="B13" s="88" t="s">
        <v>19</v>
      </c>
      <c r="C13" s="129">
        <f>H13*C8</f>
        <v>19154.225632783964</v>
      </c>
      <c r="D13" s="95">
        <f>H13*D8</f>
        <v>13724.554075031054</v>
      </c>
      <c r="E13" s="127">
        <f>H13*E8</f>
        <v>8578.2202921849803</v>
      </c>
      <c r="F13" s="95">
        <f>SUM(C13:E13)</f>
        <v>41457</v>
      </c>
      <c r="G13" s="100"/>
      <c r="H13" s="95">
        <v>41457</v>
      </c>
    </row>
    <row r="14" spans="2:10" ht="15.6">
      <c r="B14" s="88" t="s">
        <v>20</v>
      </c>
      <c r="C14" s="129">
        <f>H14*C8</f>
        <v>-232139.12401425757</v>
      </c>
      <c r="D14" s="95">
        <f>H14*D8</f>
        <v>-166334.3651445203</v>
      </c>
      <c r="E14" s="125">
        <f>H14*E8</f>
        <v>-103963.51084122212</v>
      </c>
      <c r="F14" s="95">
        <f>SUM(C14:E14)</f>
        <v>-502437</v>
      </c>
      <c r="G14" s="100"/>
      <c r="H14" s="95">
        <v>-502437</v>
      </c>
    </row>
    <row r="15" spans="2:10" ht="15.6">
      <c r="B15" s="96" t="s">
        <v>21</v>
      </c>
      <c r="C15" s="130">
        <f>C10+C13+C14</f>
        <v>67649.563644857961</v>
      </c>
      <c r="D15" s="126">
        <f>D10+D13+D14</f>
        <v>-28066.480014321889</v>
      </c>
      <c r="E15" s="94">
        <f>E10+E13+E14</f>
        <v>371393.91636946378</v>
      </c>
      <c r="F15" s="107">
        <f>SUM(C15:E15)</f>
        <v>410976.99999999988</v>
      </c>
      <c r="G15" s="101"/>
      <c r="H15" s="94">
        <f>H10+H13+H14</f>
        <v>329607</v>
      </c>
    </row>
    <row r="16" spans="2:10" ht="15.6">
      <c r="B16" s="124" t="s">
        <v>22</v>
      </c>
      <c r="C16" s="129">
        <f>H16*C8</f>
        <v>42724.036917508885</v>
      </c>
      <c r="D16" s="95">
        <f>H16*D8</f>
        <v>30613.002384933705</v>
      </c>
      <c r="E16" s="108">
        <f>H16*E8</f>
        <v>19133.960697557406</v>
      </c>
      <c r="F16" s="95">
        <f>SUM(C16:E16)</f>
        <v>92471</v>
      </c>
      <c r="G16" s="103"/>
      <c r="H16" s="95">
        <v>92471</v>
      </c>
    </row>
    <row r="17" spans="2:8" ht="16.350000000000001" thickBot="1">
      <c r="B17" s="109" t="s">
        <v>23</v>
      </c>
      <c r="C17" s="110">
        <f>H17*C8</f>
        <v>-4112.9584046854052</v>
      </c>
      <c r="D17" s="110">
        <f>H17*D8</f>
        <v>-2947.0531002225548</v>
      </c>
      <c r="E17" s="128">
        <f>H17*E8</f>
        <v>-1841.98849509204</v>
      </c>
      <c r="F17" s="110">
        <f>SUM(C17:E17)</f>
        <v>-8902</v>
      </c>
      <c r="G17" s="104"/>
      <c r="H17" s="110">
        <v>-8902</v>
      </c>
    </row>
    <row r="18" spans="2:8" ht="16.350000000000001" thickBot="1">
      <c r="B18" s="118" t="s">
        <v>24</v>
      </c>
      <c r="C18" s="119">
        <f>SUM(C15:C17)</f>
        <v>106260.64215768145</v>
      </c>
      <c r="D18" s="132">
        <f>SUM(D15:D17)</f>
        <v>-400.53072961073894</v>
      </c>
      <c r="E18" s="120">
        <f>SUM(E15:E17)</f>
        <v>388685.88857192919</v>
      </c>
      <c r="F18" s="131">
        <f>SUM(C18:E18)</f>
        <v>494545.99999999988</v>
      </c>
      <c r="G18" s="105"/>
      <c r="H18" s="120">
        <f>H15+H16+H17</f>
        <v>413176</v>
      </c>
    </row>
    <row r="19" spans="2:8" ht="8.85" customHeight="1">
      <c r="B19" s="82"/>
      <c r="C19" s="72"/>
      <c r="D19" s="83"/>
      <c r="E19" s="83"/>
      <c r="F19" s="83"/>
      <c r="G19" s="83"/>
      <c r="H19" s="83"/>
    </row>
    <row r="20" spans="2:8">
      <c r="B20" s="135" t="s">
        <v>25</v>
      </c>
      <c r="C20" s="136"/>
      <c r="D20" s="136"/>
      <c r="E20" s="136"/>
      <c r="F20" s="136"/>
      <c r="G20" s="136"/>
      <c r="H20" s="136"/>
    </row>
    <row r="21" spans="2:8" ht="15.6">
      <c r="B21" s="84"/>
      <c r="C21" s="84"/>
      <c r="D21" s="83"/>
      <c r="E21" s="83"/>
      <c r="F21" s="83"/>
      <c r="G21" s="83"/>
      <c r="H21" s="83"/>
    </row>
    <row r="22" spans="2:8" ht="15.6">
      <c r="B22" s="84"/>
      <c r="C22" s="84"/>
      <c r="D22" s="85"/>
      <c r="E22" s="85"/>
      <c r="F22" s="83"/>
      <c r="G22" s="83"/>
      <c r="H22" s="83"/>
    </row>
    <row r="23" spans="2:8" ht="15.6">
      <c r="B23" s="84"/>
      <c r="C23" s="84"/>
      <c r="D23" s="83"/>
      <c r="E23" s="83"/>
      <c r="F23" s="83"/>
      <c r="G23" s="83"/>
      <c r="H23" s="83"/>
    </row>
    <row r="24" spans="2:8" ht="17.649999999999999">
      <c r="B24" s="84"/>
      <c r="C24" s="84"/>
      <c r="D24" s="86"/>
      <c r="E24" s="86"/>
      <c r="F24" s="86"/>
      <c r="G24" s="86"/>
      <c r="H24" s="86"/>
    </row>
    <row r="25" spans="2:8" ht="15.6">
      <c r="B25" s="68"/>
      <c r="C25" s="68"/>
      <c r="D25" s="69"/>
      <c r="E25" s="69"/>
      <c r="F25" s="69"/>
      <c r="G25" s="69"/>
      <c r="H25" s="69"/>
    </row>
    <row r="26" spans="2:8">
      <c r="B26" s="70"/>
      <c r="C26" s="70"/>
      <c r="D26" s="71"/>
      <c r="E26" s="71"/>
      <c r="F26" s="71"/>
      <c r="G26" s="71"/>
      <c r="H26" s="71"/>
    </row>
    <row r="27" spans="2:8" ht="15.6">
      <c r="B27" s="72"/>
      <c r="C27" s="72"/>
      <c r="D27" s="66"/>
      <c r="E27" s="66"/>
      <c r="F27" s="66"/>
      <c r="G27" s="66"/>
      <c r="H27" s="66"/>
    </row>
    <row r="28" spans="2:8">
      <c r="B28" s="67"/>
      <c r="C28" s="67"/>
      <c r="D28" s="66"/>
      <c r="E28" s="66"/>
      <c r="F28" s="66"/>
      <c r="G28" s="66"/>
      <c r="H28" s="66"/>
    </row>
    <row r="29" spans="2:8">
      <c r="B29" s="67"/>
      <c r="C29" s="67"/>
      <c r="D29" s="66"/>
      <c r="E29" s="66"/>
      <c r="F29" s="66"/>
      <c r="G29" s="66"/>
      <c r="H29" s="66"/>
    </row>
    <row r="30" spans="2:8">
      <c r="B30" s="67"/>
      <c r="C30" s="67"/>
      <c r="D30" s="66"/>
      <c r="E30" s="66"/>
      <c r="F30" s="66"/>
      <c r="G30" s="66"/>
      <c r="H30" s="66"/>
    </row>
    <row r="31" spans="2:8">
      <c r="B31" s="67"/>
      <c r="C31" s="67"/>
      <c r="D31" s="66"/>
      <c r="E31" s="66"/>
      <c r="F31" s="66"/>
      <c r="G31" s="66"/>
      <c r="H31" s="66"/>
    </row>
    <row r="32" spans="2:8">
      <c r="B32" s="67"/>
      <c r="C32" s="67"/>
      <c r="D32" s="66"/>
      <c r="E32" s="66"/>
      <c r="F32" s="66"/>
      <c r="G32" s="66"/>
      <c r="H32" s="66"/>
    </row>
    <row r="33" spans="2:8">
      <c r="B33" s="67"/>
      <c r="C33" s="67"/>
      <c r="D33" s="66"/>
      <c r="E33" s="66"/>
      <c r="F33" s="66"/>
      <c r="G33" s="66"/>
      <c r="H33" s="66"/>
    </row>
    <row r="34" spans="2:8" ht="16.899999999999999">
      <c r="B34" s="67"/>
      <c r="C34" s="67"/>
      <c r="D34" s="74"/>
      <c r="E34" s="74"/>
      <c r="F34" s="73"/>
      <c r="G34" s="73"/>
      <c r="H34" s="73"/>
    </row>
    <row r="35" spans="2:8" ht="15.6">
      <c r="B35" s="68"/>
      <c r="C35" s="68"/>
      <c r="D35" s="69"/>
      <c r="E35" s="69"/>
      <c r="F35" s="69"/>
      <c r="G35" s="69"/>
      <c r="H35" s="69"/>
    </row>
    <row r="36" spans="2:8">
      <c r="B36" s="70"/>
      <c r="C36" s="70"/>
      <c r="D36" s="71"/>
      <c r="E36" s="71"/>
      <c r="F36" s="71"/>
      <c r="G36" s="71"/>
      <c r="H36" s="71"/>
    </row>
    <row r="37" spans="2:8" ht="4.5" customHeight="1">
      <c r="B37" s="65"/>
      <c r="C37" s="65"/>
      <c r="D37" s="66"/>
      <c r="E37" s="66"/>
      <c r="F37" s="66"/>
      <c r="G37" s="66"/>
      <c r="H37" s="66"/>
    </row>
    <row r="38" spans="2:8" ht="15.6">
      <c r="B38" s="75"/>
      <c r="C38" s="75"/>
      <c r="D38" s="76"/>
      <c r="E38" s="76"/>
      <c r="F38" s="69"/>
      <c r="G38" s="69"/>
      <c r="H38" s="69"/>
    </row>
    <row r="39" spans="2:8">
      <c r="B39" s="70"/>
      <c r="C39" s="70"/>
      <c r="D39" s="77"/>
      <c r="E39" s="77"/>
      <c r="F39" s="71"/>
      <c r="G39" s="71"/>
      <c r="H39" s="71"/>
    </row>
    <row r="40" spans="2:8" ht="15.6">
      <c r="B40" s="75"/>
      <c r="C40" s="75"/>
      <c r="D40" s="76"/>
      <c r="E40" s="76"/>
      <c r="F40" s="69"/>
      <c r="G40" s="69"/>
      <c r="H40" s="69"/>
    </row>
    <row r="41" spans="2:8">
      <c r="B41" s="70"/>
      <c r="C41" s="70"/>
      <c r="D41" s="77"/>
      <c r="E41" s="77"/>
      <c r="F41" s="71"/>
      <c r="G41" s="71"/>
      <c r="H41" s="71"/>
    </row>
    <row r="42" spans="2:8" ht="4.5" customHeight="1">
      <c r="B42" s="70"/>
      <c r="C42" s="70"/>
      <c r="D42" s="66"/>
      <c r="E42" s="66"/>
      <c r="F42" s="66"/>
      <c r="G42" s="66"/>
      <c r="H42" s="66"/>
    </row>
    <row r="43" spans="2:8" ht="15.6">
      <c r="B43" s="68"/>
      <c r="C43" s="68"/>
      <c r="D43" s="78"/>
      <c r="E43" s="78"/>
      <c r="F43" s="78"/>
      <c r="G43" s="78"/>
      <c r="H43" s="78"/>
    </row>
    <row r="44" spans="2:8" ht="4.5" customHeight="1">
      <c r="B44" s="65"/>
      <c r="C44" s="65"/>
      <c r="D44" s="66"/>
      <c r="E44" s="66"/>
      <c r="F44" s="66"/>
      <c r="G44" s="66"/>
      <c r="H44" s="66"/>
    </row>
    <row r="45" spans="2:8" ht="15.6">
      <c r="B45" s="68"/>
      <c r="C45" s="68"/>
      <c r="D45" s="69"/>
      <c r="E45" s="69"/>
      <c r="F45" s="69"/>
      <c r="G45" s="69"/>
      <c r="H45" s="69"/>
    </row>
    <row r="46" spans="2:8">
      <c r="B46" s="70"/>
      <c r="C46" s="70"/>
      <c r="D46" s="71"/>
      <c r="E46" s="71"/>
      <c r="F46" s="71"/>
      <c r="G46" s="71"/>
      <c r="H46" s="71"/>
    </row>
    <row r="47" spans="2:8" ht="4.5" customHeight="1">
      <c r="B47" s="65"/>
      <c r="C47" s="65"/>
      <c r="D47" s="66"/>
      <c r="E47" s="66"/>
      <c r="F47" s="66"/>
      <c r="G47" s="66"/>
      <c r="H47" s="66"/>
    </row>
    <row r="48" spans="2:8">
      <c r="B48" s="79"/>
      <c r="C48" s="79"/>
      <c r="D48" s="66"/>
      <c r="E48" s="66"/>
      <c r="F48" s="66"/>
      <c r="G48" s="66"/>
      <c r="H48" s="66"/>
    </row>
    <row r="49" spans="2:8">
      <c r="B49" s="79"/>
      <c r="C49" s="79"/>
      <c r="D49" s="66"/>
      <c r="E49" s="66"/>
      <c r="F49" s="66"/>
      <c r="G49" s="66"/>
      <c r="H49" s="66"/>
    </row>
    <row r="50" spans="2:8" ht="15.6">
      <c r="B50" s="68"/>
      <c r="C50" s="68"/>
      <c r="D50" s="69"/>
      <c r="E50" s="69"/>
      <c r="F50" s="69"/>
      <c r="G50" s="69"/>
      <c r="H50" s="69"/>
    </row>
    <row r="51" spans="2:8" ht="4.5" customHeight="1">
      <c r="B51" s="65"/>
      <c r="C51" s="65"/>
      <c r="D51" s="66"/>
      <c r="E51" s="66"/>
      <c r="F51" s="66"/>
      <c r="G51" s="66"/>
      <c r="H51" s="66"/>
    </row>
    <row r="52" spans="2:8" ht="15.6">
      <c r="B52" s="68"/>
      <c r="C52" s="68"/>
      <c r="D52" s="69"/>
      <c r="E52" s="69"/>
      <c r="F52" s="69"/>
      <c r="G52" s="69"/>
      <c r="H52" s="69"/>
    </row>
    <row r="53" spans="2:8" ht="4.5" customHeight="1">
      <c r="B53" s="65"/>
      <c r="C53" s="65"/>
      <c r="D53" s="65"/>
      <c r="E53" s="65"/>
      <c r="F53" s="65"/>
      <c r="G53" s="65"/>
      <c r="H53" s="65"/>
    </row>
    <row r="54" spans="2:8" ht="15.6" hidden="1">
      <c r="B54" s="72"/>
      <c r="C54" s="72"/>
      <c r="D54" s="65"/>
      <c r="E54" s="65"/>
      <c r="F54" s="65"/>
      <c r="G54" s="65"/>
      <c r="H54" s="65"/>
    </row>
    <row r="55" spans="2:8" hidden="1">
      <c r="B55" s="80"/>
      <c r="C55" s="80"/>
      <c r="D55" s="66"/>
      <c r="E55" s="66"/>
      <c r="F55" s="66"/>
      <c r="G55" s="66"/>
      <c r="H55" s="66"/>
    </row>
    <row r="56" spans="2:8" hidden="1">
      <c r="B56" s="80"/>
      <c r="C56" s="80"/>
      <c r="D56" s="66"/>
      <c r="E56" s="66"/>
      <c r="F56" s="66"/>
      <c r="G56" s="66"/>
      <c r="H56" s="66"/>
    </row>
    <row r="57" spans="2:8" hidden="1">
      <c r="B57" s="80"/>
      <c r="C57" s="80"/>
      <c r="D57" s="66"/>
      <c r="E57" s="66"/>
      <c r="F57" s="66"/>
      <c r="G57" s="66"/>
      <c r="H57" s="66"/>
    </row>
    <row r="58" spans="2:8" hidden="1">
      <c r="B58" s="80"/>
      <c r="C58" s="80"/>
      <c r="D58" s="66"/>
      <c r="E58" s="66"/>
      <c r="F58" s="66"/>
      <c r="G58" s="66"/>
      <c r="H58" s="66"/>
    </row>
    <row r="59" spans="2:8" hidden="1">
      <c r="B59" s="80"/>
      <c r="C59" s="80"/>
      <c r="D59" s="66"/>
      <c r="E59" s="66"/>
      <c r="F59" s="66"/>
      <c r="G59" s="66"/>
      <c r="H59" s="66"/>
    </row>
    <row r="60" spans="2:8" ht="15.6">
      <c r="B60" s="68"/>
      <c r="C60" s="68"/>
      <c r="D60" s="66"/>
      <c r="E60" s="66"/>
      <c r="F60" s="66"/>
      <c r="G60" s="66"/>
      <c r="H60" s="66"/>
    </row>
    <row r="61" spans="2:8" ht="4.5" customHeight="1">
      <c r="B61" s="65"/>
      <c r="C61" s="65"/>
      <c r="D61" s="65"/>
      <c r="E61" s="65"/>
      <c r="F61" s="65"/>
      <c r="G61" s="65"/>
      <c r="H61" s="65"/>
    </row>
    <row r="62" spans="2:8" ht="18.2">
      <c r="B62" s="68"/>
      <c r="C62" s="68"/>
      <c r="D62" s="81"/>
      <c r="E62" s="81"/>
      <c r="F62" s="81"/>
      <c r="G62" s="81"/>
      <c r="H62" s="81"/>
    </row>
    <row r="63" spans="2:8">
      <c r="B63" s="64"/>
      <c r="C63" s="64"/>
      <c r="D63" s="64"/>
      <c r="E63" s="64"/>
      <c r="F63" s="64"/>
      <c r="G63" s="64"/>
      <c r="H63" s="64"/>
    </row>
    <row r="64" spans="2:8">
      <c r="B64" s="43"/>
      <c r="C64" s="43"/>
      <c r="D64" s="43"/>
      <c r="E64" s="43"/>
      <c r="F64" s="43"/>
      <c r="G64" s="43"/>
      <c r="H64" s="43"/>
    </row>
    <row r="65" spans="2:8">
      <c r="B65" s="44"/>
      <c r="C65" s="44"/>
      <c r="D65" s="44"/>
      <c r="E65" s="44"/>
      <c r="F65" s="44"/>
      <c r="G65" s="44"/>
      <c r="H65" s="44"/>
    </row>
    <row r="66" spans="2:8">
      <c r="B66" s="44"/>
      <c r="C66" s="44"/>
      <c r="D66" s="44"/>
      <c r="E66" s="44"/>
      <c r="F66" s="44"/>
      <c r="G66" s="44"/>
      <c r="H66" s="44"/>
    </row>
    <row r="67" spans="2:8" ht="14.45" customHeight="1">
      <c r="B67" s="43"/>
      <c r="C67" s="43"/>
      <c r="D67" s="43"/>
      <c r="E67" s="43"/>
      <c r="F67" s="43"/>
      <c r="G67" s="43"/>
      <c r="H67" s="43"/>
    </row>
    <row r="68" spans="2:8">
      <c r="B68" s="43"/>
      <c r="C68" s="43"/>
      <c r="D68" s="43"/>
      <c r="E68" s="43"/>
      <c r="F68" s="43"/>
      <c r="G68" s="43"/>
      <c r="H68" s="43"/>
    </row>
    <row r="69" spans="2:8">
      <c r="B69" s="43"/>
      <c r="C69" s="43"/>
      <c r="D69" s="43"/>
      <c r="E69" s="43"/>
      <c r="F69" s="43"/>
      <c r="G69" s="43"/>
      <c r="H69" s="43"/>
    </row>
    <row r="70" spans="2:8">
      <c r="B70" s="137"/>
      <c r="C70" s="137"/>
      <c r="D70" s="137"/>
      <c r="E70" s="137"/>
      <c r="F70" s="137"/>
      <c r="G70" s="43"/>
      <c r="H70" s="43"/>
    </row>
    <row r="71" spans="2:8">
      <c r="B71" s="137"/>
      <c r="C71" s="137"/>
      <c r="D71" s="137"/>
      <c r="E71" s="137"/>
      <c r="F71" s="137"/>
      <c r="G71" s="43"/>
      <c r="H71" s="43"/>
    </row>
  </sheetData>
  <mergeCells count="6">
    <mergeCell ref="I10:J10"/>
    <mergeCell ref="B20:H20"/>
    <mergeCell ref="B70:F71"/>
    <mergeCell ref="C2:H2"/>
    <mergeCell ref="C3:H3"/>
    <mergeCell ref="C4:H4"/>
  </mergeCells>
  <conditionalFormatting sqref="D52:H52 D62:H62">
    <cfRule type="cellIs" dxfId="2" priority="1" operator="lessThan">
      <formula>0</formula>
    </cfRule>
  </conditionalFormatting>
  <pageMargins left="0.7" right="0.7" top="0.75" bottom="0.75" header="0.3" footer="0.3"/>
  <pageSetup orientation="landscape" r:id="rId1"/>
  <ignoredErrors>
    <ignoredError sqref="F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EEB4-AC01-430E-ADA7-32B248E10441}">
  <sheetPr>
    <tabColor rgb="FF00B0F0"/>
  </sheetPr>
  <dimension ref="B1:G77"/>
  <sheetViews>
    <sheetView topLeftCell="A39" zoomScaleNormal="100" workbookViewId="0">
      <selection activeCell="J72" sqref="J72"/>
    </sheetView>
  </sheetViews>
  <sheetFormatPr defaultColWidth="8.85546875" defaultRowHeight="15"/>
  <cols>
    <col min="1" max="1" width="0.85546875" style="1" customWidth="1"/>
    <col min="2" max="2" width="30.7109375" style="1" customWidth="1"/>
    <col min="3" max="3" width="14" style="1" customWidth="1"/>
    <col min="4" max="6" width="13.85546875" style="1" customWidth="1"/>
    <col min="7" max="16384" width="8.85546875" style="1"/>
  </cols>
  <sheetData>
    <row r="1" spans="2:7" ht="4.5" customHeight="1"/>
    <row r="2" spans="2:7">
      <c r="B2" s="2" t="s">
        <v>0</v>
      </c>
      <c r="C2" s="142" t="s">
        <v>1</v>
      </c>
      <c r="D2" s="142"/>
      <c r="E2" s="142"/>
      <c r="F2" s="142"/>
      <c r="G2" s="2"/>
    </row>
    <row r="3" spans="2:7" ht="15.6" thickBot="1">
      <c r="B3" s="2" t="s">
        <v>2</v>
      </c>
      <c r="C3" s="142" t="s">
        <v>3</v>
      </c>
      <c r="D3" s="142"/>
      <c r="E3" s="142"/>
      <c r="F3" s="142"/>
      <c r="G3" s="2"/>
    </row>
    <row r="4" spans="2:7" ht="18.75" thickBot="1">
      <c r="B4" s="29"/>
      <c r="C4" s="143" t="s">
        <v>26</v>
      </c>
      <c r="D4" s="144"/>
      <c r="E4" s="144"/>
      <c r="F4" s="145"/>
      <c r="G4" s="2"/>
    </row>
    <row r="5" spans="2:7" ht="4.5" customHeight="1" thickBot="1">
      <c r="D5" s="3"/>
      <c r="E5" s="3"/>
      <c r="F5" s="3"/>
      <c r="G5" s="2"/>
    </row>
    <row r="6" spans="2:7" ht="21.95" thickBot="1">
      <c r="B6" s="4" t="s">
        <v>5</v>
      </c>
      <c r="C6" s="4" t="s">
        <v>27</v>
      </c>
      <c r="D6" s="62" t="s">
        <v>28</v>
      </c>
      <c r="E6" s="30">
        <v>2025</v>
      </c>
      <c r="F6" s="30">
        <v>2024</v>
      </c>
    </row>
    <row r="7" spans="2:7" ht="15.6">
      <c r="B7" s="5" t="s">
        <v>29</v>
      </c>
      <c r="C7" s="5"/>
      <c r="D7" s="6"/>
      <c r="E7" s="31"/>
      <c r="F7" s="31"/>
    </row>
    <row r="8" spans="2:7">
      <c r="B8" s="7" t="str">
        <f>'[1]P&amp;L Assistant'!B5</f>
        <v>Sales</v>
      </c>
      <c r="C8" s="7"/>
      <c r="D8" s="8">
        <v>811386</v>
      </c>
      <c r="E8" s="32"/>
      <c r="F8" s="32">
        <f>'[1]P&amp;L Assistant'!E5</f>
        <v>537398</v>
      </c>
    </row>
    <row r="9" spans="2:7">
      <c r="B9" s="7" t="str">
        <f>'[1]P&amp;L Assistant'!B6</f>
        <v>Freight Charged to Customer</v>
      </c>
      <c r="C9" s="45">
        <v>0</v>
      </c>
      <c r="D9" s="56">
        <v>0</v>
      </c>
      <c r="E9" s="46"/>
      <c r="F9" s="46">
        <f>'[1]P&amp;L Assistant'!E6</f>
        <v>0</v>
      </c>
    </row>
    <row r="10" spans="2:7" ht="16.899999999999999">
      <c r="B10" s="9" t="s">
        <v>30</v>
      </c>
      <c r="C10" s="47">
        <v>0</v>
      </c>
      <c r="D10" s="57">
        <v>0</v>
      </c>
      <c r="E10" s="48"/>
      <c r="F10" s="48">
        <f>'[1]P&amp;L Assistant'!E7</f>
        <v>0</v>
      </c>
    </row>
    <row r="11" spans="2:7" ht="15.6">
      <c r="B11" s="11" t="s">
        <v>31</v>
      </c>
      <c r="C11" s="11"/>
      <c r="D11" s="12">
        <f>SUM(D8:D10)</f>
        <v>811386</v>
      </c>
      <c r="E11" s="34"/>
      <c r="F11" s="34">
        <f>SUM(F8:F10)</f>
        <v>537398</v>
      </c>
    </row>
    <row r="12" spans="2:7" ht="4.5" customHeight="1">
      <c r="B12" s="13"/>
      <c r="C12" s="13"/>
      <c r="D12" s="8"/>
      <c r="E12" s="32"/>
      <c r="F12" s="32"/>
    </row>
    <row r="13" spans="2:7" ht="15.6">
      <c r="B13" s="5" t="s">
        <v>13</v>
      </c>
      <c r="C13" s="5"/>
      <c r="D13" s="8"/>
      <c r="E13" s="32"/>
      <c r="F13" s="32"/>
    </row>
    <row r="14" spans="2:7" ht="15.6">
      <c r="B14" s="5" t="s">
        <v>32</v>
      </c>
      <c r="C14" s="5"/>
      <c r="D14" s="8"/>
      <c r="E14" s="32"/>
      <c r="F14" s="32"/>
    </row>
    <row r="15" spans="2:7">
      <c r="B15" s="14" t="str">
        <f>'[1]P&amp;L Assistant'!B15</f>
        <v>Paper</v>
      </c>
      <c r="C15" s="49">
        <v>0</v>
      </c>
      <c r="D15" s="56">
        <v>0</v>
      </c>
      <c r="E15" s="46">
        <v>0</v>
      </c>
      <c r="F15" s="32">
        <f>'[1]P&amp;L Assistant'!E15</f>
        <v>-382</v>
      </c>
    </row>
    <row r="16" spans="2:7">
      <c r="B16" s="14" t="str">
        <f>'[1]P&amp;L Assistant'!B16</f>
        <v>Carbon &amp; Cartons</v>
      </c>
      <c r="C16" s="49">
        <v>0</v>
      </c>
      <c r="D16" s="56">
        <v>0</v>
      </c>
      <c r="E16" s="46">
        <v>0</v>
      </c>
      <c r="F16" s="32">
        <f>'[1]P&amp;L Assistant'!E16</f>
        <v>0</v>
      </c>
    </row>
    <row r="17" spans="2:6">
      <c r="B17" s="14" t="str">
        <f>'[1]P&amp;L Assistant'!B17</f>
        <v>Ink</v>
      </c>
      <c r="C17" s="49">
        <v>0</v>
      </c>
      <c r="D17" s="56">
        <v>0</v>
      </c>
      <c r="E17" s="46">
        <v>0</v>
      </c>
      <c r="F17" s="32">
        <f>'[1]P&amp;L Assistant'!E17</f>
        <v>1873</v>
      </c>
    </row>
    <row r="18" spans="2:6">
      <c r="B18" s="14" t="str">
        <f>'[1]P&amp;L Assistant'!B18</f>
        <v>Materials + Supplies</v>
      </c>
      <c r="C18" s="51">
        <v>0</v>
      </c>
      <c r="D18" s="58">
        <v>17737</v>
      </c>
      <c r="E18" s="50">
        <v>0</v>
      </c>
      <c r="F18" s="50">
        <f>'[1]P&amp;L Assistant'!E18</f>
        <v>4832</v>
      </c>
    </row>
    <row r="19" spans="2:6" ht="15.6">
      <c r="B19" s="11" t="str">
        <f>'[1]P&amp;L Assistant'!B23</f>
        <v>Sub-Total Materials</v>
      </c>
      <c r="C19" s="11"/>
      <c r="D19" s="12">
        <f>SUM(D15:D18)</f>
        <v>17737</v>
      </c>
      <c r="E19" s="34"/>
      <c r="F19" s="34">
        <f>SUM(F15:F18)</f>
        <v>6323</v>
      </c>
    </row>
    <row r="20" spans="2:6">
      <c r="B20" s="15" t="s">
        <v>33</v>
      </c>
      <c r="C20" s="15"/>
      <c r="D20" s="16"/>
      <c r="E20" s="35"/>
      <c r="F20" s="35">
        <f>F19/F49</f>
        <v>1.6066924548537191E-2</v>
      </c>
    </row>
    <row r="21" spans="2:6" ht="4.5" customHeight="1">
      <c r="B21" s="13"/>
      <c r="C21" s="13"/>
      <c r="D21" s="8"/>
      <c r="E21" s="32"/>
      <c r="F21" s="32"/>
    </row>
    <row r="22" spans="2:6" ht="15.6">
      <c r="B22" s="17" t="s">
        <v>34</v>
      </c>
      <c r="C22" s="17"/>
      <c r="D22" s="8"/>
      <c r="E22" s="32"/>
      <c r="F22" s="32"/>
    </row>
    <row r="23" spans="2:6">
      <c r="B23" s="14" t="str">
        <f>'[1]P&amp;L Assistant'!B26</f>
        <v>Direct Labor Wages</v>
      </c>
      <c r="C23" s="14"/>
      <c r="D23" s="8">
        <v>179307</v>
      </c>
      <c r="E23" s="32"/>
      <c r="F23" s="32">
        <f>'[1]P&amp;L Assistant'!E26</f>
        <v>139496</v>
      </c>
    </row>
    <row r="24" spans="2:6">
      <c r="B24" s="14" t="str">
        <f>'[1]P&amp;L Assistant'!B27</f>
        <v>Indirect Labor Wages</v>
      </c>
      <c r="C24" s="14"/>
      <c r="D24" s="8">
        <v>38793</v>
      </c>
      <c r="E24" s="32"/>
      <c r="F24" s="32">
        <f>'[1]P&amp;L Assistant'!E27</f>
        <v>82781</v>
      </c>
    </row>
    <row r="25" spans="2:6">
      <c r="B25" s="14" t="str">
        <f>'[1]P&amp;L Assistant'!B28</f>
        <v>Taxes - Prod Payroll</v>
      </c>
      <c r="C25" s="14"/>
      <c r="D25" s="8">
        <v>20567</v>
      </c>
      <c r="E25" s="32"/>
      <c r="F25" s="32">
        <f>'[1]P&amp;L Assistant'!E28</f>
        <v>23956</v>
      </c>
    </row>
    <row r="26" spans="2:6">
      <c r="B26" s="52" t="str">
        <f>'[1]P&amp;L Assistant'!B29</f>
        <v>Supervisor's Salaries</v>
      </c>
      <c r="C26" s="52"/>
      <c r="D26" s="54">
        <v>-41085</v>
      </c>
      <c r="E26" s="53"/>
      <c r="F26" s="54">
        <f>'[1]P&amp;L Assistant'!E29</f>
        <v>-32017</v>
      </c>
    </row>
    <row r="27" spans="2:6">
      <c r="B27" s="52" t="str">
        <f>'[1]P&amp;L Assistant'!B30</f>
        <v>Caretaking-Production</v>
      </c>
      <c r="C27" s="52"/>
      <c r="D27" s="53">
        <v>1334</v>
      </c>
      <c r="E27" s="53"/>
      <c r="F27" s="53">
        <f>'[1]P&amp;L Assistant'!E30</f>
        <v>3472</v>
      </c>
    </row>
    <row r="28" spans="2:6" ht="16.899999999999999">
      <c r="B28" s="14" t="s">
        <v>35</v>
      </c>
      <c r="C28" s="14"/>
      <c r="D28" s="10">
        <v>59489</v>
      </c>
      <c r="E28" s="33"/>
      <c r="F28" s="33">
        <f>'[1]P&amp;L Assistant'!E31</f>
        <v>74985</v>
      </c>
    </row>
    <row r="29" spans="2:6" ht="15.6">
      <c r="B29" s="11" t="str">
        <f>'[1]P&amp;L Assistant'!B32</f>
        <v>Sub-Total Labor</v>
      </c>
      <c r="C29" s="11"/>
      <c r="D29" s="12">
        <f>SUM(D23:D28)</f>
        <v>258405</v>
      </c>
      <c r="E29" s="34"/>
      <c r="F29" s="34">
        <f>'[1]P&amp;L Assistant'!E32</f>
        <v>292673</v>
      </c>
    </row>
    <row r="30" spans="2:6">
      <c r="B30" s="15" t="s">
        <v>36</v>
      </c>
      <c r="C30" s="15"/>
      <c r="D30" s="16"/>
      <c r="E30" s="35"/>
      <c r="F30" s="35">
        <f>F29/F49</f>
        <v>0.74369049634572593</v>
      </c>
    </row>
    <row r="31" spans="2:6" ht="4.5" customHeight="1">
      <c r="B31" s="13"/>
      <c r="C31" s="13"/>
      <c r="D31" s="8"/>
      <c r="E31" s="32"/>
      <c r="F31" s="32"/>
    </row>
    <row r="32" spans="2:6" ht="15.6">
      <c r="B32" s="17" t="s">
        <v>37</v>
      </c>
      <c r="C32" s="17"/>
      <c r="D32" s="8"/>
      <c r="E32" s="32"/>
      <c r="F32" s="32"/>
    </row>
    <row r="33" spans="2:6">
      <c r="B33" s="14" t="str">
        <f>'[1]P&amp;L Assistant'!B35</f>
        <v>Rent</v>
      </c>
      <c r="C33" s="14"/>
      <c r="D33" s="8">
        <v>12500</v>
      </c>
      <c r="E33" s="32"/>
      <c r="F33" s="32">
        <f>'[1]P&amp;L Assistant'!E35</f>
        <v>30000</v>
      </c>
    </row>
    <row r="34" spans="2:6">
      <c r="B34" s="14" t="s">
        <v>38</v>
      </c>
      <c r="C34" s="14"/>
      <c r="D34" s="8">
        <v>16362</v>
      </c>
      <c r="E34" s="32"/>
      <c r="F34" s="32">
        <f>'[1]P&amp;L Assistant'!E36*0.8</f>
        <v>19714.400000000001</v>
      </c>
    </row>
    <row r="35" spans="2:6">
      <c r="B35" s="14" t="str">
        <f>'[1]P&amp;L Assistant'!B37</f>
        <v>Depreciation</v>
      </c>
      <c r="C35" s="14"/>
      <c r="D35" s="8">
        <v>2661</v>
      </c>
      <c r="E35" s="32"/>
      <c r="F35" s="32">
        <f>'[1]P&amp;L Assistant'!E37</f>
        <v>3757</v>
      </c>
    </row>
    <row r="36" spans="2:6">
      <c r="B36" s="14" t="str">
        <f>'[1]P&amp;L Assistant'!B38</f>
        <v>Repairs &amp; Maintenance</v>
      </c>
      <c r="C36" s="14"/>
      <c r="D36" s="8">
        <v>30814</v>
      </c>
      <c r="E36" s="32"/>
      <c r="F36" s="32">
        <f>'[1]P&amp;L Assistant'!E38</f>
        <v>22352</v>
      </c>
    </row>
    <row r="37" spans="2:6">
      <c r="B37" s="14" t="s">
        <v>39</v>
      </c>
      <c r="C37" s="14"/>
      <c r="D37" s="8">
        <v>2552</v>
      </c>
      <c r="E37" s="32"/>
      <c r="F37" s="46">
        <v>0</v>
      </c>
    </row>
    <row r="38" spans="2:6">
      <c r="B38" s="14" t="s">
        <v>40</v>
      </c>
      <c r="C38" s="14"/>
      <c r="D38" s="8">
        <v>3621</v>
      </c>
      <c r="E38" s="32"/>
      <c r="F38" s="46">
        <v>0</v>
      </c>
    </row>
    <row r="39" spans="2:6" ht="16.899999999999999">
      <c r="B39" s="14" t="str">
        <f>'[1]P&amp;L Assistant'!B40</f>
        <v>Misc. Plant Overhead</v>
      </c>
      <c r="C39" s="14"/>
      <c r="D39" s="57">
        <v>0</v>
      </c>
      <c r="E39" s="33"/>
      <c r="F39" s="33">
        <f>'[1]P&amp;L Assistant'!E40</f>
        <v>9974</v>
      </c>
    </row>
    <row r="40" spans="2:6" ht="15.6">
      <c r="B40" s="11" t="str">
        <f>'[1]P&amp;L Assistant'!B41</f>
        <v>Sub-Total Plant Overhead</v>
      </c>
      <c r="C40" s="11"/>
      <c r="D40" s="12">
        <f>SUM(D33:D39)</f>
        <v>68510</v>
      </c>
      <c r="E40" s="34"/>
      <c r="F40" s="34">
        <f>SUM(F33:F39)</f>
        <v>85797.4</v>
      </c>
    </row>
    <row r="41" spans="2:6">
      <c r="B41" s="15" t="s">
        <v>33</v>
      </c>
      <c r="C41" s="15"/>
      <c r="D41" s="16"/>
      <c r="E41" s="35"/>
      <c r="F41" s="35">
        <f>F40/F49</f>
        <v>0.21801365684970184</v>
      </c>
    </row>
    <row r="42" spans="2:6" ht="4.5" customHeight="1">
      <c r="B42" s="13"/>
      <c r="C42" s="13"/>
      <c r="D42" s="8"/>
      <c r="E42" s="32"/>
      <c r="F42" s="32"/>
    </row>
    <row r="43" spans="2:6" ht="15.6">
      <c r="B43" s="18" t="s">
        <v>41</v>
      </c>
      <c r="C43" s="18"/>
      <c r="D43" s="59">
        <v>0</v>
      </c>
      <c r="E43" s="34"/>
      <c r="F43" s="34">
        <f>'[1]P&amp;L Assistant'!E46+'[1]P&amp;L Assistant'!E47+'[1]P&amp;L Assistant'!E48+'[1]P&amp;L Assistant'!E49+'[1]P&amp;L Assistant'!E50</f>
        <v>13.982697652990577</v>
      </c>
    </row>
    <row r="44" spans="2:6">
      <c r="B44" s="15" t="s">
        <v>33</v>
      </c>
      <c r="C44" s="15"/>
      <c r="D44" s="60"/>
      <c r="E44" s="35"/>
      <c r="F44" s="35">
        <f>F43/F49</f>
        <v>3.5530436213127896E-5</v>
      </c>
    </row>
    <row r="45" spans="2:6" ht="4.5" customHeight="1">
      <c r="B45" s="13"/>
      <c r="C45" s="13"/>
      <c r="D45" s="56"/>
      <c r="E45" s="32"/>
      <c r="F45" s="32"/>
    </row>
    <row r="46" spans="2:6" ht="15.6">
      <c r="B46" s="18" t="s">
        <v>42</v>
      </c>
      <c r="C46" s="18"/>
      <c r="D46" s="59">
        <v>0</v>
      </c>
      <c r="E46" s="34"/>
      <c r="F46" s="34">
        <f>'[1]P&amp;L Assistant'!E56</f>
        <v>8734.0185144212664</v>
      </c>
    </row>
    <row r="47" spans="2:6">
      <c r="B47" s="15" t="s">
        <v>33</v>
      </c>
      <c r="C47" s="15"/>
      <c r="D47" s="60"/>
      <c r="E47" s="35"/>
      <c r="F47" s="35">
        <f>F46/F49</f>
        <v>2.2193391819821821E-2</v>
      </c>
    </row>
    <row r="48" spans="2:6" ht="4.5" customHeight="1">
      <c r="B48" s="15"/>
      <c r="C48" s="15"/>
      <c r="D48" s="8"/>
      <c r="E48" s="32"/>
      <c r="F48" s="32"/>
    </row>
    <row r="49" spans="2:6" ht="15.6">
      <c r="B49" s="11" t="s">
        <v>43</v>
      </c>
      <c r="C49" s="11"/>
      <c r="D49" s="19">
        <f>D19+D29+D40</f>
        <v>344652</v>
      </c>
      <c r="E49" s="36"/>
      <c r="F49" s="36">
        <f>F19+F29+F40+F43+F46</f>
        <v>393541.40121207427</v>
      </c>
    </row>
    <row r="50" spans="2:6" ht="4.5" customHeight="1">
      <c r="B50" s="13"/>
      <c r="C50" s="13"/>
      <c r="D50" s="8"/>
      <c r="E50" s="32"/>
      <c r="F50" s="32"/>
    </row>
    <row r="51" spans="2:6" ht="15.6">
      <c r="B51" s="20" t="s">
        <v>44</v>
      </c>
      <c r="C51" s="20"/>
      <c r="D51" s="21">
        <f>D11-D49</f>
        <v>466734</v>
      </c>
      <c r="E51" s="37"/>
      <c r="F51" s="37">
        <f>F11-F49</f>
        <v>143856.59878792573</v>
      </c>
    </row>
    <row r="52" spans="2:6">
      <c r="B52" s="22" t="s">
        <v>17</v>
      </c>
      <c r="C52" s="22"/>
      <c r="D52" s="23">
        <f>D51/D11</f>
        <v>0.57523053146098158</v>
      </c>
      <c r="E52" s="38"/>
      <c r="F52" s="38">
        <f>F51/F11</f>
        <v>0.26769098282450943</v>
      </c>
    </row>
    <row r="53" spans="2:6" ht="4.5" customHeight="1">
      <c r="B53" s="13"/>
      <c r="C53" s="13"/>
      <c r="D53" s="55"/>
      <c r="E53" s="32"/>
      <c r="F53" s="32"/>
    </row>
    <row r="54" spans="2:6">
      <c r="B54" s="24" t="s">
        <v>45</v>
      </c>
      <c r="C54" s="24"/>
      <c r="D54" s="55"/>
      <c r="E54" s="32"/>
      <c r="F54" s="32">
        <f>'[1]P&amp;L Assistant'!E58+'[1]P&amp;L Assistant'!E59+'[1]P&amp;L Assistant'!E60</f>
        <v>68944.067177304736</v>
      </c>
    </row>
    <row r="55" spans="2:6">
      <c r="B55" s="24" t="s">
        <v>46</v>
      </c>
      <c r="C55" s="24"/>
      <c r="D55" s="55"/>
      <c r="E55" s="32"/>
      <c r="F55" s="32">
        <f>'[1]P&amp;L Assistant'!E36*0.2</f>
        <v>4928.6000000000004</v>
      </c>
    </row>
    <row r="56" spans="2:6" ht="15.6">
      <c r="B56" s="11" t="s">
        <v>47</v>
      </c>
      <c r="C56" s="11"/>
      <c r="D56" s="63"/>
      <c r="E56" s="34"/>
      <c r="F56" s="34">
        <f>SUM(F54:F55)</f>
        <v>73872.667177304742</v>
      </c>
    </row>
    <row r="57" spans="2:6" ht="4.5" customHeight="1">
      <c r="B57" s="13"/>
      <c r="C57" s="13"/>
      <c r="D57" s="55"/>
      <c r="E57" s="32"/>
      <c r="F57" s="32"/>
    </row>
    <row r="58" spans="2:6" ht="15.6">
      <c r="B58" s="25" t="s">
        <v>48</v>
      </c>
      <c r="C58" s="25"/>
      <c r="D58" s="26"/>
      <c r="E58" s="39"/>
      <c r="F58" s="39">
        <f>F51-F56</f>
        <v>69983.931610620988</v>
      </c>
    </row>
    <row r="59" spans="2:6" ht="4.5" customHeight="1">
      <c r="B59" s="13"/>
      <c r="C59" s="13"/>
      <c r="D59" s="27"/>
      <c r="E59" s="40"/>
      <c r="F59" s="40"/>
    </row>
    <row r="60" spans="2:6" ht="15.6" hidden="1">
      <c r="B60" s="17" t="s">
        <v>49</v>
      </c>
      <c r="C60" s="17"/>
      <c r="D60" s="27"/>
      <c r="E60" s="40"/>
      <c r="F60" s="40"/>
    </row>
    <row r="61" spans="2:6" hidden="1">
      <c r="B61" s="7" t="s">
        <v>50</v>
      </c>
      <c r="C61" s="7"/>
      <c r="D61" s="8"/>
      <c r="E61" s="32"/>
      <c r="F61" s="32">
        <f>'[1]P&amp;L Assistant'!E68</f>
        <v>5100</v>
      </c>
    </row>
    <row r="62" spans="2:6" hidden="1">
      <c r="B62" s="7" t="s">
        <v>51</v>
      </c>
      <c r="C62" s="7"/>
      <c r="D62" s="8"/>
      <c r="E62" s="32"/>
      <c r="F62" s="32">
        <f>'[1]P&amp;L Assistant'!E75+'[1]P&amp;L Assistant'!E76</f>
        <v>-969.77100896212175</v>
      </c>
    </row>
    <row r="63" spans="2:6" hidden="1">
      <c r="B63" s="7" t="s">
        <v>52</v>
      </c>
      <c r="C63" s="7"/>
      <c r="D63" s="8"/>
      <c r="E63" s="32"/>
      <c r="F63" s="32">
        <f>'[1]P&amp;L Assistant'!E72+'[1]P&amp;L Assistant'!E77</f>
        <v>135.06475341620609</v>
      </c>
    </row>
    <row r="64" spans="2:6" hidden="1">
      <c r="B64" s="7" t="s">
        <v>53</v>
      </c>
      <c r="C64" s="7"/>
      <c r="D64" s="8"/>
      <c r="E64" s="32"/>
      <c r="F64" s="32">
        <f>'[1]P&amp;L Assistant'!E73+'[1]P&amp;L Assistant'!E78</f>
        <v>3160.5456271080329</v>
      </c>
    </row>
    <row r="65" spans="2:6" hidden="1">
      <c r="B65" s="7" t="s">
        <v>54</v>
      </c>
      <c r="C65" s="7"/>
      <c r="D65" s="8"/>
      <c r="E65" s="32"/>
      <c r="F65" s="32">
        <f>'[1]P&amp;L Assistant'!E69+'[1]P&amp;L Assistant'!E74</f>
        <v>1414.4309267168258</v>
      </c>
    </row>
    <row r="66" spans="2:6" ht="15.6">
      <c r="B66" s="11" t="s">
        <v>55</v>
      </c>
      <c r="C66" s="11"/>
      <c r="D66" s="8"/>
      <c r="E66" s="32"/>
      <c r="F66" s="32">
        <f>SUM(F61:F65)</f>
        <v>8840.2702982789433</v>
      </c>
    </row>
    <row r="67" spans="2:6" ht="4.5" customHeight="1" thickBot="1">
      <c r="B67" s="13"/>
      <c r="C67" s="13"/>
      <c r="D67" s="27"/>
      <c r="E67" s="40"/>
      <c r="F67" s="40"/>
    </row>
    <row r="68" spans="2:6" ht="18.75" thickBot="1">
      <c r="B68" s="28" t="s">
        <v>56</v>
      </c>
      <c r="C68" s="28"/>
      <c r="D68" s="61"/>
      <c r="E68" s="41"/>
      <c r="F68" s="41">
        <f>F58+F66</f>
        <v>78824.201908899937</v>
      </c>
    </row>
    <row r="69" spans="2:6">
      <c r="B69" s="42"/>
      <c r="C69" s="42"/>
      <c r="D69" s="42"/>
      <c r="E69" s="42"/>
      <c r="F69" s="42"/>
    </row>
    <row r="70" spans="2:6">
      <c r="B70" s="43"/>
      <c r="C70" s="43"/>
      <c r="D70" s="43"/>
      <c r="E70" s="43"/>
      <c r="F70" s="43"/>
    </row>
    <row r="71" spans="2:6">
      <c r="B71" s="44"/>
      <c r="C71" s="44"/>
      <c r="D71" s="44"/>
      <c r="E71" s="44"/>
      <c r="F71" s="44"/>
    </row>
    <row r="72" spans="2:6">
      <c r="B72" s="44"/>
      <c r="C72" s="44"/>
      <c r="D72" s="44"/>
      <c r="E72" s="44"/>
      <c r="F72" s="44"/>
    </row>
    <row r="73" spans="2:6" ht="14.45" customHeight="1">
      <c r="B73" s="43"/>
      <c r="C73" s="43"/>
      <c r="D73" s="43"/>
      <c r="E73" s="43"/>
      <c r="F73" s="43"/>
    </row>
    <row r="74" spans="2:6">
      <c r="B74" s="43"/>
      <c r="C74" s="43"/>
      <c r="D74" s="43"/>
      <c r="E74" s="43"/>
      <c r="F74" s="43"/>
    </row>
    <row r="75" spans="2:6">
      <c r="B75" s="43"/>
      <c r="C75" s="43"/>
      <c r="D75" s="43"/>
      <c r="E75" s="43"/>
      <c r="F75" s="43"/>
    </row>
    <row r="76" spans="2:6">
      <c r="B76" s="137"/>
      <c r="C76" s="137"/>
      <c r="D76" s="137"/>
      <c r="E76" s="137"/>
      <c r="F76" s="137"/>
    </row>
    <row r="77" spans="2:6">
      <c r="B77" s="137"/>
      <c r="C77" s="137"/>
      <c r="D77" s="137"/>
      <c r="E77" s="137"/>
      <c r="F77" s="137"/>
    </row>
  </sheetData>
  <mergeCells count="4">
    <mergeCell ref="B76:F77"/>
    <mergeCell ref="C2:F2"/>
    <mergeCell ref="C3:F3"/>
    <mergeCell ref="C4:F4"/>
  </mergeCells>
  <conditionalFormatting sqref="D58:F58">
    <cfRule type="cellIs" dxfId="1" priority="1" operator="lessThan">
      <formula>0</formula>
    </cfRule>
  </conditionalFormatting>
  <conditionalFormatting sqref="D68:F68">
    <cfRule type="cellIs" dxfId="0" priority="2" operator="lessThan">
      <formula>0</formula>
    </cfRule>
  </conditionalFormatting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Anderson</dc:creator>
  <cp:keywords/>
  <dc:description/>
  <cp:lastModifiedBy>Rob Jones</cp:lastModifiedBy>
  <cp:revision/>
  <dcterms:created xsi:type="dcterms:W3CDTF">2026-06-12T20:26:37Z</dcterms:created>
  <dcterms:modified xsi:type="dcterms:W3CDTF">2026-09-02T21:00:15Z</dcterms:modified>
  <cp:category/>
  <cp:contentStatus/>
</cp:coreProperties>
</file>