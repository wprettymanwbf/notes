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ntroller\PROJECTS\Acquistion\Highland Computer Forms\3. Dataroom\3. Financial\3.6 Inventory\"/>
    </mc:Choice>
  </mc:AlternateContent>
  <xr:revisionPtr revIDLastSave="0" documentId="8_{ECA618B9-8761-4689-8F6C-89785BE96CC9}" xr6:coauthVersionLast="47" xr6:coauthVersionMax="47" xr10:uidLastSave="{00000000-0000-0000-0000-000000000000}"/>
  <bookViews>
    <workbookView xWindow="57480" yWindow="-120" windowWidth="29040" windowHeight="15720" xr2:uid="{5B6E4E66-2C6A-4C7A-B0CE-944DF18BE5F3}"/>
  </bookViews>
  <sheets>
    <sheet name="Sheet1" sheetId="1" r:id="rId1"/>
  </sheets>
  <definedNames>
    <definedName name="_xlnm._FilterDatabase" localSheetId="0" hidden="1">Sheet1!$A$2:$H$2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H3" i="1"/>
  <c r="G3" i="1"/>
</calcChain>
</file>

<file path=xl/sharedStrings.xml><?xml version="1.0" encoding="utf-8"?>
<sst xmlns="http://schemas.openxmlformats.org/spreadsheetml/2006/main" count="174" uniqueCount="104">
  <si>
    <t>B4336</t>
  </si>
  <si>
    <t>B4338</t>
  </si>
  <si>
    <t>B5661</t>
  </si>
  <si>
    <t>B6003</t>
  </si>
  <si>
    <t>B7699</t>
  </si>
  <si>
    <t>B8303</t>
  </si>
  <si>
    <t>B8676</t>
  </si>
  <si>
    <t>C2331</t>
  </si>
  <si>
    <t>C2447</t>
  </si>
  <si>
    <t>TYVEK/S730/50#SCK</t>
  </si>
  <si>
    <t>60#GLOSS/AT2550/40#</t>
  </si>
  <si>
    <t>C2499</t>
  </si>
  <si>
    <t>C2621</t>
  </si>
  <si>
    <t>C2708</t>
  </si>
  <si>
    <t>C2766</t>
  </si>
  <si>
    <t>C2779</t>
  </si>
  <si>
    <t xml:space="preserve">MSI </t>
  </si>
  <si>
    <t>04/28/26</t>
  </si>
  <si>
    <t>05/04/26</t>
  </si>
  <si>
    <t>07/17/26</t>
  </si>
  <si>
    <t>05/22/26</t>
  </si>
  <si>
    <t>05/30/26</t>
  </si>
  <si>
    <t>04/30/26</t>
  </si>
  <si>
    <t xml:space="preserve"> 1.66300</t>
  </si>
  <si>
    <t xml:space="preserve"> 0.52900</t>
  </si>
  <si>
    <t xml:space="preserve">0.51700 </t>
  </si>
  <si>
    <t xml:space="preserve">0.49200 </t>
  </si>
  <si>
    <t xml:space="preserve">0.43100 </t>
  </si>
  <si>
    <t xml:space="preserve">0.51300 </t>
  </si>
  <si>
    <t xml:space="preserve">0.44200 </t>
  </si>
  <si>
    <t xml:space="preserve">1.11700 </t>
  </si>
  <si>
    <t xml:space="preserve">1.20900 </t>
  </si>
  <si>
    <t xml:space="preserve">0.38200 </t>
  </si>
  <si>
    <t xml:space="preserve">0.35400 </t>
  </si>
  <si>
    <t xml:space="preserve">0.41300 </t>
  </si>
  <si>
    <t xml:space="preserve">0.62900 </t>
  </si>
  <si>
    <t xml:space="preserve">0.50600 </t>
  </si>
  <si>
    <t xml:space="preserve">0.35200 </t>
  </si>
  <si>
    <t xml:space="preserve">1.85100 </t>
  </si>
  <si>
    <t xml:space="preserve">1.36100 </t>
  </si>
  <si>
    <t xml:space="preserve">0.96000 </t>
  </si>
  <si>
    <t xml:space="preserve">1.80000 </t>
  </si>
  <si>
    <t xml:space="preserve">0.84600 </t>
  </si>
  <si>
    <t xml:space="preserve">1.72600 </t>
  </si>
  <si>
    <t xml:space="preserve">3.55600 </t>
  </si>
  <si>
    <t xml:space="preserve">0.48000 </t>
  </si>
  <si>
    <t xml:space="preserve">0.89200 </t>
  </si>
  <si>
    <t xml:space="preserve">3.43800 </t>
  </si>
  <si>
    <t xml:space="preserve">1.13100 </t>
  </si>
  <si>
    <t xml:space="preserve">0.69900 </t>
  </si>
  <si>
    <t xml:space="preserve">1.26600 </t>
  </si>
  <si>
    <t xml:space="preserve">0.46300 </t>
  </si>
  <si>
    <t xml:space="preserve">1.46600 </t>
  </si>
  <si>
    <t xml:space="preserve">2.65900 </t>
  </si>
  <si>
    <t xml:space="preserve">1.10200 </t>
  </si>
  <si>
    <t xml:space="preserve">0.43000 </t>
  </si>
  <si>
    <t xml:space="preserve">0.40700 </t>
  </si>
  <si>
    <t xml:space="preserve">0.36500 </t>
  </si>
  <si>
    <t>DISSOLVABLE FSC/S2600/40#</t>
  </si>
  <si>
    <t>TT1C FSC/R5195/40#SCK</t>
  </si>
  <si>
    <t>50# DSX FSC/R5195/50#CK</t>
  </si>
  <si>
    <t>60# ARCHIVAL SG FSC/R5195/41#LF</t>
  </si>
  <si>
    <t>LCJ300 FSC/S9010N/46#LF</t>
  </si>
  <si>
    <t>SF 50#DSX FSC/S9010N/45#BK</t>
  </si>
  <si>
    <t>54# SG LASER FSC/S2501/53#LF</t>
  </si>
  <si>
    <t>DEMANDJET 500HG FSC/AT20/40#SCK</t>
  </si>
  <si>
    <t>DEMANDJET500HG FSC/S2501/40#SCK</t>
  </si>
  <si>
    <t>7PT C1S THERMAL TRANSFER FSC</t>
  </si>
  <si>
    <t>SF TTC FSC/S2550/40#SCK</t>
  </si>
  <si>
    <t>TT FSC/S2550/40#SCK</t>
  </si>
  <si>
    <t>DT 200HD RX PF FSC/S2501/40#</t>
  </si>
  <si>
    <t>SF 50# DSX FSC/AT2550/50#CK</t>
  </si>
  <si>
    <t>2M WH PRT PET/R143/50#SCK</t>
  </si>
  <si>
    <t>2M WH PET TC/S333/50#SCK ABC</t>
  </si>
  <si>
    <t>3.0M SYN PAPER/S333/50#SCK</t>
  </si>
  <si>
    <t>TTC FSC/AT2550/40#CK</t>
  </si>
  <si>
    <t>2M WH PET TC/S8015/50#SCK</t>
  </si>
  <si>
    <t>3MIL MATTE WH BOPP TC/AT20/40#SCK</t>
  </si>
  <si>
    <t>2M CL PET TC/S8025/50#SCK</t>
  </si>
  <si>
    <t>3.0M SYN PAPER/S8001/50#SCK</t>
  </si>
  <si>
    <t>MAT LITHO FSC/AT2550/40# SCK</t>
  </si>
  <si>
    <t>TT1C FSC PB/S2550/40#SCK</t>
  </si>
  <si>
    <t>2M VOID PET WH TC/S8015A/50#SCK</t>
  </si>
  <si>
    <t>TT2C FSC/LP1000/40#SCK</t>
  </si>
  <si>
    <t>2.3M WH BOPP TC/AT2550/1.2M PET</t>
  </si>
  <si>
    <t>80# ESTATE #8 WS FSC/Z2010B/1.2M PET</t>
  </si>
  <si>
    <t>DT 300LD PF FSC/S2550/40#SCK</t>
  </si>
  <si>
    <t>4M FLEX TCL/S4650/50#SCK</t>
  </si>
  <si>
    <t>DT DISSOLVE PF/S2600/40#</t>
  </si>
  <si>
    <t>2.3 MIL WH BOPP TC2000/S6650/50# SCK</t>
  </si>
  <si>
    <t>DT200GP PF FSC/AT2550/40#SCK</t>
  </si>
  <si>
    <t>60#SGE FSC/AT2550/1.2M PET</t>
  </si>
  <si>
    <t>DT 300LD PF FSC/AT2550/40#SCK</t>
  </si>
  <si>
    <t>Price Update List as of 9/1/2026</t>
  </si>
  <si>
    <t>AVERY</t>
  </si>
  <si>
    <t>Spec</t>
  </si>
  <si>
    <t>Product</t>
  </si>
  <si>
    <t>Quoted Price</t>
  </si>
  <si>
    <t>Effectice Date</t>
  </si>
  <si>
    <t>UOM</t>
  </si>
  <si>
    <t>Acquistion Price</t>
  </si>
  <si>
    <t>Wise Price</t>
  </si>
  <si>
    <t>Diff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</si>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</sst>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9" fontId="0" fillId="0" borderId="0" xfId="1" applyFont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287F-70F2-45CE-9DA3-3A2E25A0FA5F}">
  <dimension ref="A1:H39"/>
  <sheetViews>
    <sheetView tabSelected="1" workbookViewId="0">
      <selection activeCell="C11" sqref="C11"/>
    </sheetView>
  </sheetViews>
  <sheetFormatPr defaultRowHeight="15" x14ac:dyDescent="0.25"/>
  <cols>
    <col min="1" max="1" width="9.5703125" customWidth="1"/>
    <col min="2" max="2" width="36.140625" customWidth="1"/>
    <col min="3" max="3" width="12.42578125" customWidth="1"/>
    <col min="4" max="4" width="15.7109375" customWidth="1"/>
    <col min="5" max="5" width="19.28515625" customWidth="1"/>
    <col min="6" max="6" width="16.5703125" customWidth="1"/>
  </cols>
  <sheetData>
    <row r="1" spans="1:8" x14ac:dyDescent="0.25">
      <c r="A1" s="2" t="s">
        <v>93</v>
      </c>
      <c r="C1" s="4" t="s">
        <v>94</v>
      </c>
      <c r="E1" t="s">
        <v>100</v>
      </c>
      <c r="F1" s="6" t="s">
        <v>101</v>
      </c>
    </row>
    <row r="2" spans="1:8" x14ac:dyDescent="0.25">
      <c r="A2" s="2" t="s">
        <v>95</v>
      </c>
      <c r="B2" s="2" t="s">
        <v>96</v>
      </c>
      <c r="C2" s="2" t="s">
        <v>99</v>
      </c>
      <c r="D2" s="2" t="s">
        <v>98</v>
      </c>
      <c r="E2" s="3" t="s">
        <v>97</v>
      </c>
      <c r="F2" s="3" t="s">
        <v>97</v>
      </c>
      <c r="G2" s="8" t="s">
        <v>102</v>
      </c>
      <c r="H2" s="8" t="s">
        <v>103</v>
      </c>
    </row>
    <row r="3" spans="1:8" x14ac:dyDescent="0.25">
      <c r="A3" s="1">
        <v>15666</v>
      </c>
      <c r="B3" t="s">
        <v>58</v>
      </c>
      <c r="C3" t="s">
        <v>16</v>
      </c>
      <c r="D3" t="s">
        <v>17</v>
      </c>
      <c r="E3" t="s">
        <v>23</v>
      </c>
      <c r="F3" s="5"/>
      <c r="G3">
        <f>E3-F3</f>
        <v>1.663</v>
      </c>
      <c r="H3" s="7">
        <f>E3-F3/1</f>
        <v>1.663</v>
      </c>
    </row>
    <row r="4" spans="1:8" x14ac:dyDescent="0.25">
      <c r="A4" s="1">
        <v>18327</v>
      </c>
      <c r="B4" t="s">
        <v>59</v>
      </c>
      <c r="C4" t="s">
        <v>16</v>
      </c>
      <c r="D4" t="s">
        <v>18</v>
      </c>
      <c r="E4" t="s">
        <v>24</v>
      </c>
      <c r="F4" s="5"/>
      <c r="G4">
        <f t="shared" ref="G4:G39" si="0">E4-F4</f>
        <v>0.52900000000000003</v>
      </c>
      <c r="H4" s="7">
        <f t="shared" ref="H4:H39" si="1">E4-F4/1</f>
        <v>0.52900000000000003</v>
      </c>
    </row>
    <row r="5" spans="1:8" x14ac:dyDescent="0.25">
      <c r="A5" s="1">
        <v>18329</v>
      </c>
      <c r="B5" t="s">
        <v>60</v>
      </c>
      <c r="C5" t="s">
        <v>16</v>
      </c>
      <c r="D5" t="s">
        <v>18</v>
      </c>
      <c r="E5" t="s">
        <v>25</v>
      </c>
      <c r="F5" s="5"/>
      <c r="G5">
        <f t="shared" si="0"/>
        <v>0.51700000000000002</v>
      </c>
      <c r="H5" s="7">
        <f t="shared" si="1"/>
        <v>0.51700000000000002</v>
      </c>
    </row>
    <row r="6" spans="1:8" x14ac:dyDescent="0.25">
      <c r="A6" s="1">
        <v>18559</v>
      </c>
      <c r="B6" t="s">
        <v>61</v>
      </c>
      <c r="C6" t="s">
        <v>16</v>
      </c>
      <c r="D6" t="s">
        <v>18</v>
      </c>
      <c r="E6" t="s">
        <v>26</v>
      </c>
      <c r="F6" s="5"/>
      <c r="G6">
        <f t="shared" si="0"/>
        <v>0.49199999999999999</v>
      </c>
      <c r="H6" s="7">
        <f t="shared" si="1"/>
        <v>0.49199999999999999</v>
      </c>
    </row>
    <row r="7" spans="1:8" x14ac:dyDescent="0.25">
      <c r="A7" s="1">
        <v>18884</v>
      </c>
      <c r="B7" t="s">
        <v>62</v>
      </c>
      <c r="C7" t="s">
        <v>16</v>
      </c>
      <c r="D7" t="s">
        <v>18</v>
      </c>
      <c r="E7" t="s">
        <v>27</v>
      </c>
      <c r="F7" s="5"/>
      <c r="G7">
        <f t="shared" si="0"/>
        <v>0.43099999999999999</v>
      </c>
      <c r="H7" s="7">
        <f t="shared" si="1"/>
        <v>0.43099999999999999</v>
      </c>
    </row>
    <row r="8" spans="1:8" x14ac:dyDescent="0.25">
      <c r="A8" s="1">
        <v>19046</v>
      </c>
      <c r="B8" t="s">
        <v>63</v>
      </c>
      <c r="C8" t="s">
        <v>16</v>
      </c>
      <c r="D8" t="s">
        <v>18</v>
      </c>
      <c r="E8" t="s">
        <v>28</v>
      </c>
      <c r="F8" s="5"/>
      <c r="G8">
        <f t="shared" si="0"/>
        <v>0.51300000000000001</v>
      </c>
      <c r="H8" s="7">
        <f t="shared" si="1"/>
        <v>0.51300000000000001</v>
      </c>
    </row>
    <row r="9" spans="1:8" x14ac:dyDescent="0.25">
      <c r="A9" s="1">
        <v>53057</v>
      </c>
      <c r="B9" t="s">
        <v>64</v>
      </c>
      <c r="C9" t="s">
        <v>16</v>
      </c>
      <c r="D9" t="s">
        <v>18</v>
      </c>
      <c r="E9" t="s">
        <v>29</v>
      </c>
      <c r="F9" s="5"/>
      <c r="G9">
        <f t="shared" si="0"/>
        <v>0.442</v>
      </c>
      <c r="H9" s="7">
        <f t="shared" si="1"/>
        <v>0.442</v>
      </c>
    </row>
    <row r="10" spans="1:8" x14ac:dyDescent="0.25">
      <c r="A10" s="1">
        <v>53109</v>
      </c>
      <c r="B10" t="s">
        <v>65</v>
      </c>
      <c r="C10" t="s">
        <v>16</v>
      </c>
      <c r="D10" t="s">
        <v>18</v>
      </c>
      <c r="E10" t="s">
        <v>30</v>
      </c>
      <c r="F10" s="5"/>
      <c r="G10">
        <f t="shared" si="0"/>
        <v>1.117</v>
      </c>
      <c r="H10" s="7">
        <f t="shared" si="1"/>
        <v>1.117</v>
      </c>
    </row>
    <row r="11" spans="1:8" x14ac:dyDescent="0.25">
      <c r="A11" s="1">
        <v>53110</v>
      </c>
      <c r="B11" t="s">
        <v>66</v>
      </c>
      <c r="C11" t="s">
        <v>16</v>
      </c>
      <c r="D11" t="s">
        <v>18</v>
      </c>
      <c r="E11" t="s">
        <v>31</v>
      </c>
      <c r="F11" s="5"/>
      <c r="G11">
        <f t="shared" si="0"/>
        <v>1.2090000000000001</v>
      </c>
      <c r="H11" s="7">
        <f t="shared" si="1"/>
        <v>1.2090000000000001</v>
      </c>
    </row>
    <row r="12" spans="1:8" x14ac:dyDescent="0.25">
      <c r="A12" s="1">
        <v>53753</v>
      </c>
      <c r="B12" t="s">
        <v>67</v>
      </c>
      <c r="C12" t="s">
        <v>16</v>
      </c>
      <c r="D12" t="s">
        <v>19</v>
      </c>
      <c r="E12" t="s">
        <v>32</v>
      </c>
      <c r="F12" s="5"/>
      <c r="G12">
        <f t="shared" si="0"/>
        <v>0.38200000000000001</v>
      </c>
      <c r="H12" s="7">
        <f t="shared" si="1"/>
        <v>0.38200000000000001</v>
      </c>
    </row>
    <row r="13" spans="1:8" x14ac:dyDescent="0.25">
      <c r="A13" s="1">
        <v>53870</v>
      </c>
      <c r="B13" t="s">
        <v>68</v>
      </c>
      <c r="C13" t="s">
        <v>16</v>
      </c>
      <c r="D13" t="s">
        <v>18</v>
      </c>
      <c r="E13" t="s">
        <v>33</v>
      </c>
      <c r="F13" s="5"/>
      <c r="G13">
        <f t="shared" si="0"/>
        <v>0.35399999999999998</v>
      </c>
      <c r="H13" s="7">
        <f t="shared" si="1"/>
        <v>0.35399999999999998</v>
      </c>
    </row>
    <row r="14" spans="1:8" x14ac:dyDescent="0.25">
      <c r="A14" s="1">
        <v>53872</v>
      </c>
      <c r="B14" t="s">
        <v>69</v>
      </c>
      <c r="C14" t="s">
        <v>16</v>
      </c>
      <c r="D14" t="s">
        <v>18</v>
      </c>
      <c r="E14" t="s">
        <v>34</v>
      </c>
      <c r="F14" s="5"/>
      <c r="G14">
        <f t="shared" si="0"/>
        <v>0.41299999999999998</v>
      </c>
      <c r="H14" s="7">
        <f t="shared" si="1"/>
        <v>0.41299999999999998</v>
      </c>
    </row>
    <row r="15" spans="1:8" x14ac:dyDescent="0.25">
      <c r="A15" s="1">
        <v>54247</v>
      </c>
      <c r="B15" t="s">
        <v>70</v>
      </c>
      <c r="C15" t="s">
        <v>16</v>
      </c>
      <c r="D15" t="s">
        <v>18</v>
      </c>
      <c r="E15" t="s">
        <v>35</v>
      </c>
      <c r="F15" s="5"/>
      <c r="G15">
        <f t="shared" si="0"/>
        <v>0.629</v>
      </c>
      <c r="H15" s="7">
        <f t="shared" si="1"/>
        <v>0.629</v>
      </c>
    </row>
    <row r="16" spans="1:8" x14ac:dyDescent="0.25">
      <c r="A16" s="1">
        <v>54296</v>
      </c>
      <c r="B16" t="s">
        <v>71</v>
      </c>
      <c r="C16" t="s">
        <v>16</v>
      </c>
      <c r="D16" t="s">
        <v>18</v>
      </c>
      <c r="E16" t="s">
        <v>36</v>
      </c>
      <c r="F16" s="5"/>
      <c r="G16">
        <f t="shared" si="0"/>
        <v>0.50600000000000001</v>
      </c>
      <c r="H16" s="7">
        <f t="shared" si="1"/>
        <v>0.50600000000000001</v>
      </c>
    </row>
    <row r="17" spans="1:8" x14ac:dyDescent="0.25">
      <c r="A17" s="1">
        <v>54314</v>
      </c>
      <c r="B17" t="s">
        <v>75</v>
      </c>
      <c r="C17" t="s">
        <v>16</v>
      </c>
      <c r="D17" t="s">
        <v>18</v>
      </c>
      <c r="E17" t="s">
        <v>37</v>
      </c>
      <c r="F17" s="5"/>
      <c r="G17">
        <f t="shared" si="0"/>
        <v>0.35199999999999998</v>
      </c>
      <c r="H17" s="7">
        <f t="shared" si="1"/>
        <v>0.35199999999999998</v>
      </c>
    </row>
    <row r="18" spans="1:8" x14ac:dyDescent="0.25">
      <c r="A18" s="1">
        <v>71055</v>
      </c>
      <c r="B18" t="s">
        <v>72</v>
      </c>
      <c r="C18" t="s">
        <v>16</v>
      </c>
      <c r="D18" t="s">
        <v>18</v>
      </c>
      <c r="E18" t="s">
        <v>38</v>
      </c>
      <c r="F18" s="5"/>
      <c r="G18">
        <f t="shared" si="0"/>
        <v>1.851</v>
      </c>
      <c r="H18" s="7">
        <f t="shared" si="1"/>
        <v>1.851</v>
      </c>
    </row>
    <row r="19" spans="1:8" x14ac:dyDescent="0.25">
      <c r="A19" s="1">
        <v>72825</v>
      </c>
      <c r="B19" t="s">
        <v>73</v>
      </c>
      <c r="C19" t="s">
        <v>16</v>
      </c>
      <c r="D19" t="s">
        <v>18</v>
      </c>
      <c r="E19" t="s">
        <v>39</v>
      </c>
      <c r="F19" s="5"/>
      <c r="G19">
        <f t="shared" si="0"/>
        <v>1.361</v>
      </c>
      <c r="H19" s="7">
        <f t="shared" si="1"/>
        <v>1.361</v>
      </c>
    </row>
    <row r="20" spans="1:8" x14ac:dyDescent="0.25">
      <c r="A20" s="1">
        <v>75570</v>
      </c>
      <c r="B20" t="s">
        <v>74</v>
      </c>
      <c r="C20" t="s">
        <v>16</v>
      </c>
      <c r="D20" t="s">
        <v>18</v>
      </c>
      <c r="E20" t="s">
        <v>40</v>
      </c>
      <c r="F20" s="5"/>
      <c r="G20">
        <f t="shared" si="0"/>
        <v>0.96</v>
      </c>
      <c r="H20" s="7">
        <f t="shared" si="1"/>
        <v>0.96</v>
      </c>
    </row>
    <row r="21" spans="1:8" x14ac:dyDescent="0.25">
      <c r="A21" s="1">
        <v>76656</v>
      </c>
      <c r="B21" t="s">
        <v>76</v>
      </c>
      <c r="C21" t="s">
        <v>16</v>
      </c>
      <c r="D21" t="s">
        <v>18</v>
      </c>
      <c r="E21" t="s">
        <v>41</v>
      </c>
      <c r="F21" s="5"/>
      <c r="G21">
        <f t="shared" si="0"/>
        <v>1.8</v>
      </c>
      <c r="H21" s="7">
        <f t="shared" si="1"/>
        <v>1.8</v>
      </c>
    </row>
    <row r="22" spans="1:8" x14ac:dyDescent="0.25">
      <c r="A22" s="1">
        <v>77609</v>
      </c>
      <c r="B22" t="s">
        <v>77</v>
      </c>
      <c r="C22" t="s">
        <v>16</v>
      </c>
      <c r="D22" t="s">
        <v>18</v>
      </c>
      <c r="E22" t="s">
        <v>42</v>
      </c>
      <c r="F22" s="5"/>
      <c r="G22">
        <f t="shared" si="0"/>
        <v>0.84599999999999997</v>
      </c>
      <c r="H22" s="7">
        <f t="shared" si="1"/>
        <v>0.84599999999999997</v>
      </c>
    </row>
    <row r="23" spans="1:8" x14ac:dyDescent="0.25">
      <c r="A23" s="1">
        <v>77921</v>
      </c>
      <c r="B23" t="s">
        <v>78</v>
      </c>
      <c r="C23" t="s">
        <v>16</v>
      </c>
      <c r="D23" t="s">
        <v>18</v>
      </c>
      <c r="E23" t="s">
        <v>43</v>
      </c>
      <c r="F23" s="5"/>
      <c r="G23">
        <f t="shared" si="0"/>
        <v>1.726</v>
      </c>
      <c r="H23" s="7">
        <f t="shared" si="1"/>
        <v>1.726</v>
      </c>
    </row>
    <row r="24" spans="1:8" x14ac:dyDescent="0.25">
      <c r="A24" s="1">
        <v>78401</v>
      </c>
      <c r="B24" t="s">
        <v>79</v>
      </c>
      <c r="C24" t="s">
        <v>16</v>
      </c>
      <c r="D24" t="s">
        <v>18</v>
      </c>
      <c r="E24" t="s">
        <v>40</v>
      </c>
      <c r="F24" s="5"/>
      <c r="G24">
        <f t="shared" si="0"/>
        <v>0.96</v>
      </c>
      <c r="H24" s="7">
        <f t="shared" si="1"/>
        <v>0.96</v>
      </c>
    </row>
    <row r="25" spans="1:8" x14ac:dyDescent="0.25">
      <c r="A25" s="1">
        <v>81628</v>
      </c>
      <c r="B25" t="s">
        <v>9</v>
      </c>
      <c r="C25" t="s">
        <v>16</v>
      </c>
      <c r="D25" t="s">
        <v>18</v>
      </c>
      <c r="E25" t="s">
        <v>44</v>
      </c>
      <c r="F25" s="5"/>
      <c r="G25">
        <f t="shared" si="0"/>
        <v>3.556</v>
      </c>
      <c r="H25" s="7">
        <f t="shared" si="1"/>
        <v>3.556</v>
      </c>
    </row>
    <row r="26" spans="1:8" x14ac:dyDescent="0.25">
      <c r="A26" s="1" t="s">
        <v>0</v>
      </c>
      <c r="B26" t="s">
        <v>80</v>
      </c>
      <c r="C26" t="s">
        <v>16</v>
      </c>
      <c r="D26" t="s">
        <v>20</v>
      </c>
      <c r="E26" t="s">
        <v>45</v>
      </c>
      <c r="F26" s="5"/>
      <c r="G26">
        <f t="shared" si="0"/>
        <v>0.48</v>
      </c>
      <c r="H26" s="7">
        <f t="shared" si="1"/>
        <v>0.48</v>
      </c>
    </row>
    <row r="27" spans="1:8" x14ac:dyDescent="0.25">
      <c r="A27" s="1" t="s">
        <v>1</v>
      </c>
      <c r="B27" t="s">
        <v>10</v>
      </c>
      <c r="C27" t="s">
        <v>16</v>
      </c>
      <c r="D27" t="s">
        <v>21</v>
      </c>
      <c r="E27" t="s">
        <v>45</v>
      </c>
      <c r="F27" s="5"/>
      <c r="G27">
        <f t="shared" si="0"/>
        <v>0.48</v>
      </c>
      <c r="H27" s="7">
        <f t="shared" si="1"/>
        <v>0.48</v>
      </c>
    </row>
    <row r="28" spans="1:8" x14ac:dyDescent="0.25">
      <c r="A28" s="1" t="s">
        <v>2</v>
      </c>
      <c r="B28" t="s">
        <v>81</v>
      </c>
      <c r="C28" t="s">
        <v>16</v>
      </c>
      <c r="D28" t="s">
        <v>18</v>
      </c>
      <c r="E28" t="s">
        <v>46</v>
      </c>
      <c r="F28" s="5"/>
      <c r="G28">
        <f t="shared" si="0"/>
        <v>0.89200000000000002</v>
      </c>
      <c r="H28" s="7">
        <f t="shared" si="1"/>
        <v>0.89200000000000002</v>
      </c>
    </row>
    <row r="29" spans="1:8" x14ac:dyDescent="0.25">
      <c r="A29" s="1" t="s">
        <v>3</v>
      </c>
      <c r="B29" t="s">
        <v>82</v>
      </c>
      <c r="C29" t="s">
        <v>16</v>
      </c>
      <c r="D29" t="s">
        <v>18</v>
      </c>
      <c r="E29" t="s">
        <v>47</v>
      </c>
      <c r="F29" s="5"/>
      <c r="G29">
        <f t="shared" si="0"/>
        <v>3.4380000000000002</v>
      </c>
      <c r="H29" s="7">
        <f t="shared" si="1"/>
        <v>3.4380000000000002</v>
      </c>
    </row>
    <row r="30" spans="1:8" x14ac:dyDescent="0.25">
      <c r="A30" s="1" t="s">
        <v>4</v>
      </c>
      <c r="B30" t="s">
        <v>83</v>
      </c>
      <c r="C30" t="s">
        <v>16</v>
      </c>
      <c r="D30" t="s">
        <v>18</v>
      </c>
      <c r="E30" t="s">
        <v>48</v>
      </c>
      <c r="F30" s="5"/>
      <c r="G30">
        <f t="shared" si="0"/>
        <v>1.131</v>
      </c>
      <c r="H30" s="7">
        <f t="shared" si="1"/>
        <v>1.131</v>
      </c>
    </row>
    <row r="31" spans="1:8" x14ac:dyDescent="0.25">
      <c r="A31" s="1" t="s">
        <v>5</v>
      </c>
      <c r="B31" t="s">
        <v>84</v>
      </c>
      <c r="C31" t="s">
        <v>16</v>
      </c>
      <c r="D31" t="s">
        <v>18</v>
      </c>
      <c r="E31" t="s">
        <v>49</v>
      </c>
      <c r="F31" s="5"/>
      <c r="G31">
        <f t="shared" si="0"/>
        <v>0.69899999999999995</v>
      </c>
      <c r="H31" s="7">
        <f t="shared" si="1"/>
        <v>0.69899999999999995</v>
      </c>
    </row>
    <row r="32" spans="1:8" x14ac:dyDescent="0.25">
      <c r="A32" s="1" t="s">
        <v>6</v>
      </c>
      <c r="B32" t="s">
        <v>85</v>
      </c>
      <c r="C32" t="s">
        <v>16</v>
      </c>
      <c r="D32" t="s">
        <v>18</v>
      </c>
      <c r="E32" t="s">
        <v>50</v>
      </c>
      <c r="F32" s="5"/>
      <c r="G32">
        <f t="shared" si="0"/>
        <v>1.266</v>
      </c>
      <c r="H32" s="7">
        <f t="shared" si="1"/>
        <v>1.266</v>
      </c>
    </row>
    <row r="33" spans="1:8" x14ac:dyDescent="0.25">
      <c r="A33" s="1" t="s">
        <v>7</v>
      </c>
      <c r="B33" t="s">
        <v>86</v>
      </c>
      <c r="C33" t="s">
        <v>16</v>
      </c>
      <c r="D33" t="s">
        <v>18</v>
      </c>
      <c r="E33" t="s">
        <v>51</v>
      </c>
      <c r="F33" s="5"/>
      <c r="G33">
        <f t="shared" si="0"/>
        <v>0.46300000000000002</v>
      </c>
      <c r="H33" s="7">
        <f t="shared" si="1"/>
        <v>0.46300000000000002</v>
      </c>
    </row>
    <row r="34" spans="1:8" x14ac:dyDescent="0.25">
      <c r="A34" s="1" t="s">
        <v>8</v>
      </c>
      <c r="B34" t="s">
        <v>87</v>
      </c>
      <c r="C34" t="s">
        <v>16</v>
      </c>
      <c r="D34" t="s">
        <v>18</v>
      </c>
      <c r="E34" t="s">
        <v>52</v>
      </c>
      <c r="F34" s="5"/>
      <c r="G34">
        <f t="shared" si="0"/>
        <v>1.466</v>
      </c>
      <c r="H34" s="7">
        <f t="shared" si="1"/>
        <v>1.466</v>
      </c>
    </row>
    <row r="35" spans="1:8" x14ac:dyDescent="0.25">
      <c r="A35" s="1" t="s">
        <v>11</v>
      </c>
      <c r="B35" t="s">
        <v>88</v>
      </c>
      <c r="C35" t="s">
        <v>16</v>
      </c>
      <c r="D35" t="s">
        <v>17</v>
      </c>
      <c r="E35" t="s">
        <v>53</v>
      </c>
      <c r="F35" s="5"/>
      <c r="G35">
        <f t="shared" si="0"/>
        <v>2.6589999999999998</v>
      </c>
      <c r="H35" s="7">
        <f t="shared" si="1"/>
        <v>2.6589999999999998</v>
      </c>
    </row>
    <row r="36" spans="1:8" x14ac:dyDescent="0.25">
      <c r="A36" t="s">
        <v>12</v>
      </c>
      <c r="B36" t="s">
        <v>89</v>
      </c>
      <c r="C36" t="s">
        <v>16</v>
      </c>
      <c r="D36" t="s">
        <v>18</v>
      </c>
      <c r="E36" t="s">
        <v>54</v>
      </c>
      <c r="F36" s="5"/>
      <c r="G36">
        <f t="shared" si="0"/>
        <v>1.1020000000000001</v>
      </c>
      <c r="H36" s="7">
        <f t="shared" si="1"/>
        <v>1.1020000000000001</v>
      </c>
    </row>
    <row r="37" spans="1:8" x14ac:dyDescent="0.25">
      <c r="A37" t="s">
        <v>13</v>
      </c>
      <c r="B37" t="s">
        <v>90</v>
      </c>
      <c r="C37" t="s">
        <v>16</v>
      </c>
      <c r="D37" t="s">
        <v>18</v>
      </c>
      <c r="E37" t="s">
        <v>55</v>
      </c>
      <c r="F37" s="5"/>
      <c r="G37">
        <f t="shared" si="0"/>
        <v>0.43</v>
      </c>
      <c r="H37" s="7">
        <f t="shared" si="1"/>
        <v>0.43</v>
      </c>
    </row>
    <row r="38" spans="1:8" x14ac:dyDescent="0.25">
      <c r="A38" t="s">
        <v>14</v>
      </c>
      <c r="B38" t="s">
        <v>91</v>
      </c>
      <c r="C38" t="s">
        <v>16</v>
      </c>
      <c r="D38" t="s">
        <v>21</v>
      </c>
      <c r="E38" t="s">
        <v>56</v>
      </c>
      <c r="F38" s="5"/>
      <c r="G38">
        <f t="shared" si="0"/>
        <v>0.40699999999999997</v>
      </c>
      <c r="H38" s="7">
        <f t="shared" si="1"/>
        <v>0.40699999999999997</v>
      </c>
    </row>
    <row r="39" spans="1:8" x14ac:dyDescent="0.25">
      <c r="A39" t="s">
        <v>15</v>
      </c>
      <c r="B39" t="s">
        <v>92</v>
      </c>
      <c r="C39" t="s">
        <v>16</v>
      </c>
      <c r="D39" t="s">
        <v>22</v>
      </c>
      <c r="E39" t="s">
        <v>57</v>
      </c>
      <c r="F39" s="5"/>
      <c r="G39">
        <f t="shared" si="0"/>
        <v>0.36499999999999999</v>
      </c>
      <c r="H39" s="7">
        <f t="shared" si="1"/>
        <v>0.36499999999999999</v>
      </c>
    </row>
  </sheetData>
  <autoFilter ref="A2:H2" xr:uid="{DDED287F-70F2-45CE-9DA3-3A2E25A0FA5F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Martin</dc:creator>
  <cp:lastModifiedBy>Holly Martin</cp:lastModifiedBy>
  <dcterms:created xsi:type="dcterms:W3CDTF">2026-09-24T12:26:13Z</dcterms:created>
  <dcterms:modified xsi:type="dcterms:W3CDTF">2026-09-24T12:42:24Z</dcterms:modified>
</cp:coreProperties>
</file>