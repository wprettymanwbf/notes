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wprettyman.WISENT\Documents\GitHub\notes\Highland-Computer-Forms\Wise-docs-notes\"/>
    </mc:Choice>
  </mc:AlternateContent>
  <xr:revisionPtr revIDLastSave="0" documentId="13_ncr:1_{59784F14-12D7-4F69-A846-D1CD2DB6F5CE}" xr6:coauthVersionLast="47" xr6:coauthVersionMax="47" xr10:uidLastSave="{00000000-0000-0000-0000-000000000000}"/>
  <bookViews>
    <workbookView xWindow="-120" yWindow="270" windowWidth="29040" windowHeight="15330" activeTab="10" xr2:uid="{00000000-000D-0000-FFFF-FFFF00000000}"/>
  </bookViews>
  <sheets>
    <sheet name="Synergies" sheetId="7" r:id="rId1"/>
    <sheet name="Pixlle" sheetId="8" r:id="rId2"/>
    <sheet name="26 EBITDA ADJ (2)" sheetId="9" r:id="rId3"/>
    <sheet name="26 EBITDA ADJ" sheetId="4" r:id="rId4"/>
    <sheet name="Pivot" sheetId="3" r:id="rId5"/>
    <sheet name="SORTED B VS P" sheetId="2" r:id="rId6"/>
    <sheet name="Fordyce TB" sheetId="10" r:id="rId7"/>
    <sheet name="Inv" sheetId="6" r:id="rId8"/>
    <sheet name="BS" sheetId="5" r:id="rId9"/>
    <sheet name="Sheet1" sheetId="1" r:id="rId10"/>
    <sheet name="Sheet2" sheetId="11" r:id="rId11"/>
  </sheets>
  <externalReferences>
    <externalReference r:id="rId12"/>
    <externalReference r:id="rId13"/>
    <externalReference r:id="rId14"/>
    <externalReference r:id="rId15"/>
  </externalReferences>
  <definedNames>
    <definedName name="_xlnm._FilterDatabase" localSheetId="5" hidden="1">'SORTED B VS P'!$A$1:$O$298</definedName>
  </definedNames>
  <calcPr calcId="191028"/>
  <pivotCaches>
    <pivotCache cacheId="1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1" l="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5" i="11"/>
  <c r="AI37" i="3"/>
  <c r="T17" i="3"/>
  <c r="S17" i="3"/>
  <c r="S14" i="3"/>
  <c r="T14" i="3"/>
  <c r="T10" i="3"/>
  <c r="T11" i="3"/>
  <c r="T13" i="3"/>
  <c r="S13" i="3"/>
  <c r="S11" i="3"/>
  <c r="AB11" i="3"/>
  <c r="AI45" i="3"/>
  <c r="H28" i="10"/>
  <c r="F7" i="10"/>
  <c r="F28" i="10" s="1"/>
  <c r="G6" i="10"/>
  <c r="G4" i="10"/>
  <c r="G3" i="10"/>
  <c r="G2" i="10"/>
  <c r="G28" i="10" s="1"/>
  <c r="AL22" i="3"/>
  <c r="AI34" i="3"/>
  <c r="AJ39" i="3"/>
  <c r="AI39" i="3"/>
  <c r="AI42" i="3" s="1"/>
  <c r="AJ34" i="3"/>
  <c r="AI32" i="3"/>
  <c r="AI36" i="3"/>
  <c r="AJ23" i="3"/>
  <c r="AI31" i="3"/>
  <c r="AI28" i="3"/>
  <c r="AI27" i="3"/>
  <c r="AI25" i="3"/>
  <c r="AI23" i="3"/>
  <c r="AH7" i="3"/>
  <c r="AH10" i="3"/>
  <c r="AH11" i="3"/>
  <c r="AH13" i="3"/>
  <c r="AG21" i="3"/>
  <c r="AH21" i="3"/>
  <c r="AG5" i="3"/>
  <c r="AI7" i="3"/>
  <c r="AI5" i="3"/>
  <c r="AI20" i="3"/>
  <c r="AI19" i="3"/>
  <c r="AI18" i="3"/>
  <c r="AI17" i="3"/>
  <c r="AI16" i="3"/>
  <c r="AI15" i="3"/>
  <c r="AI14" i="3"/>
  <c r="AI13" i="3"/>
  <c r="AI12" i="3"/>
  <c r="AI11" i="3"/>
  <c r="AI10" i="3"/>
  <c r="AI9" i="3"/>
  <c r="AI8" i="3"/>
  <c r="AI6" i="3"/>
  <c r="Z13" i="3"/>
  <c r="Z11" i="3"/>
  <c r="Z10" i="3"/>
  <c r="Z7" i="3"/>
  <c r="AH4" i="3"/>
  <c r="Q23" i="3"/>
  <c r="O22" i="3"/>
  <c r="Q22" i="3"/>
  <c r="AG19" i="3"/>
  <c r="AG20" i="3"/>
  <c r="AG7" i="3"/>
  <c r="AG8" i="3"/>
  <c r="AG9" i="3"/>
  <c r="AG10" i="3"/>
  <c r="AG11" i="3"/>
  <c r="AG12" i="3"/>
  <c r="AG13" i="3"/>
  <c r="AG14" i="3"/>
  <c r="AG15" i="3"/>
  <c r="AG16" i="3"/>
  <c r="AG17" i="3"/>
  <c r="AG6" i="3"/>
  <c r="AF21" i="3"/>
  <c r="AE6" i="3"/>
  <c r="AE28" i="3"/>
  <c r="AE27" i="3"/>
  <c r="AE26" i="3"/>
  <c r="AE25" i="3"/>
  <c r="AE8" i="3"/>
  <c r="AE9" i="3"/>
  <c r="AE10" i="3"/>
  <c r="AE12" i="3"/>
  <c r="AE15" i="3"/>
  <c r="AE16" i="3"/>
  <c r="AE18" i="3"/>
  <c r="AE19" i="3"/>
  <c r="AE20" i="3"/>
  <c r="AE5" i="3"/>
  <c r="AC37" i="3"/>
  <c r="AB37" i="3"/>
  <c r="AA37" i="3"/>
  <c r="AC38" i="3"/>
  <c r="AB38" i="3"/>
  <c r="AA38" i="3"/>
  <c r="AB46" i="3"/>
  <c r="AB48" i="3" s="1"/>
  <c r="AB44" i="3"/>
  <c r="AC27" i="3"/>
  <c r="AC26" i="3"/>
  <c r="AC25" i="3"/>
  <c r="AB25" i="3"/>
  <c r="AB40" i="3"/>
  <c r="AA40" i="3"/>
  <c r="AC40" i="3"/>
  <c r="AB42" i="3"/>
  <c r="AA42" i="3"/>
  <c r="AA25" i="3"/>
  <c r="AA28" i="3"/>
  <c r="AC28" i="3" s="1"/>
  <c r="AB28" i="3"/>
  <c r="AD26" i="3"/>
  <c r="AD27" i="3"/>
  <c r="S54" i="3"/>
  <c r="X21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5" i="3"/>
  <c r="AB18" i="3"/>
  <c r="AB5" i="3"/>
  <c r="T54" i="3"/>
  <c r="S53" i="3"/>
  <c r="U53" i="3" s="1"/>
  <c r="X53" i="3"/>
  <c r="Y18" i="3"/>
  <c r="AA18" i="3" s="1"/>
  <c r="AC18" i="3" s="1"/>
  <c r="S52" i="3"/>
  <c r="S51" i="3"/>
  <c r="S50" i="3"/>
  <c r="S49" i="3"/>
  <c r="S48" i="3"/>
  <c r="U52" i="3"/>
  <c r="U51" i="3"/>
  <c r="U50" i="3"/>
  <c r="U49" i="3"/>
  <c r="U48" i="3"/>
  <c r="X52" i="3"/>
  <c r="X51" i="3"/>
  <c r="X50" i="3"/>
  <c r="X49" i="3"/>
  <c r="X48" i="3"/>
  <c r="X45" i="3"/>
  <c r="X47" i="3"/>
  <c r="X46" i="3"/>
  <c r="AD21" i="3"/>
  <c r="T32" i="3"/>
  <c r="T39" i="3"/>
  <c r="U39" i="3" s="1"/>
  <c r="T30" i="3"/>
  <c r="S30" i="3"/>
  <c r="U30" i="3" s="1"/>
  <c r="T28" i="3"/>
  <c r="T37" i="3"/>
  <c r="U37" i="3" s="1"/>
  <c r="T34" i="3"/>
  <c r="U34" i="3" s="1"/>
  <c r="T35" i="3"/>
  <c r="U35" i="3" s="1"/>
  <c r="T36" i="3"/>
  <c r="U36" i="3" s="1"/>
  <c r="S29" i="3"/>
  <c r="U29" i="3" s="1"/>
  <c r="X30" i="3"/>
  <c r="X26" i="3"/>
  <c r="X27" i="3"/>
  <c r="X25" i="3"/>
  <c r="Y13" i="3"/>
  <c r="Y17" i="3"/>
  <c r="AA17" i="3" s="1"/>
  <c r="S16" i="3"/>
  <c r="Y16" i="3" s="1"/>
  <c r="AA16" i="3" s="1"/>
  <c r="S15" i="3"/>
  <c r="Y15" i="3" s="1"/>
  <c r="AA15" i="3" s="1"/>
  <c r="Y11" i="3"/>
  <c r="S10" i="3"/>
  <c r="Y10" i="3" s="1"/>
  <c r="AA10" i="3" s="1"/>
  <c r="S9" i="3"/>
  <c r="Y9" i="3" s="1"/>
  <c r="AA9" i="3" s="1"/>
  <c r="S8" i="3"/>
  <c r="Y8" i="3" s="1"/>
  <c r="AA8" i="3" s="1"/>
  <c r="AB17" i="3"/>
  <c r="Y14" i="3"/>
  <c r="AA14" i="3" s="1"/>
  <c r="AB14" i="3"/>
  <c r="S12" i="3"/>
  <c r="Y12" i="3" s="1"/>
  <c r="AA12" i="3" s="1"/>
  <c r="U11" i="3"/>
  <c r="S6" i="3"/>
  <c r="Y6" i="3" s="1"/>
  <c r="AA6" i="3" s="1"/>
  <c r="S7" i="3"/>
  <c r="Y7" i="3" s="1"/>
  <c r="AA7" i="3" s="1"/>
  <c r="S19" i="3"/>
  <c r="Y19" i="3" s="1"/>
  <c r="AA19" i="3" s="1"/>
  <c r="S20" i="3"/>
  <c r="Y20" i="3" s="1"/>
  <c r="AA20" i="3" s="1"/>
  <c r="S5" i="3"/>
  <c r="Y5" i="3" s="1"/>
  <c r="Y26" i="9"/>
  <c r="Y19" i="9"/>
  <c r="Y20" i="9"/>
  <c r="Y22" i="9"/>
  <c r="Y21" i="9"/>
  <c r="Y6" i="9"/>
  <c r="E24" i="3"/>
  <c r="O24" i="3"/>
  <c r="P24" i="3"/>
  <c r="N23" i="3"/>
  <c r="M23" i="3" s="1"/>
  <c r="N22" i="3"/>
  <c r="M22" i="3"/>
  <c r="L22" i="3"/>
  <c r="P22" i="3" s="1"/>
  <c r="Z1" i="9"/>
  <c r="Y1" i="9"/>
  <c r="X1" i="9"/>
  <c r="Y14" i="9"/>
  <c r="X26" i="9"/>
  <c r="Z26" i="9"/>
  <c r="X27" i="9"/>
  <c r="Y27" i="9"/>
  <c r="Z27" i="9"/>
  <c r="W6" i="9"/>
  <c r="X6" i="9"/>
  <c r="W11" i="9"/>
  <c r="W10" i="9"/>
  <c r="W10" i="4"/>
  <c r="W9" i="4"/>
  <c r="L25" i="9"/>
  <c r="L26" i="9" s="1"/>
  <c r="G8" i="7"/>
  <c r="G7" i="7"/>
  <c r="G5" i="7"/>
  <c r="F8" i="7"/>
  <c r="F7" i="7"/>
  <c r="J3" i="7"/>
  <c r="K3" i="7"/>
  <c r="G6" i="7" s="1"/>
  <c r="F5" i="7"/>
  <c r="M38" i="8"/>
  <c r="I16" i="8"/>
  <c r="E55" i="9"/>
  <c r="C49" i="9"/>
  <c r="B49" i="9"/>
  <c r="E45" i="9"/>
  <c r="D45" i="9"/>
  <c r="C45" i="9"/>
  <c r="B45" i="9"/>
  <c r="A43" i="9"/>
  <c r="E42" i="9"/>
  <c r="D42" i="9"/>
  <c r="C42" i="9"/>
  <c r="B42" i="9"/>
  <c r="A42" i="9"/>
  <c r="D41" i="9"/>
  <c r="B41" i="9"/>
  <c r="A41" i="9"/>
  <c r="E40" i="9"/>
  <c r="D40" i="9"/>
  <c r="D54" i="9" s="1"/>
  <c r="C40" i="9"/>
  <c r="C54" i="9" s="1"/>
  <c r="E54" i="9" s="1"/>
  <c r="B40" i="9"/>
  <c r="A40" i="9"/>
  <c r="E39" i="9"/>
  <c r="D39" i="9"/>
  <c r="C39" i="9"/>
  <c r="B39" i="9"/>
  <c r="A39" i="9"/>
  <c r="E38" i="9"/>
  <c r="D38" i="9"/>
  <c r="C38" i="9"/>
  <c r="B38" i="9"/>
  <c r="A38" i="9"/>
  <c r="E37" i="9"/>
  <c r="D37" i="9"/>
  <c r="C37" i="9"/>
  <c r="B37" i="9"/>
  <c r="A37" i="9"/>
  <c r="E36" i="9"/>
  <c r="D36" i="9"/>
  <c r="C36" i="9"/>
  <c r="C53" i="9" s="1"/>
  <c r="E53" i="9" s="1"/>
  <c r="B36" i="9"/>
  <c r="A36" i="9"/>
  <c r="E35" i="9"/>
  <c r="D35" i="9"/>
  <c r="C35" i="9"/>
  <c r="B35" i="9"/>
  <c r="A35" i="9"/>
  <c r="E34" i="9"/>
  <c r="D34" i="9"/>
  <c r="C34" i="9"/>
  <c r="C52" i="9" s="1"/>
  <c r="E52" i="9" s="1"/>
  <c r="B34" i="9"/>
  <c r="A34" i="9"/>
  <c r="A52" i="9" s="1"/>
  <c r="AB33" i="9"/>
  <c r="Y13" i="9" s="1"/>
  <c r="Z33" i="9"/>
  <c r="Y33" i="9"/>
  <c r="E33" i="9"/>
  <c r="D33" i="9"/>
  <c r="C33" i="9"/>
  <c r="C51" i="9" s="1"/>
  <c r="E51" i="9" s="1"/>
  <c r="B33" i="9"/>
  <c r="A33" i="9"/>
  <c r="E32" i="9"/>
  <c r="D32" i="9"/>
  <c r="C32" i="9"/>
  <c r="B32" i="9"/>
  <c r="A32" i="9"/>
  <c r="E31" i="9"/>
  <c r="D31" i="9"/>
  <c r="C31" i="9"/>
  <c r="B31" i="9"/>
  <c r="A31" i="9"/>
  <c r="E30" i="9"/>
  <c r="D30" i="9"/>
  <c r="C30" i="9"/>
  <c r="B30" i="9"/>
  <c r="A30" i="9"/>
  <c r="E29" i="9"/>
  <c r="D29" i="9"/>
  <c r="C29" i="9"/>
  <c r="B29" i="9"/>
  <c r="A29" i="9"/>
  <c r="E28" i="9"/>
  <c r="D28" i="9"/>
  <c r="C28" i="9"/>
  <c r="B28" i="9"/>
  <c r="A28" i="9"/>
  <c r="E27" i="9"/>
  <c r="D27" i="9"/>
  <c r="C27" i="9"/>
  <c r="B27" i="9"/>
  <c r="A27" i="9"/>
  <c r="F24" i="9"/>
  <c r="E24" i="9"/>
  <c r="D24" i="9"/>
  <c r="C24" i="9"/>
  <c r="B24" i="9"/>
  <c r="E23" i="9"/>
  <c r="D23" i="9"/>
  <c r="C23" i="9"/>
  <c r="B23" i="9"/>
  <c r="J22" i="9"/>
  <c r="J43" i="9" s="1"/>
  <c r="I22" i="9"/>
  <c r="I43" i="9" s="1"/>
  <c r="H22" i="9"/>
  <c r="H43" i="9" s="1"/>
  <c r="G22" i="9"/>
  <c r="G43" i="9" s="1"/>
  <c r="F22" i="9"/>
  <c r="R21" i="9"/>
  <c r="AD21" i="9" s="1"/>
  <c r="Q21" i="9"/>
  <c r="J21" i="9"/>
  <c r="J42" i="9" s="1"/>
  <c r="I21" i="9"/>
  <c r="I42" i="9" s="1"/>
  <c r="H21" i="9"/>
  <c r="H42" i="9" s="1"/>
  <c r="G21" i="9"/>
  <c r="G42" i="9" s="1"/>
  <c r="AE20" i="9"/>
  <c r="AD20" i="9"/>
  <c r="S20" i="9"/>
  <c r="Q20" i="9"/>
  <c r="J20" i="9"/>
  <c r="J41" i="9" s="1"/>
  <c r="I20" i="9"/>
  <c r="I41" i="9" s="1"/>
  <c r="H20" i="9"/>
  <c r="G20" i="9"/>
  <c r="G41" i="9" s="1"/>
  <c r="AE19" i="9"/>
  <c r="S19" i="9"/>
  <c r="R19" i="9"/>
  <c r="AD19" i="9" s="1"/>
  <c r="Q19" i="9"/>
  <c r="J19" i="9"/>
  <c r="J40" i="9" s="1"/>
  <c r="I19" i="9"/>
  <c r="I40" i="9" s="1"/>
  <c r="H19" i="9"/>
  <c r="H40" i="9" s="1"/>
  <c r="G19" i="9"/>
  <c r="G40" i="9" s="1"/>
  <c r="AE18" i="9"/>
  <c r="Z14" i="9"/>
  <c r="AA14" i="9" s="1"/>
  <c r="S18" i="9"/>
  <c r="R18" i="9"/>
  <c r="AD18" i="9" s="1"/>
  <c r="Q18" i="9"/>
  <c r="J18" i="9"/>
  <c r="J39" i="9" s="1"/>
  <c r="I18" i="9"/>
  <c r="I39" i="9" s="1"/>
  <c r="H18" i="9"/>
  <c r="H39" i="9" s="1"/>
  <c r="G18" i="9"/>
  <c r="G39" i="9" s="1"/>
  <c r="AE17" i="9"/>
  <c r="X15" i="9"/>
  <c r="Z15" i="9" s="1"/>
  <c r="AA15" i="9" s="1"/>
  <c r="S17" i="9"/>
  <c r="R17" i="9"/>
  <c r="AD17" i="9" s="1"/>
  <c r="Q17" i="9"/>
  <c r="J17" i="9"/>
  <c r="J38" i="9" s="1"/>
  <c r="I17" i="9"/>
  <c r="I38" i="9" s="1"/>
  <c r="H17" i="9"/>
  <c r="H38" i="9" s="1"/>
  <c r="G17" i="9"/>
  <c r="G38" i="9" s="1"/>
  <c r="AE16" i="9"/>
  <c r="S16" i="9"/>
  <c r="R16" i="9"/>
  <c r="AD16" i="9" s="1"/>
  <c r="Q16" i="9"/>
  <c r="J16" i="9"/>
  <c r="J37" i="9" s="1"/>
  <c r="I16" i="9"/>
  <c r="I37" i="9" s="1"/>
  <c r="H16" i="9"/>
  <c r="H37" i="9" s="1"/>
  <c r="G16" i="9"/>
  <c r="G37" i="9" s="1"/>
  <c r="AE15" i="9"/>
  <c r="S15" i="9"/>
  <c r="R15" i="9"/>
  <c r="AD15" i="9" s="1"/>
  <c r="Q15" i="9"/>
  <c r="J15" i="9"/>
  <c r="J36" i="9" s="1"/>
  <c r="I15" i="9"/>
  <c r="I36" i="9" s="1"/>
  <c r="H15" i="9"/>
  <c r="H36" i="9" s="1"/>
  <c r="G15" i="9"/>
  <c r="G36" i="9" s="1"/>
  <c r="AE14" i="9"/>
  <c r="S14" i="9"/>
  <c r="R14" i="9"/>
  <c r="AD14" i="9" s="1"/>
  <c r="Q14" i="9"/>
  <c r="J14" i="9"/>
  <c r="J35" i="9" s="1"/>
  <c r="I14" i="9"/>
  <c r="I35" i="9" s="1"/>
  <c r="H14" i="9"/>
  <c r="H35" i="9" s="1"/>
  <c r="G14" i="9"/>
  <c r="G35" i="9" s="1"/>
  <c r="AE13" i="9"/>
  <c r="S13" i="9"/>
  <c r="R13" i="9"/>
  <c r="AD13" i="9" s="1"/>
  <c r="Q13" i="9"/>
  <c r="J13" i="9"/>
  <c r="J34" i="9" s="1"/>
  <c r="I13" i="9"/>
  <c r="I34" i="9" s="1"/>
  <c r="H13" i="9"/>
  <c r="H34" i="9" s="1"/>
  <c r="G13" i="9"/>
  <c r="G34" i="9" s="1"/>
  <c r="W12" i="9"/>
  <c r="X12" i="9" s="1"/>
  <c r="Y12" i="9" s="1"/>
  <c r="S12" i="9"/>
  <c r="R12" i="9"/>
  <c r="AD12" i="9" s="1"/>
  <c r="Q12" i="9"/>
  <c r="O12" i="9"/>
  <c r="J12" i="9"/>
  <c r="J33" i="9" s="1"/>
  <c r="I12" i="9"/>
  <c r="I33" i="9" s="1"/>
  <c r="H12" i="9"/>
  <c r="H33" i="9" s="1"/>
  <c r="G12" i="9"/>
  <c r="G33" i="9" s="1"/>
  <c r="AE11" i="9"/>
  <c r="X13" i="9"/>
  <c r="S11" i="9"/>
  <c r="R11" i="9"/>
  <c r="AD11" i="9" s="1"/>
  <c r="Q11" i="9"/>
  <c r="J11" i="9"/>
  <c r="J32" i="9" s="1"/>
  <c r="I11" i="9"/>
  <c r="I32" i="9" s="1"/>
  <c r="H11" i="9"/>
  <c r="H32" i="9" s="1"/>
  <c r="G11" i="9"/>
  <c r="G32" i="9" s="1"/>
  <c r="AE10" i="9"/>
  <c r="X11" i="9"/>
  <c r="Y11" i="9" s="1"/>
  <c r="S26" i="3" s="1"/>
  <c r="U26" i="3" s="1"/>
  <c r="S10" i="9"/>
  <c r="R10" i="9"/>
  <c r="AD10" i="9" s="1"/>
  <c r="Q10" i="9"/>
  <c r="J10" i="9"/>
  <c r="J31" i="9" s="1"/>
  <c r="I10" i="9"/>
  <c r="I31" i="9" s="1"/>
  <c r="H10" i="9"/>
  <c r="H31" i="9" s="1"/>
  <c r="G10" i="9"/>
  <c r="G31" i="9" s="1"/>
  <c r="X10" i="9"/>
  <c r="S9" i="9"/>
  <c r="R9" i="9"/>
  <c r="AD9" i="9" s="1"/>
  <c r="Q9" i="9"/>
  <c r="J9" i="9"/>
  <c r="J30" i="9" s="1"/>
  <c r="I9" i="9"/>
  <c r="I30" i="9" s="1"/>
  <c r="H9" i="9"/>
  <c r="H30" i="9" s="1"/>
  <c r="G9" i="9"/>
  <c r="G30" i="9" s="1"/>
  <c r="AE8" i="9"/>
  <c r="S8" i="9"/>
  <c r="R8" i="9"/>
  <c r="AD8" i="9" s="1"/>
  <c r="Q8" i="9"/>
  <c r="J8" i="9"/>
  <c r="J29" i="9" s="1"/>
  <c r="I8" i="9"/>
  <c r="I29" i="9" s="1"/>
  <c r="H8" i="9"/>
  <c r="H29" i="9" s="1"/>
  <c r="G8" i="9"/>
  <c r="G29" i="9" s="1"/>
  <c r="W8" i="9"/>
  <c r="X8" i="9" s="1"/>
  <c r="S7" i="9"/>
  <c r="R7" i="9"/>
  <c r="AD7" i="9" s="1"/>
  <c r="Q7" i="9"/>
  <c r="N7" i="9"/>
  <c r="O7" i="9" s="1"/>
  <c r="J7" i="9"/>
  <c r="J28" i="9" s="1"/>
  <c r="I7" i="9"/>
  <c r="I28" i="9" s="1"/>
  <c r="H7" i="9"/>
  <c r="H28" i="9" s="1"/>
  <c r="G7" i="9"/>
  <c r="G28" i="9" s="1"/>
  <c r="W7" i="9"/>
  <c r="R6" i="9"/>
  <c r="Q6" i="9"/>
  <c r="O6" i="9"/>
  <c r="S6" i="9" s="1"/>
  <c r="S22" i="9" s="1"/>
  <c r="S23" i="9" s="1"/>
  <c r="N6" i="9"/>
  <c r="AF5" i="9"/>
  <c r="AE5" i="9"/>
  <c r="AD5" i="9"/>
  <c r="AC5" i="9"/>
  <c r="T5" i="9"/>
  <c r="S5" i="9"/>
  <c r="R5" i="9"/>
  <c r="Q5" i="9"/>
  <c r="I5" i="9"/>
  <c r="H5" i="9"/>
  <c r="G5" i="9"/>
  <c r="O3" i="9"/>
  <c r="Y11" i="4"/>
  <c r="Y33" i="4"/>
  <c r="Z33" i="4"/>
  <c r="AA33" i="4"/>
  <c r="G41" i="8"/>
  <c r="Q30" i="8"/>
  <c r="G45" i="8"/>
  <c r="Q31" i="8"/>
  <c r="Q18" i="8"/>
  <c r="Q17" i="8"/>
  <c r="S15" i="8"/>
  <c r="G43" i="8"/>
  <c r="Q43" i="8" s="1"/>
  <c r="R43" i="8" s="1"/>
  <c r="S43" i="8" s="1"/>
  <c r="G38" i="8"/>
  <c r="AC20" i="4"/>
  <c r="AD20" i="4"/>
  <c r="AD19" i="4"/>
  <c r="AD18" i="4"/>
  <c r="AD17" i="4"/>
  <c r="AD16" i="4"/>
  <c r="AD15" i="4"/>
  <c r="AD14" i="4"/>
  <c r="AD13" i="4"/>
  <c r="AD11" i="4"/>
  <c r="AD10" i="4"/>
  <c r="AD8" i="4"/>
  <c r="AD7" i="4"/>
  <c r="AE5" i="4"/>
  <c r="AD5" i="4"/>
  <c r="AC5" i="4"/>
  <c r="AB5" i="4"/>
  <c r="G38" i="7"/>
  <c r="H30" i="7"/>
  <c r="H29" i="7"/>
  <c r="H44" i="7"/>
  <c r="R16" i="8"/>
  <c r="S31" i="8"/>
  <c r="T31" i="8" s="1"/>
  <c r="Q19" i="8"/>
  <c r="Q20" i="8"/>
  <c r="Q21" i="8"/>
  <c r="Q22" i="8"/>
  <c r="Q23" i="8"/>
  <c r="Q24" i="8"/>
  <c r="Q25" i="8"/>
  <c r="Q26" i="8"/>
  <c r="Q27" i="8"/>
  <c r="Q28" i="8"/>
  <c r="Q29" i="8"/>
  <c r="R15" i="8"/>
  <c r="O6" i="4"/>
  <c r="S6" i="4"/>
  <c r="K14" i="8"/>
  <c r="E16" i="8"/>
  <c r="E32" i="8" s="1"/>
  <c r="F32" i="8" s="1"/>
  <c r="H61" i="8"/>
  <c r="E31" i="8"/>
  <c r="G31" i="8"/>
  <c r="N30" i="8"/>
  <c r="I32" i="8"/>
  <c r="M16" i="8"/>
  <c r="F17" i="8"/>
  <c r="G16" i="8"/>
  <c r="F27" i="8"/>
  <c r="F28" i="8"/>
  <c r="F29" i="8"/>
  <c r="F22" i="8"/>
  <c r="F23" i="8"/>
  <c r="F24" i="8"/>
  <c r="F25" i="8"/>
  <c r="F26" i="8"/>
  <c r="F20" i="8"/>
  <c r="F21" i="8"/>
  <c r="F19" i="8"/>
  <c r="F18" i="8"/>
  <c r="I18" i="8" s="1"/>
  <c r="F24" i="4"/>
  <c r="S12" i="4"/>
  <c r="O12" i="4"/>
  <c r="O7" i="4"/>
  <c r="E21" i="7"/>
  <c r="E22" i="7"/>
  <c r="F22" i="7" s="1"/>
  <c r="H22" i="7" s="1"/>
  <c r="S47" i="3" s="1"/>
  <c r="U47" i="3" s="1"/>
  <c r="F21" i="7"/>
  <c r="H21" i="7" s="1"/>
  <c r="S46" i="3" s="1"/>
  <c r="E20" i="7"/>
  <c r="F20" i="7" s="1"/>
  <c r="H20" i="7" s="1"/>
  <c r="S45" i="3" s="1"/>
  <c r="G33" i="7"/>
  <c r="G32" i="7"/>
  <c r="G44" i="7"/>
  <c r="F44" i="7"/>
  <c r="G42" i="7"/>
  <c r="G31" i="7"/>
  <c r="H31" i="7" s="1"/>
  <c r="F24" i="7"/>
  <c r="H32" i="7"/>
  <c r="H33" i="7"/>
  <c r="H36" i="7"/>
  <c r="H37" i="7"/>
  <c r="H38" i="7"/>
  <c r="H39" i="7"/>
  <c r="H40" i="7"/>
  <c r="G25" i="7"/>
  <c r="H25" i="7" s="1"/>
  <c r="G34" i="7"/>
  <c r="H34" i="7" s="1"/>
  <c r="G35" i="7"/>
  <c r="H35" i="7" s="1"/>
  <c r="G28" i="7"/>
  <c r="H28" i="7" s="1"/>
  <c r="G27" i="7"/>
  <c r="H27" i="7" s="1"/>
  <c r="H26" i="7"/>
  <c r="L17" i="7"/>
  <c r="G17" i="7" s="1"/>
  <c r="L19" i="7"/>
  <c r="G19" i="7" s="1"/>
  <c r="E19" i="7"/>
  <c r="F19" i="7" s="1"/>
  <c r="E18" i="7"/>
  <c r="F18" i="7" s="1"/>
  <c r="I25" i="6"/>
  <c r="I26" i="6"/>
  <c r="I27" i="6"/>
  <c r="I28" i="6"/>
  <c r="I29" i="6"/>
  <c r="I30" i="6"/>
  <c r="I31" i="6"/>
  <c r="I32" i="6"/>
  <c r="I24" i="6"/>
  <c r="H25" i="6"/>
  <c r="H26" i="6"/>
  <c r="H27" i="6"/>
  <c r="H28" i="6"/>
  <c r="H29" i="6"/>
  <c r="H30" i="6"/>
  <c r="H31" i="6"/>
  <c r="H32" i="6"/>
  <c r="H24" i="6"/>
  <c r="F7" i="6"/>
  <c r="F8" i="6"/>
  <c r="F9" i="6"/>
  <c r="F10" i="6"/>
  <c r="F11" i="6"/>
  <c r="F12" i="6"/>
  <c r="F13" i="6"/>
  <c r="F14" i="6"/>
  <c r="F6" i="6"/>
  <c r="F66" i="2"/>
  <c r="E66" i="2"/>
  <c r="F65" i="2"/>
  <c r="E65" i="2"/>
  <c r="F64" i="2"/>
  <c r="E64" i="2"/>
  <c r="F63" i="2"/>
  <c r="E63" i="2"/>
  <c r="F62" i="2"/>
  <c r="E62" i="2"/>
  <c r="F61" i="2"/>
  <c r="E61" i="2"/>
  <c r="F60" i="2"/>
  <c r="E60" i="2"/>
  <c r="F59" i="2"/>
  <c r="E59" i="2"/>
  <c r="F58" i="2"/>
  <c r="E58" i="2"/>
  <c r="F57" i="2"/>
  <c r="E57" i="2"/>
  <c r="F56" i="2"/>
  <c r="E56" i="2"/>
  <c r="F55" i="2"/>
  <c r="E55" i="2"/>
  <c r="F54" i="2"/>
  <c r="E54" i="2"/>
  <c r="F53" i="2"/>
  <c r="E53" i="2"/>
  <c r="F52" i="2"/>
  <c r="E52" i="2"/>
  <c r="F51" i="2"/>
  <c r="E51" i="2"/>
  <c r="F50" i="2"/>
  <c r="E50" i="2"/>
  <c r="F49" i="2"/>
  <c r="E49" i="2"/>
  <c r="F48" i="2"/>
  <c r="E48" i="2"/>
  <c r="F47" i="2"/>
  <c r="E47" i="2"/>
  <c r="F46" i="2"/>
  <c r="E46" i="2"/>
  <c r="F45" i="2"/>
  <c r="E45" i="2"/>
  <c r="F44" i="2"/>
  <c r="E44" i="2"/>
  <c r="F43" i="2"/>
  <c r="E43" i="2"/>
  <c r="F42" i="2"/>
  <c r="E42" i="2"/>
  <c r="F41" i="2"/>
  <c r="E41" i="2"/>
  <c r="F40" i="2"/>
  <c r="E40" i="2"/>
  <c r="F39" i="2"/>
  <c r="E39" i="2"/>
  <c r="F38" i="2"/>
  <c r="E38" i="2"/>
  <c r="F37" i="2"/>
  <c r="E37" i="2"/>
  <c r="F36" i="2"/>
  <c r="E36" i="2"/>
  <c r="F35" i="2"/>
  <c r="E35" i="2"/>
  <c r="F34" i="2"/>
  <c r="E34" i="2"/>
  <c r="F33" i="2"/>
  <c r="E33" i="2"/>
  <c r="F32" i="2"/>
  <c r="E32" i="2"/>
  <c r="F31" i="2"/>
  <c r="E31" i="2"/>
  <c r="F30" i="2"/>
  <c r="E30" i="2"/>
  <c r="F29" i="2"/>
  <c r="E29" i="2"/>
  <c r="F28" i="2"/>
  <c r="E28" i="2"/>
  <c r="F27" i="2"/>
  <c r="E27" i="2"/>
  <c r="F26" i="2"/>
  <c r="E26" i="2"/>
  <c r="F25" i="2"/>
  <c r="E25" i="2"/>
  <c r="F24" i="2"/>
  <c r="E24" i="2"/>
  <c r="F23" i="2"/>
  <c r="E23" i="2"/>
  <c r="F22" i="2"/>
  <c r="E22" i="2"/>
  <c r="F21" i="2"/>
  <c r="E21" i="2"/>
  <c r="F20" i="2"/>
  <c r="E20" i="2"/>
  <c r="F19" i="2"/>
  <c r="E19" i="2"/>
  <c r="F18" i="2"/>
  <c r="E18" i="2"/>
  <c r="F17" i="2"/>
  <c r="E17" i="2"/>
  <c r="F16" i="2"/>
  <c r="E16" i="2"/>
  <c r="F15" i="2"/>
  <c r="E15" i="2"/>
  <c r="F14" i="2"/>
  <c r="E14" i="2"/>
  <c r="F13" i="2"/>
  <c r="E13" i="2"/>
  <c r="F12" i="2"/>
  <c r="E12" i="2"/>
  <c r="F11" i="2"/>
  <c r="E11" i="2"/>
  <c r="F10" i="2"/>
  <c r="E10" i="2"/>
  <c r="F9" i="2"/>
  <c r="E9" i="2"/>
  <c r="F8" i="2"/>
  <c r="E8" i="2"/>
  <c r="F7" i="2"/>
  <c r="E7" i="2"/>
  <c r="F6" i="2"/>
  <c r="E6" i="2"/>
  <c r="F5" i="2"/>
  <c r="E5" i="2"/>
  <c r="F4" i="2"/>
  <c r="E4" i="2"/>
  <c r="F3" i="2"/>
  <c r="E3" i="2"/>
  <c r="F2" i="2"/>
  <c r="E2" i="2"/>
  <c r="X14" i="4"/>
  <c r="Y14" i="4" s="1"/>
  <c r="Z14" i="4" s="1"/>
  <c r="W11" i="4"/>
  <c r="X11" i="4" s="1"/>
  <c r="Z11" i="4" s="1"/>
  <c r="X15" i="4"/>
  <c r="Y15" i="4" s="1"/>
  <c r="Z15" i="4" s="1"/>
  <c r="X17" i="4"/>
  <c r="Y17" i="4" s="1"/>
  <c r="Z17" i="4" s="1"/>
  <c r="X9" i="4"/>
  <c r="Y9" i="4" s="1"/>
  <c r="X16" i="4"/>
  <c r="Y16" i="4" s="1"/>
  <c r="Z16" i="4" s="1"/>
  <c r="X18" i="4"/>
  <c r="Y18" i="4" s="1"/>
  <c r="Z18" i="4" s="1"/>
  <c r="X19" i="4"/>
  <c r="Y19" i="4" s="1"/>
  <c r="Z19" i="4" s="1"/>
  <c r="X20" i="4"/>
  <c r="Y20" i="4" s="1"/>
  <c r="Z20" i="4" s="1"/>
  <c r="X21" i="4"/>
  <c r="Y21" i="4" s="1"/>
  <c r="Z21" i="4" s="1"/>
  <c r="X22" i="4"/>
  <c r="Y22" i="4" s="1"/>
  <c r="Z22" i="4" s="1"/>
  <c r="W13" i="4"/>
  <c r="X13" i="4" s="1"/>
  <c r="Y13" i="4" s="1"/>
  <c r="Z13" i="4" s="1"/>
  <c r="W12" i="4"/>
  <c r="X12" i="4" s="1"/>
  <c r="Y12" i="4" s="1"/>
  <c r="Z12" i="4" s="1"/>
  <c r="X10" i="4"/>
  <c r="Y10" i="4" s="1"/>
  <c r="Z10" i="4" s="1"/>
  <c r="W7" i="4"/>
  <c r="X7" i="4" s="1"/>
  <c r="F22" i="4"/>
  <c r="W6" i="4" s="1"/>
  <c r="N7" i="4"/>
  <c r="S9" i="4"/>
  <c r="S10" i="4"/>
  <c r="S11" i="4"/>
  <c r="S13" i="4"/>
  <c r="S14" i="4"/>
  <c r="S15" i="4"/>
  <c r="S16" i="4"/>
  <c r="S17" i="4"/>
  <c r="S18" i="4"/>
  <c r="S19" i="4"/>
  <c r="S20" i="4"/>
  <c r="S8" i="4"/>
  <c r="S7" i="4"/>
  <c r="R6" i="4"/>
  <c r="R7" i="4"/>
  <c r="AC7" i="4" s="1"/>
  <c r="R8" i="4"/>
  <c r="AC8" i="4" s="1"/>
  <c r="R9" i="4"/>
  <c r="AC9" i="4" s="1"/>
  <c r="R10" i="4"/>
  <c r="AC10" i="4" s="1"/>
  <c r="R11" i="4"/>
  <c r="AC11" i="4" s="1"/>
  <c r="R12" i="4"/>
  <c r="AC12" i="4" s="1"/>
  <c r="R13" i="4"/>
  <c r="AC13" i="4" s="1"/>
  <c r="R14" i="4"/>
  <c r="AC14" i="4" s="1"/>
  <c r="R15" i="4"/>
  <c r="AC15" i="4" s="1"/>
  <c r="R16" i="4"/>
  <c r="AC16" i="4" s="1"/>
  <c r="R17" i="4"/>
  <c r="AC17" i="4" s="1"/>
  <c r="R18" i="4"/>
  <c r="AC18" i="4" s="1"/>
  <c r="R19" i="4"/>
  <c r="AC19" i="4" s="1"/>
  <c r="R21" i="4"/>
  <c r="AC21" i="4" s="1"/>
  <c r="Q7" i="4"/>
  <c r="Q8" i="4"/>
  <c r="Q9" i="4"/>
  <c r="Q10" i="4"/>
  <c r="Q11" i="4"/>
  <c r="Q12" i="4"/>
  <c r="AB12" i="4" s="1"/>
  <c r="AE12" i="4" s="1"/>
  <c r="Q13" i="4"/>
  <c r="Q14" i="4"/>
  <c r="Q15" i="4"/>
  <c r="Q16" i="4"/>
  <c r="Q17" i="4"/>
  <c r="Q18" i="4"/>
  <c r="Q19" i="4"/>
  <c r="Q20" i="4"/>
  <c r="Q21" i="4"/>
  <c r="Q6" i="4"/>
  <c r="T5" i="4"/>
  <c r="S5" i="4"/>
  <c r="R5" i="4"/>
  <c r="Q5" i="4"/>
  <c r="O3" i="4"/>
  <c r="E55" i="4"/>
  <c r="C49" i="4"/>
  <c r="B49" i="4"/>
  <c r="E45" i="4"/>
  <c r="D45" i="4"/>
  <c r="C45" i="4"/>
  <c r="B45" i="4"/>
  <c r="A43" i="4"/>
  <c r="E42" i="4"/>
  <c r="D42" i="4"/>
  <c r="C42" i="4"/>
  <c r="B42" i="4"/>
  <c r="A42" i="4"/>
  <c r="D41" i="4"/>
  <c r="B41" i="4"/>
  <c r="A41" i="4"/>
  <c r="E40" i="4"/>
  <c r="D40" i="4"/>
  <c r="C40" i="4"/>
  <c r="B40" i="4"/>
  <c r="A40" i="4"/>
  <c r="E39" i="4"/>
  <c r="D39" i="4"/>
  <c r="C39" i="4"/>
  <c r="B39" i="4"/>
  <c r="A39" i="4"/>
  <c r="E38" i="4"/>
  <c r="D38" i="4"/>
  <c r="C38" i="4"/>
  <c r="B38" i="4"/>
  <c r="A38" i="4"/>
  <c r="E37" i="4"/>
  <c r="D37" i="4"/>
  <c r="C37" i="4"/>
  <c r="B37" i="4"/>
  <c r="A37" i="4"/>
  <c r="E36" i="4"/>
  <c r="D36" i="4"/>
  <c r="C36" i="4"/>
  <c r="B36" i="4"/>
  <c r="A36" i="4"/>
  <c r="E35" i="4"/>
  <c r="D35" i="4"/>
  <c r="C35" i="4"/>
  <c r="B35" i="4"/>
  <c r="A35" i="4"/>
  <c r="E34" i="4"/>
  <c r="D34" i="4"/>
  <c r="C34" i="4"/>
  <c r="B34" i="4"/>
  <c r="A34" i="4"/>
  <c r="A52" i="4" s="1"/>
  <c r="E33" i="4"/>
  <c r="D33" i="4"/>
  <c r="C33" i="4"/>
  <c r="B33" i="4"/>
  <c r="A33" i="4"/>
  <c r="E32" i="4"/>
  <c r="D32" i="4"/>
  <c r="C32" i="4"/>
  <c r="B32" i="4"/>
  <c r="A32" i="4"/>
  <c r="E31" i="4"/>
  <c r="D31" i="4"/>
  <c r="C31" i="4"/>
  <c r="B31" i="4"/>
  <c r="A31" i="4"/>
  <c r="E30" i="4"/>
  <c r="D30" i="4"/>
  <c r="C30" i="4"/>
  <c r="B30" i="4"/>
  <c r="A30" i="4"/>
  <c r="E29" i="4"/>
  <c r="D29" i="4"/>
  <c r="C29" i="4"/>
  <c r="B29" i="4"/>
  <c r="A29" i="4"/>
  <c r="E28" i="4"/>
  <c r="D28" i="4"/>
  <c r="C28" i="4"/>
  <c r="B28" i="4"/>
  <c r="A28" i="4"/>
  <c r="E27" i="4"/>
  <c r="D27" i="4"/>
  <c r="C27" i="4"/>
  <c r="B27" i="4"/>
  <c r="A27" i="4"/>
  <c r="E24" i="4"/>
  <c r="D24" i="4"/>
  <c r="C24" i="4"/>
  <c r="B24" i="4"/>
  <c r="E23" i="4"/>
  <c r="D23" i="4"/>
  <c r="C23" i="4"/>
  <c r="B23" i="4"/>
  <c r="J22" i="4"/>
  <c r="I22" i="4"/>
  <c r="H22" i="4"/>
  <c r="G22" i="4"/>
  <c r="J21" i="4"/>
  <c r="I21" i="4"/>
  <c r="H21" i="4"/>
  <c r="G21" i="4"/>
  <c r="J20" i="4"/>
  <c r="I20" i="4"/>
  <c r="H20" i="4"/>
  <c r="G20" i="4"/>
  <c r="J19" i="4"/>
  <c r="I19" i="4"/>
  <c r="H19" i="4"/>
  <c r="G19" i="4"/>
  <c r="J18" i="4"/>
  <c r="I18" i="4"/>
  <c r="H18" i="4"/>
  <c r="G18" i="4"/>
  <c r="J17" i="4"/>
  <c r="I17" i="4"/>
  <c r="H17" i="4"/>
  <c r="G17" i="4"/>
  <c r="J16" i="4"/>
  <c r="I16" i="4"/>
  <c r="H16" i="4"/>
  <c r="G16" i="4"/>
  <c r="J15" i="4"/>
  <c r="I15" i="4"/>
  <c r="H15" i="4"/>
  <c r="G15" i="4"/>
  <c r="J14" i="4"/>
  <c r="I14" i="4"/>
  <c r="H14" i="4"/>
  <c r="G14" i="4"/>
  <c r="J13" i="4"/>
  <c r="I13" i="4"/>
  <c r="H13" i="4"/>
  <c r="G13" i="4"/>
  <c r="J12" i="4"/>
  <c r="I12" i="4"/>
  <c r="H12" i="4"/>
  <c r="G12" i="4"/>
  <c r="J11" i="4"/>
  <c r="I11" i="4"/>
  <c r="H11" i="4"/>
  <c r="G11" i="4"/>
  <c r="J10" i="4"/>
  <c r="I10" i="4"/>
  <c r="H10" i="4"/>
  <c r="G10" i="4"/>
  <c r="J9" i="4"/>
  <c r="I9" i="4"/>
  <c r="H9" i="4"/>
  <c r="G9" i="4"/>
  <c r="J8" i="4"/>
  <c r="I8" i="4"/>
  <c r="H8" i="4"/>
  <c r="G8" i="4"/>
  <c r="J7" i="4"/>
  <c r="I7" i="4"/>
  <c r="H7" i="4"/>
  <c r="G7" i="4"/>
  <c r="I5" i="4"/>
  <c r="H5" i="4"/>
  <c r="G5" i="4"/>
  <c r="E53" i="3"/>
  <c r="E44" i="3"/>
  <c r="E22" i="3"/>
  <c r="C22" i="3"/>
  <c r="E23" i="3"/>
  <c r="C47" i="3"/>
  <c r="B47" i="3"/>
  <c r="B26" i="3"/>
  <c r="C44" i="3"/>
  <c r="D44" i="3"/>
  <c r="B44" i="3"/>
  <c r="D23" i="3"/>
  <c r="C23" i="3"/>
  <c r="B23" i="3"/>
  <c r="D22" i="3"/>
  <c r="B22" i="3"/>
  <c r="F164" i="2"/>
  <c r="F163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44" i="2"/>
  <c r="A41" i="3"/>
  <c r="B41" i="3"/>
  <c r="C41" i="3"/>
  <c r="D41" i="3"/>
  <c r="E41" i="3"/>
  <c r="A42" i="3"/>
  <c r="A39" i="3"/>
  <c r="A40" i="3"/>
  <c r="B27" i="3"/>
  <c r="C27" i="3"/>
  <c r="D27" i="3"/>
  <c r="E27" i="3"/>
  <c r="B28" i="3"/>
  <c r="C28" i="3"/>
  <c r="D28" i="3"/>
  <c r="E28" i="3"/>
  <c r="B29" i="3"/>
  <c r="C29" i="3"/>
  <c r="D29" i="3"/>
  <c r="E29" i="3"/>
  <c r="B30" i="3"/>
  <c r="C30" i="3"/>
  <c r="D30" i="3"/>
  <c r="E30" i="3"/>
  <c r="B31" i="3"/>
  <c r="C31" i="3"/>
  <c r="D31" i="3"/>
  <c r="E31" i="3"/>
  <c r="B32" i="3"/>
  <c r="C32" i="3"/>
  <c r="C49" i="3" s="1"/>
  <c r="E49" i="3" s="1"/>
  <c r="D32" i="3"/>
  <c r="E32" i="3"/>
  <c r="B33" i="3"/>
  <c r="C33" i="3"/>
  <c r="C50" i="3" s="1"/>
  <c r="E50" i="3" s="1"/>
  <c r="D33" i="3"/>
  <c r="E33" i="3"/>
  <c r="B34" i="3"/>
  <c r="C34" i="3"/>
  <c r="D34" i="3"/>
  <c r="E34" i="3"/>
  <c r="B35" i="3"/>
  <c r="C35" i="3"/>
  <c r="C51" i="3" s="1"/>
  <c r="E51" i="3" s="1"/>
  <c r="D35" i="3"/>
  <c r="E35" i="3"/>
  <c r="B36" i="3"/>
  <c r="C36" i="3"/>
  <c r="D36" i="3"/>
  <c r="E36" i="3"/>
  <c r="B37" i="3"/>
  <c r="C37" i="3"/>
  <c r="D37" i="3"/>
  <c r="E37" i="3"/>
  <c r="B38" i="3"/>
  <c r="C38" i="3"/>
  <c r="D38" i="3"/>
  <c r="E38" i="3"/>
  <c r="B39" i="3"/>
  <c r="C39" i="3"/>
  <c r="C52" i="3" s="1"/>
  <c r="D39" i="3"/>
  <c r="D52" i="3" s="1"/>
  <c r="E39" i="3"/>
  <c r="B40" i="3"/>
  <c r="D40" i="3"/>
  <c r="C26" i="3"/>
  <c r="D26" i="3"/>
  <c r="D47" i="3" s="1"/>
  <c r="E26" i="3"/>
  <c r="F26" i="3"/>
  <c r="A27" i="3"/>
  <c r="A28" i="3"/>
  <c r="A29" i="3"/>
  <c r="A30" i="3"/>
  <c r="A31" i="3"/>
  <c r="A32" i="3"/>
  <c r="A33" i="3"/>
  <c r="A34" i="3"/>
  <c r="A35" i="3"/>
  <c r="A36" i="3"/>
  <c r="A37" i="3"/>
  <c r="A38" i="3"/>
  <c r="A26" i="3"/>
  <c r="F16" i="3"/>
  <c r="F37" i="3" s="1"/>
  <c r="G16" i="3"/>
  <c r="G37" i="3" s="1"/>
  <c r="H16" i="3"/>
  <c r="H37" i="3" s="1"/>
  <c r="I16" i="3"/>
  <c r="I37" i="3" s="1"/>
  <c r="F17" i="3"/>
  <c r="F38" i="3" s="1"/>
  <c r="G17" i="3"/>
  <c r="G38" i="3" s="1"/>
  <c r="H17" i="3"/>
  <c r="H38" i="3" s="1"/>
  <c r="I17" i="3"/>
  <c r="I38" i="3" s="1"/>
  <c r="F18" i="3"/>
  <c r="F39" i="3" s="1"/>
  <c r="G18" i="3"/>
  <c r="G39" i="3" s="1"/>
  <c r="H18" i="3"/>
  <c r="H39" i="3" s="1"/>
  <c r="I18" i="3"/>
  <c r="I39" i="3" s="1"/>
  <c r="F19" i="3"/>
  <c r="F40" i="3" s="1"/>
  <c r="G19" i="3"/>
  <c r="H19" i="3"/>
  <c r="H40" i="3" s="1"/>
  <c r="I19" i="3"/>
  <c r="I40" i="3" s="1"/>
  <c r="F20" i="3"/>
  <c r="F41" i="3" s="1"/>
  <c r="G20" i="3"/>
  <c r="G41" i="3" s="1"/>
  <c r="H20" i="3"/>
  <c r="H41" i="3" s="1"/>
  <c r="I20" i="3"/>
  <c r="I41" i="3" s="1"/>
  <c r="F21" i="3"/>
  <c r="F42" i="3" s="1"/>
  <c r="G21" i="3"/>
  <c r="G42" i="3" s="1"/>
  <c r="H21" i="3"/>
  <c r="H42" i="3" s="1"/>
  <c r="I21" i="3"/>
  <c r="I42" i="3" s="1"/>
  <c r="M28" i="3"/>
  <c r="L28" i="3"/>
  <c r="T20" i="3"/>
  <c r="AB20" i="3" s="1"/>
  <c r="T19" i="3"/>
  <c r="AB19" i="3" s="1"/>
  <c r="T16" i="3"/>
  <c r="AB16" i="3" s="1"/>
  <c r="T15" i="3"/>
  <c r="AB15" i="3" s="1"/>
  <c r="I15" i="3"/>
  <c r="H15" i="3"/>
  <c r="G15" i="3"/>
  <c r="F15" i="3"/>
  <c r="I14" i="3"/>
  <c r="H14" i="3"/>
  <c r="G14" i="3"/>
  <c r="F14" i="3"/>
  <c r="I13" i="3"/>
  <c r="H13" i="3"/>
  <c r="G13" i="3"/>
  <c r="F13" i="3"/>
  <c r="T12" i="3"/>
  <c r="AB12" i="3" s="1"/>
  <c r="I12" i="3"/>
  <c r="H12" i="3"/>
  <c r="G12" i="3"/>
  <c r="F12" i="3"/>
  <c r="I11" i="3"/>
  <c r="H11" i="3"/>
  <c r="G11" i="3"/>
  <c r="F11" i="3"/>
  <c r="AB10" i="3"/>
  <c r="I10" i="3"/>
  <c r="H10" i="3"/>
  <c r="G10" i="3"/>
  <c r="F10" i="3"/>
  <c r="T9" i="3"/>
  <c r="AB9" i="3" s="1"/>
  <c r="I9" i="3"/>
  <c r="H9" i="3"/>
  <c r="G9" i="3"/>
  <c r="F9" i="3"/>
  <c r="T8" i="3"/>
  <c r="AB8" i="3" s="1"/>
  <c r="I8" i="3"/>
  <c r="H8" i="3"/>
  <c r="G8" i="3"/>
  <c r="F8" i="3"/>
  <c r="T7" i="3"/>
  <c r="AB7" i="3" s="1"/>
  <c r="I7" i="3"/>
  <c r="H7" i="3"/>
  <c r="G7" i="3"/>
  <c r="F7" i="3"/>
  <c r="T6" i="3"/>
  <c r="AB6" i="3" s="1"/>
  <c r="I6" i="3"/>
  <c r="H6" i="3"/>
  <c r="H23" i="3" s="1"/>
  <c r="G6" i="3"/>
  <c r="G23" i="3" s="1"/>
  <c r="F6" i="3"/>
  <c r="T5" i="3"/>
  <c r="T21" i="3" s="1"/>
  <c r="T22" i="3" s="1"/>
  <c r="T23" i="3" s="1"/>
  <c r="T31" i="3" s="1"/>
  <c r="T4" i="3"/>
  <c r="V4" i="3"/>
  <c r="H4" i="3"/>
  <c r="G4" i="3"/>
  <c r="F4" i="3"/>
  <c r="E260" i="2"/>
  <c r="F260" i="2"/>
  <c r="E261" i="2"/>
  <c r="F261" i="2"/>
  <c r="E262" i="2"/>
  <c r="F262" i="2"/>
  <c r="E263" i="2"/>
  <c r="F263" i="2"/>
  <c r="E264" i="2"/>
  <c r="F264" i="2"/>
  <c r="E265" i="2"/>
  <c r="F265" i="2"/>
  <c r="E266" i="2"/>
  <c r="F266" i="2"/>
  <c r="E267" i="2"/>
  <c r="F267" i="2"/>
  <c r="E268" i="2"/>
  <c r="F268" i="2"/>
  <c r="E269" i="2"/>
  <c r="F269" i="2"/>
  <c r="E270" i="2"/>
  <c r="F270" i="2"/>
  <c r="E271" i="2"/>
  <c r="F271" i="2"/>
  <c r="E272" i="2"/>
  <c r="F272" i="2"/>
  <c r="E273" i="2"/>
  <c r="F273" i="2"/>
  <c r="E274" i="2"/>
  <c r="F274" i="2"/>
  <c r="E275" i="2"/>
  <c r="F275" i="2"/>
  <c r="E276" i="2"/>
  <c r="F276" i="2"/>
  <c r="E277" i="2"/>
  <c r="F277" i="2"/>
  <c r="E278" i="2"/>
  <c r="F278" i="2"/>
  <c r="E279" i="2"/>
  <c r="F279" i="2"/>
  <c r="E280" i="2"/>
  <c r="F280" i="2"/>
  <c r="E281" i="2"/>
  <c r="F281" i="2"/>
  <c r="E282" i="2"/>
  <c r="F282" i="2"/>
  <c r="E283" i="2"/>
  <c r="F283" i="2"/>
  <c r="E284" i="2"/>
  <c r="F284" i="2"/>
  <c r="E285" i="2"/>
  <c r="F285" i="2"/>
  <c r="E286" i="2"/>
  <c r="F286" i="2"/>
  <c r="E287" i="2"/>
  <c r="F287" i="2"/>
  <c r="E288" i="2"/>
  <c r="F288" i="2"/>
  <c r="E289" i="2"/>
  <c r="F289" i="2"/>
  <c r="E290" i="2"/>
  <c r="F290" i="2"/>
  <c r="E291" i="2"/>
  <c r="F291" i="2"/>
  <c r="E292" i="2"/>
  <c r="F292" i="2"/>
  <c r="E293" i="2"/>
  <c r="F293" i="2"/>
  <c r="E294" i="2"/>
  <c r="F294" i="2"/>
  <c r="E295" i="2"/>
  <c r="F295" i="2"/>
  <c r="E296" i="2"/>
  <c r="F296" i="2"/>
  <c r="E297" i="2"/>
  <c r="F297" i="2"/>
  <c r="E298" i="2"/>
  <c r="F298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25" i="2"/>
  <c r="E224" i="2"/>
  <c r="E223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F199" i="2"/>
  <c r="F198" i="2"/>
  <c r="F204" i="2"/>
  <c r="E204" i="2"/>
  <c r="F203" i="2"/>
  <c r="E203" i="2"/>
  <c r="F202" i="2"/>
  <c r="E202" i="2"/>
  <c r="F201" i="2"/>
  <c r="E201" i="2"/>
  <c r="F200" i="2"/>
  <c r="E200" i="2"/>
  <c r="E199" i="2"/>
  <c r="E198" i="2"/>
  <c r="F197" i="2"/>
  <c r="E197" i="2"/>
  <c r="F196" i="2"/>
  <c r="E196" i="2"/>
  <c r="F195" i="2"/>
  <c r="E195" i="2"/>
  <c r="F194" i="2"/>
  <c r="E194" i="2"/>
  <c r="F193" i="2"/>
  <c r="E193" i="2"/>
  <c r="F192" i="2"/>
  <c r="E192" i="2"/>
  <c r="F191" i="2"/>
  <c r="E191" i="2"/>
  <c r="F190" i="2"/>
  <c r="E190" i="2"/>
  <c r="F189" i="2"/>
  <c r="E189" i="2"/>
  <c r="F188" i="2"/>
  <c r="E188" i="2"/>
  <c r="F187" i="2"/>
  <c r="E187" i="2"/>
  <c r="F186" i="2"/>
  <c r="E186" i="2"/>
  <c r="F170" i="2"/>
  <c r="F171" i="2"/>
  <c r="E170" i="2"/>
  <c r="E171" i="2"/>
  <c r="E172" i="2"/>
  <c r="F172" i="2"/>
  <c r="E173" i="2"/>
  <c r="F173" i="2"/>
  <c r="E174" i="2"/>
  <c r="F174" i="2"/>
  <c r="E175" i="2"/>
  <c r="F175" i="2"/>
  <c r="E176" i="2"/>
  <c r="F176" i="2"/>
  <c r="E177" i="2"/>
  <c r="F177" i="2"/>
  <c r="E178" i="2"/>
  <c r="F178" i="2"/>
  <c r="E179" i="2"/>
  <c r="F179" i="2"/>
  <c r="E180" i="2"/>
  <c r="F180" i="2"/>
  <c r="E181" i="2"/>
  <c r="F181" i="2"/>
  <c r="E182" i="2"/>
  <c r="F182" i="2"/>
  <c r="E183" i="2"/>
  <c r="F183" i="2"/>
  <c r="E184" i="2"/>
  <c r="F184" i="2"/>
  <c r="E185" i="2"/>
  <c r="F185" i="2"/>
  <c r="E169" i="2"/>
  <c r="F169" i="2"/>
  <c r="F168" i="2"/>
  <c r="E168" i="2"/>
  <c r="F167" i="2"/>
  <c r="E167" i="2"/>
  <c r="F166" i="2"/>
  <c r="E166" i="2"/>
  <c r="F165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F143" i="2"/>
  <c r="E143" i="2"/>
  <c r="F142" i="2"/>
  <c r="E142" i="2"/>
  <c r="F141" i="2"/>
  <c r="E141" i="2"/>
  <c r="F140" i="2"/>
  <c r="E140" i="2"/>
  <c r="F139" i="2"/>
  <c r="E139" i="2"/>
  <c r="F138" i="2"/>
  <c r="E138" i="2"/>
  <c r="F137" i="2"/>
  <c r="E137" i="2"/>
  <c r="F136" i="2"/>
  <c r="E136" i="2"/>
  <c r="F135" i="2"/>
  <c r="E135" i="2"/>
  <c r="F134" i="2"/>
  <c r="E134" i="2"/>
  <c r="F133" i="2"/>
  <c r="E133" i="2"/>
  <c r="F132" i="2"/>
  <c r="E132" i="2"/>
  <c r="F131" i="2"/>
  <c r="E131" i="2"/>
  <c r="F130" i="2"/>
  <c r="E130" i="2"/>
  <c r="F129" i="2"/>
  <c r="E129" i="2"/>
  <c r="F128" i="2"/>
  <c r="E128" i="2"/>
  <c r="F127" i="2"/>
  <c r="E127" i="2"/>
  <c r="F126" i="2"/>
  <c r="E126" i="2"/>
  <c r="F125" i="2"/>
  <c r="E125" i="2"/>
  <c r="F124" i="2"/>
  <c r="E124" i="2"/>
  <c r="F123" i="2"/>
  <c r="E123" i="2"/>
  <c r="F122" i="2"/>
  <c r="E122" i="2"/>
  <c r="F121" i="2"/>
  <c r="E121" i="2"/>
  <c r="F120" i="2"/>
  <c r="E120" i="2"/>
  <c r="F119" i="2"/>
  <c r="E119" i="2"/>
  <c r="F118" i="2"/>
  <c r="E118" i="2"/>
  <c r="F117" i="2"/>
  <c r="E117" i="2"/>
  <c r="F116" i="2"/>
  <c r="E116" i="2"/>
  <c r="F115" i="2"/>
  <c r="E115" i="2"/>
  <c r="F114" i="2"/>
  <c r="E114" i="2"/>
  <c r="F113" i="2"/>
  <c r="E113" i="2"/>
  <c r="F112" i="2"/>
  <c r="E112" i="2"/>
  <c r="F111" i="2"/>
  <c r="E111" i="2"/>
  <c r="F110" i="2"/>
  <c r="E110" i="2"/>
  <c r="F109" i="2"/>
  <c r="E109" i="2"/>
  <c r="F108" i="2"/>
  <c r="E108" i="2"/>
  <c r="F107" i="2"/>
  <c r="E107" i="2"/>
  <c r="F106" i="2"/>
  <c r="E106" i="2"/>
  <c r="F105" i="2"/>
  <c r="E105" i="2"/>
  <c r="F104" i="2"/>
  <c r="E104" i="2"/>
  <c r="F103" i="2"/>
  <c r="E103" i="2"/>
  <c r="F102" i="2"/>
  <c r="E102" i="2"/>
  <c r="F101" i="2"/>
  <c r="E101" i="2"/>
  <c r="F100" i="2"/>
  <c r="E100" i="2"/>
  <c r="F99" i="2"/>
  <c r="E99" i="2"/>
  <c r="F98" i="2"/>
  <c r="E98" i="2"/>
  <c r="F97" i="2"/>
  <c r="E97" i="2"/>
  <c r="F96" i="2"/>
  <c r="E96" i="2"/>
  <c r="F95" i="2"/>
  <c r="E95" i="2"/>
  <c r="F94" i="2"/>
  <c r="E94" i="2"/>
  <c r="F93" i="2"/>
  <c r="E93" i="2"/>
  <c r="F92" i="2"/>
  <c r="E92" i="2"/>
  <c r="F91" i="2"/>
  <c r="E91" i="2"/>
  <c r="F90" i="2"/>
  <c r="E90" i="2"/>
  <c r="F89" i="2"/>
  <c r="E89" i="2"/>
  <c r="F88" i="2"/>
  <c r="E88" i="2"/>
  <c r="F87" i="2"/>
  <c r="E87" i="2"/>
  <c r="F86" i="2"/>
  <c r="E86" i="2"/>
  <c r="F85" i="2"/>
  <c r="E85" i="2"/>
  <c r="F84" i="2"/>
  <c r="E84" i="2"/>
  <c r="F83" i="2"/>
  <c r="E83" i="2"/>
  <c r="F82" i="2"/>
  <c r="E82" i="2"/>
  <c r="F81" i="2"/>
  <c r="E81" i="2"/>
  <c r="F80" i="2"/>
  <c r="E80" i="2"/>
  <c r="F79" i="2"/>
  <c r="E79" i="2"/>
  <c r="F68" i="2"/>
  <c r="E68" i="2"/>
  <c r="F67" i="2"/>
  <c r="E67" i="2"/>
  <c r="E70" i="2"/>
  <c r="F70" i="2"/>
  <c r="E71" i="2"/>
  <c r="F71" i="2"/>
  <c r="E72" i="2"/>
  <c r="F72" i="2"/>
  <c r="E73" i="2"/>
  <c r="F73" i="2"/>
  <c r="E74" i="2"/>
  <c r="F74" i="2"/>
  <c r="E75" i="2"/>
  <c r="F75" i="2"/>
  <c r="E76" i="2"/>
  <c r="F76" i="2"/>
  <c r="E77" i="2"/>
  <c r="F77" i="2"/>
  <c r="E78" i="2"/>
  <c r="F78" i="2"/>
  <c r="F69" i="2"/>
  <c r="E69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4" i="2"/>
  <c r="A3" i="2"/>
  <c r="A2" i="2"/>
  <c r="N300" i="2"/>
  <c r="AI21" i="3" l="1"/>
  <c r="AC42" i="3"/>
  <c r="AC48" i="3" s="1"/>
  <c r="AC17" i="3"/>
  <c r="AE17" i="3" s="1"/>
  <c r="AC16" i="3"/>
  <c r="AC15" i="3"/>
  <c r="AC10" i="3"/>
  <c r="AC9" i="3"/>
  <c r="AC8" i="3"/>
  <c r="AC14" i="3"/>
  <c r="AE14" i="3" s="1"/>
  <c r="AC12" i="3"/>
  <c r="AC6" i="3"/>
  <c r="AC7" i="3"/>
  <c r="AE7" i="3" s="1"/>
  <c r="AC19" i="3"/>
  <c r="AC20" i="3"/>
  <c r="AA11" i="3"/>
  <c r="AC11" i="3" s="1"/>
  <c r="AE11" i="3" s="1"/>
  <c r="AA13" i="3"/>
  <c r="U13" i="3"/>
  <c r="AB13" i="3"/>
  <c r="Y21" i="3"/>
  <c r="Y23" i="3" s="1"/>
  <c r="AA5" i="3"/>
  <c r="AC5" i="3" s="1"/>
  <c r="Z21" i="3"/>
  <c r="Z23" i="3" s="1"/>
  <c r="U46" i="3"/>
  <c r="U45" i="3"/>
  <c r="U54" i="3" s="1"/>
  <c r="S28" i="3"/>
  <c r="U28" i="3" s="1"/>
  <c r="V6" i="3"/>
  <c r="V7" i="3"/>
  <c r="T33" i="3"/>
  <c r="T38" i="3"/>
  <c r="T40" i="3" s="1"/>
  <c r="W4" i="3"/>
  <c r="AB4" i="3"/>
  <c r="AB21" i="3"/>
  <c r="U32" i="3"/>
  <c r="Z12" i="9"/>
  <c r="S27" i="3"/>
  <c r="U27" i="3" s="1"/>
  <c r="Z11" i="9"/>
  <c r="U17" i="3"/>
  <c r="U14" i="3"/>
  <c r="U12" i="3"/>
  <c r="U10" i="3"/>
  <c r="U9" i="3"/>
  <c r="U8" i="3"/>
  <c r="U6" i="3"/>
  <c r="U7" i="3"/>
  <c r="U15" i="3"/>
  <c r="U16" i="3"/>
  <c r="U18" i="3"/>
  <c r="U19" i="3"/>
  <c r="U20" i="3"/>
  <c r="S21" i="3"/>
  <c r="S22" i="3" s="1"/>
  <c r="S23" i="3" s="1"/>
  <c r="U5" i="3"/>
  <c r="N24" i="3"/>
  <c r="N25" i="3" s="1"/>
  <c r="M24" i="3"/>
  <c r="M25" i="3" s="1"/>
  <c r="Z6" i="9"/>
  <c r="F6" i="7"/>
  <c r="L3" i="7"/>
  <c r="L4" i="7" s="1"/>
  <c r="G4" i="7" s="1"/>
  <c r="F23" i="9"/>
  <c r="F25" i="9"/>
  <c r="F26" i="9" s="1"/>
  <c r="N23" i="9"/>
  <c r="Y10" i="9"/>
  <c r="W8" i="4"/>
  <c r="X8" i="4" s="1"/>
  <c r="X6" i="4"/>
  <c r="J27" i="9"/>
  <c r="E43" i="9"/>
  <c r="E44" i="9" s="1"/>
  <c r="E46" i="9" s="1"/>
  <c r="D43" i="9"/>
  <c r="D44" i="9" s="1"/>
  <c r="D46" i="9" s="1"/>
  <c r="D49" i="9"/>
  <c r="I27" i="9"/>
  <c r="H27" i="9"/>
  <c r="C43" i="9"/>
  <c r="C44" i="9" s="1"/>
  <c r="C46" i="9" s="1"/>
  <c r="G27" i="9"/>
  <c r="B50" i="9"/>
  <c r="B43" i="9"/>
  <c r="B44" i="9" s="1"/>
  <c r="B46" i="9" s="1"/>
  <c r="T21" i="9"/>
  <c r="AC21" i="9"/>
  <c r="AF21" i="9" s="1"/>
  <c r="AC20" i="9"/>
  <c r="AF20" i="9" s="1"/>
  <c r="T20" i="9"/>
  <c r="T19" i="9"/>
  <c r="U19" i="9" s="1"/>
  <c r="AC19" i="9"/>
  <c r="AF19" i="9" s="1"/>
  <c r="AC18" i="9"/>
  <c r="AF18" i="9" s="1"/>
  <c r="T18" i="9"/>
  <c r="U18" i="9" s="1"/>
  <c r="AC17" i="9"/>
  <c r="AF17" i="9" s="1"/>
  <c r="T17" i="9"/>
  <c r="U17" i="9" s="1"/>
  <c r="AC16" i="9"/>
  <c r="AF16" i="9" s="1"/>
  <c r="T16" i="9"/>
  <c r="U16" i="9" s="1"/>
  <c r="T15" i="9"/>
  <c r="U15" i="9" s="1"/>
  <c r="AC15" i="9"/>
  <c r="AF15" i="9" s="1"/>
  <c r="AC14" i="9"/>
  <c r="AF14" i="9" s="1"/>
  <c r="T14" i="9"/>
  <c r="U14" i="9" s="1"/>
  <c r="AC13" i="9"/>
  <c r="AF13" i="9" s="1"/>
  <c r="T13" i="9"/>
  <c r="U13" i="9" s="1"/>
  <c r="AC12" i="9"/>
  <c r="AF12" i="9" s="1"/>
  <c r="T12" i="9"/>
  <c r="U12" i="9" s="1"/>
  <c r="T11" i="9"/>
  <c r="U11" i="9" s="1"/>
  <c r="AC11" i="9"/>
  <c r="AF11" i="9" s="1"/>
  <c r="T10" i="9"/>
  <c r="U10" i="9" s="1"/>
  <c r="AC10" i="9"/>
  <c r="AF10" i="9" s="1"/>
  <c r="AC9" i="9"/>
  <c r="T9" i="9"/>
  <c r="U9" i="9" s="1"/>
  <c r="AC8" i="9"/>
  <c r="AF8" i="9" s="1"/>
  <c r="T8" i="9"/>
  <c r="U8" i="9" s="1"/>
  <c r="AC7" i="9"/>
  <c r="T7" i="9"/>
  <c r="U7" i="9" s="1"/>
  <c r="AE7" i="9"/>
  <c r="W9" i="9"/>
  <c r="X7" i="9"/>
  <c r="R22" i="9"/>
  <c r="R23" i="9" s="1"/>
  <c r="AD6" i="9"/>
  <c r="AD22" i="9" s="1"/>
  <c r="AD23" i="9" s="1"/>
  <c r="Q22" i="9"/>
  <c r="Q23" i="9" s="1"/>
  <c r="AC6" i="9"/>
  <c r="T6" i="9"/>
  <c r="C56" i="9"/>
  <c r="Z13" i="9"/>
  <c r="AA13" i="9" s="1"/>
  <c r="G32" i="8"/>
  <c r="G42" i="8"/>
  <c r="G44" i="8" s="1"/>
  <c r="Q16" i="8"/>
  <c r="P38" i="8"/>
  <c r="G39" i="8"/>
  <c r="Q38" i="8"/>
  <c r="P33" i="8"/>
  <c r="I41" i="8"/>
  <c r="K41" i="8" s="1"/>
  <c r="R38" i="8"/>
  <c r="I38" i="8"/>
  <c r="S22" i="4"/>
  <c r="AC6" i="4"/>
  <c r="AC22" i="4" s="1"/>
  <c r="AC23" i="4" s="1"/>
  <c r="R22" i="4"/>
  <c r="T7" i="4"/>
  <c r="U7" i="4" s="1"/>
  <c r="AB7" i="4"/>
  <c r="AE7" i="4" s="1"/>
  <c r="T8" i="4"/>
  <c r="U8" i="4" s="1"/>
  <c r="AB8" i="4"/>
  <c r="AE8" i="4" s="1"/>
  <c r="T9" i="4"/>
  <c r="U9" i="4" s="1"/>
  <c r="AB9" i="4"/>
  <c r="T10" i="4"/>
  <c r="U10" i="4" s="1"/>
  <c r="AB10" i="4"/>
  <c r="AE10" i="4" s="1"/>
  <c r="T11" i="4"/>
  <c r="U11" i="4" s="1"/>
  <c r="AB11" i="4"/>
  <c r="AE11" i="4" s="1"/>
  <c r="T13" i="4"/>
  <c r="U13" i="4" s="1"/>
  <c r="AB13" i="4"/>
  <c r="AE13" i="4" s="1"/>
  <c r="T14" i="4"/>
  <c r="U14" i="4" s="1"/>
  <c r="AB14" i="4"/>
  <c r="AE14" i="4" s="1"/>
  <c r="T15" i="4"/>
  <c r="U15" i="4" s="1"/>
  <c r="AB15" i="4"/>
  <c r="AE15" i="4" s="1"/>
  <c r="T16" i="4"/>
  <c r="U16" i="4" s="1"/>
  <c r="AB16" i="4"/>
  <c r="AE16" i="4" s="1"/>
  <c r="T17" i="4"/>
  <c r="U17" i="4" s="1"/>
  <c r="AB17" i="4"/>
  <c r="AE17" i="4" s="1"/>
  <c r="T18" i="4"/>
  <c r="U18" i="4" s="1"/>
  <c r="AB18" i="4"/>
  <c r="AE18" i="4" s="1"/>
  <c r="T19" i="4"/>
  <c r="U19" i="4" s="1"/>
  <c r="AB19" i="4"/>
  <c r="AE19" i="4" s="1"/>
  <c r="T20" i="4"/>
  <c r="AB20" i="4"/>
  <c r="AE20" i="4" s="1"/>
  <c r="T21" i="4"/>
  <c r="AB21" i="4"/>
  <c r="AE21" i="4" s="1"/>
  <c r="AB6" i="4"/>
  <c r="Q22" i="4"/>
  <c r="T6" i="4"/>
  <c r="U6" i="4" s="1"/>
  <c r="S18" i="8"/>
  <c r="R18" i="8"/>
  <c r="AB22" i="4"/>
  <c r="AB23" i="4" s="1"/>
  <c r="AE6" i="4"/>
  <c r="K16" i="8"/>
  <c r="G16" i="7"/>
  <c r="M30" i="8"/>
  <c r="S16" i="8"/>
  <c r="T16" i="8" s="1"/>
  <c r="H31" i="8"/>
  <c r="I30" i="8"/>
  <c r="S30" i="8" s="1"/>
  <c r="T30" i="8" s="1"/>
  <c r="J31" i="8"/>
  <c r="K18" i="8"/>
  <c r="J18" i="8"/>
  <c r="N18" i="8" s="1"/>
  <c r="M18" i="8" s="1"/>
  <c r="H18" i="8"/>
  <c r="H29" i="8"/>
  <c r="I29" i="8" s="1"/>
  <c r="H28" i="8"/>
  <c r="I28" i="8" s="1"/>
  <c r="H27" i="8"/>
  <c r="I27" i="8" s="1"/>
  <c r="H26" i="8"/>
  <c r="I26" i="8" s="1"/>
  <c r="H25" i="8"/>
  <c r="I25" i="8" s="1"/>
  <c r="H24" i="8"/>
  <c r="I24" i="8" s="1"/>
  <c r="H23" i="8"/>
  <c r="I23" i="8" s="1"/>
  <c r="H22" i="8"/>
  <c r="I22" i="8" s="1"/>
  <c r="H21" i="8"/>
  <c r="I21" i="8" s="1"/>
  <c r="H20" i="8"/>
  <c r="I20" i="8" s="1"/>
  <c r="H19" i="8"/>
  <c r="I19" i="8" s="1"/>
  <c r="H17" i="8"/>
  <c r="I17" i="8" s="1"/>
  <c r="I36" i="3"/>
  <c r="H34" i="3"/>
  <c r="I33" i="3"/>
  <c r="I32" i="3"/>
  <c r="F32" i="3"/>
  <c r="F31" i="3"/>
  <c r="H30" i="3"/>
  <c r="I29" i="3"/>
  <c r="G28" i="3"/>
  <c r="I27" i="3"/>
  <c r="F27" i="3"/>
  <c r="J43" i="4"/>
  <c r="I43" i="4"/>
  <c r="H43" i="4"/>
  <c r="G43" i="4"/>
  <c r="J42" i="4"/>
  <c r="I42" i="4"/>
  <c r="H42" i="4"/>
  <c r="G42" i="4"/>
  <c r="J41" i="4"/>
  <c r="I41" i="4"/>
  <c r="G41" i="4"/>
  <c r="J40" i="4"/>
  <c r="I40" i="4"/>
  <c r="H40" i="4"/>
  <c r="G40" i="4"/>
  <c r="J39" i="4"/>
  <c r="I39" i="4"/>
  <c r="H39" i="4"/>
  <c r="G39" i="4"/>
  <c r="J38" i="4"/>
  <c r="I38" i="4"/>
  <c r="H38" i="4"/>
  <c r="G38" i="4"/>
  <c r="J37" i="4"/>
  <c r="I37" i="4"/>
  <c r="H37" i="4"/>
  <c r="G37" i="4"/>
  <c r="J36" i="4"/>
  <c r="I36" i="4"/>
  <c r="H36" i="4"/>
  <c r="G36" i="4"/>
  <c r="J35" i="4"/>
  <c r="I35" i="4"/>
  <c r="H35" i="4"/>
  <c r="G35" i="4"/>
  <c r="J34" i="4"/>
  <c r="I34" i="4"/>
  <c r="H34" i="4"/>
  <c r="G34" i="4"/>
  <c r="J33" i="4"/>
  <c r="I33" i="4"/>
  <c r="H33" i="4"/>
  <c r="G33" i="4"/>
  <c r="J32" i="4"/>
  <c r="I32" i="4"/>
  <c r="H32" i="4"/>
  <c r="J31" i="4"/>
  <c r="I31" i="4"/>
  <c r="H31" i="4"/>
  <c r="G31" i="4"/>
  <c r="J30" i="4"/>
  <c r="I30" i="4"/>
  <c r="H30" i="4"/>
  <c r="G30" i="4"/>
  <c r="J29" i="4"/>
  <c r="I29" i="4"/>
  <c r="H29" i="4"/>
  <c r="G29" i="4"/>
  <c r="J28" i="4"/>
  <c r="I28" i="4"/>
  <c r="H28" i="4"/>
  <c r="G36" i="3"/>
  <c r="I35" i="3"/>
  <c r="F35" i="3"/>
  <c r="G34" i="3"/>
  <c r="H33" i="3"/>
  <c r="H32" i="3"/>
  <c r="H31" i="3"/>
  <c r="G30" i="3"/>
  <c r="F30" i="3"/>
  <c r="G29" i="3"/>
  <c r="I28" i="3"/>
  <c r="G27" i="3"/>
  <c r="G32" i="4"/>
  <c r="G28" i="4"/>
  <c r="H36" i="3"/>
  <c r="F36" i="3"/>
  <c r="H35" i="3"/>
  <c r="G35" i="3"/>
  <c r="I34" i="3"/>
  <c r="F34" i="3"/>
  <c r="G33" i="3"/>
  <c r="F33" i="3"/>
  <c r="G32" i="3"/>
  <c r="I31" i="3"/>
  <c r="G31" i="3"/>
  <c r="I30" i="3"/>
  <c r="H29" i="3"/>
  <c r="F29" i="3"/>
  <c r="H28" i="3"/>
  <c r="F28" i="3"/>
  <c r="H27" i="3"/>
  <c r="F16" i="7"/>
  <c r="H16" i="7" s="1"/>
  <c r="H24" i="7"/>
  <c r="G24" i="7"/>
  <c r="H19" i="7"/>
  <c r="H17" i="7"/>
  <c r="H18" i="7"/>
  <c r="P80" i="2"/>
  <c r="Q80" i="2" s="1"/>
  <c r="R80" i="2" s="1"/>
  <c r="P177" i="2"/>
  <c r="Q177" i="2" s="1"/>
  <c r="R177" i="2" s="1"/>
  <c r="P189" i="2"/>
  <c r="Q189" i="2" s="1"/>
  <c r="R189" i="2" s="1"/>
  <c r="P194" i="2"/>
  <c r="Q194" i="2" s="1"/>
  <c r="R194" i="2" s="1"/>
  <c r="P203" i="2"/>
  <c r="Q203" i="2" s="1"/>
  <c r="R203" i="2" s="1"/>
  <c r="P211" i="2"/>
  <c r="Q211" i="2" s="1"/>
  <c r="R211" i="2" s="1"/>
  <c r="P213" i="2"/>
  <c r="Q213" i="2" s="1"/>
  <c r="R213" i="2" s="1"/>
  <c r="P222" i="2"/>
  <c r="Q222" i="2" s="1"/>
  <c r="R222" i="2" s="1"/>
  <c r="P229" i="2"/>
  <c r="Q229" i="2" s="1"/>
  <c r="R229" i="2" s="1"/>
  <c r="P234" i="2"/>
  <c r="Q234" i="2" s="1"/>
  <c r="R234" i="2" s="1"/>
  <c r="P244" i="2"/>
  <c r="Q244" i="2" s="1"/>
  <c r="R244" i="2" s="1"/>
  <c r="P251" i="2"/>
  <c r="Q251" i="2" s="1"/>
  <c r="R251" i="2" s="1"/>
  <c r="P257" i="2"/>
  <c r="Q257" i="2" s="1"/>
  <c r="R257" i="2" s="1"/>
  <c r="P267" i="2"/>
  <c r="Q267" i="2" s="1"/>
  <c r="R267" i="2" s="1"/>
  <c r="P97" i="2"/>
  <c r="Q97" i="2" s="1"/>
  <c r="R97" i="2" s="1"/>
  <c r="P181" i="2"/>
  <c r="Q181" i="2" s="1"/>
  <c r="R181" i="2" s="1"/>
  <c r="P193" i="2"/>
  <c r="Q193" i="2" s="1"/>
  <c r="R193" i="2" s="1"/>
  <c r="P198" i="2"/>
  <c r="Q198" i="2" s="1"/>
  <c r="R198" i="2" s="1"/>
  <c r="P210" i="2"/>
  <c r="Q210" i="2" s="1"/>
  <c r="R210" i="2" s="1"/>
  <c r="P216" i="2"/>
  <c r="Q216" i="2" s="1"/>
  <c r="R216" i="2" s="1"/>
  <c r="P227" i="2"/>
  <c r="Q227" i="2" s="1"/>
  <c r="R227" i="2" s="1"/>
  <c r="P232" i="2"/>
  <c r="Q232" i="2" s="1"/>
  <c r="R232" i="2" s="1"/>
  <c r="P236" i="2"/>
  <c r="Q236" i="2" s="1"/>
  <c r="R236" i="2" s="1"/>
  <c r="P247" i="2"/>
  <c r="Q247" i="2" s="1"/>
  <c r="R247" i="2" s="1"/>
  <c r="P256" i="2"/>
  <c r="Q256" i="2" s="1"/>
  <c r="R256" i="2" s="1"/>
  <c r="P259" i="2"/>
  <c r="Q259" i="2" s="1"/>
  <c r="R259" i="2" s="1"/>
  <c r="P258" i="2"/>
  <c r="Q258" i="2" s="1"/>
  <c r="R258" i="2" s="1"/>
  <c r="P98" i="2"/>
  <c r="Q98" i="2" s="1"/>
  <c r="R98" i="2" s="1"/>
  <c r="P173" i="2"/>
  <c r="Q173" i="2" s="1"/>
  <c r="R173" i="2" s="1"/>
  <c r="P185" i="2"/>
  <c r="Q185" i="2" s="1"/>
  <c r="R185" i="2" s="1"/>
  <c r="P199" i="2"/>
  <c r="Q199" i="2" s="1"/>
  <c r="R199" i="2" s="1"/>
  <c r="P212" i="2"/>
  <c r="Q212" i="2" s="1"/>
  <c r="R212" i="2" s="1"/>
  <c r="P217" i="2"/>
  <c r="Q217" i="2" s="1"/>
  <c r="R217" i="2" s="1"/>
  <c r="P228" i="2"/>
  <c r="Q228" i="2" s="1"/>
  <c r="R228" i="2" s="1"/>
  <c r="P243" i="2"/>
  <c r="Q243" i="2" s="1"/>
  <c r="R243" i="2" s="1"/>
  <c r="P248" i="2"/>
  <c r="Q248" i="2" s="1"/>
  <c r="R248" i="2" s="1"/>
  <c r="P264" i="2"/>
  <c r="Q264" i="2" s="1"/>
  <c r="R264" i="2" s="1"/>
  <c r="E52" i="3"/>
  <c r="D54" i="3"/>
  <c r="Z9" i="4"/>
  <c r="F23" i="4"/>
  <c r="R23" i="4"/>
  <c r="Q23" i="4"/>
  <c r="N6" i="4"/>
  <c r="N23" i="4" s="1"/>
  <c r="T12" i="4"/>
  <c r="S23" i="4"/>
  <c r="D54" i="4"/>
  <c r="C54" i="4"/>
  <c r="C53" i="4"/>
  <c r="E53" i="4" s="1"/>
  <c r="C52" i="4"/>
  <c r="E52" i="4" s="1"/>
  <c r="C51" i="4"/>
  <c r="E43" i="4"/>
  <c r="J27" i="4"/>
  <c r="D49" i="4"/>
  <c r="D43" i="4"/>
  <c r="I27" i="4"/>
  <c r="C43" i="4"/>
  <c r="H27" i="4"/>
  <c r="B50" i="4"/>
  <c r="G27" i="4"/>
  <c r="B43" i="4"/>
  <c r="E47" i="3"/>
  <c r="C54" i="3"/>
  <c r="B48" i="3"/>
  <c r="E48" i="3" s="1"/>
  <c r="B42" i="3"/>
  <c r="B43" i="3" s="1"/>
  <c r="B45" i="3" s="1"/>
  <c r="G26" i="3"/>
  <c r="C42" i="3"/>
  <c r="C43" i="3" s="1"/>
  <c r="C45" i="3" s="1"/>
  <c r="H26" i="3"/>
  <c r="D42" i="3"/>
  <c r="D43" i="3" s="1"/>
  <c r="D45" i="3" s="1"/>
  <c r="I26" i="3"/>
  <c r="E42" i="3"/>
  <c r="E43" i="3" s="1"/>
  <c r="E45" i="3" s="1"/>
  <c r="B54" i="3"/>
  <c r="W21" i="3"/>
  <c r="V21" i="3"/>
  <c r="W20" i="3"/>
  <c r="V20" i="3"/>
  <c r="W19" i="3"/>
  <c r="V19" i="3"/>
  <c r="W18" i="3"/>
  <c r="V18" i="3"/>
  <c r="W17" i="3"/>
  <c r="V17" i="3"/>
  <c r="W16" i="3"/>
  <c r="V16" i="3"/>
  <c r="W15" i="3"/>
  <c r="V15" i="3"/>
  <c r="W14" i="3"/>
  <c r="V14" i="3"/>
  <c r="W13" i="3"/>
  <c r="V13" i="3"/>
  <c r="W12" i="3"/>
  <c r="V12" i="3"/>
  <c r="W11" i="3"/>
  <c r="V11" i="3"/>
  <c r="W10" i="3"/>
  <c r="V10" i="3"/>
  <c r="W9" i="3"/>
  <c r="V9" i="3"/>
  <c r="W8" i="3"/>
  <c r="V8" i="3"/>
  <c r="W7" i="3"/>
  <c r="W6" i="3"/>
  <c r="U21" i="3" l="1"/>
  <c r="U22" i="3" s="1"/>
  <c r="U23" i="3" s="1"/>
  <c r="AC13" i="3"/>
  <c r="AE13" i="3" s="1"/>
  <c r="AE21" i="3" s="1"/>
  <c r="AE23" i="3" s="1"/>
  <c r="AE31" i="3" s="1"/>
  <c r="AA21" i="3"/>
  <c r="AB23" i="3"/>
  <c r="Z10" i="9"/>
  <c r="S25" i="3"/>
  <c r="Z20" i="9"/>
  <c r="AA20" i="9" s="1"/>
  <c r="Z19" i="9"/>
  <c r="AA19" i="9" s="1"/>
  <c r="X9" i="9"/>
  <c r="X23" i="9" s="1"/>
  <c r="W23" i="9"/>
  <c r="AF6" i="9"/>
  <c r="AC22" i="9"/>
  <c r="AC23" i="9" s="1"/>
  <c r="U6" i="9"/>
  <c r="U22" i="9" s="1"/>
  <c r="U23" i="9" s="1"/>
  <c r="T22" i="9"/>
  <c r="T23" i="9" s="1"/>
  <c r="AF7" i="9"/>
  <c r="D56" i="9"/>
  <c r="E49" i="9"/>
  <c r="E50" i="9"/>
  <c r="B56" i="9"/>
  <c r="Q32" i="8"/>
  <c r="P16" i="8"/>
  <c r="I39" i="8"/>
  <c r="R17" i="8"/>
  <c r="E54" i="4"/>
  <c r="T18" i="8"/>
  <c r="S38" i="8"/>
  <c r="T38" i="8" s="1"/>
  <c r="K38" i="8"/>
  <c r="T22" i="4"/>
  <c r="T23" i="4" s="1"/>
  <c r="Y8" i="4" s="1"/>
  <c r="U12" i="4"/>
  <c r="U22" i="4" s="1"/>
  <c r="U23" i="4" s="1"/>
  <c r="E54" i="3"/>
  <c r="S29" i="8"/>
  <c r="R29" i="8"/>
  <c r="T29" i="8" s="1"/>
  <c r="S28" i="8"/>
  <c r="R28" i="8"/>
  <c r="S27" i="8"/>
  <c r="R27" i="8"/>
  <c r="S26" i="8"/>
  <c r="R26" i="8"/>
  <c r="S25" i="8"/>
  <c r="R25" i="8"/>
  <c r="S24" i="8"/>
  <c r="R24" i="8"/>
  <c r="S23" i="8"/>
  <c r="R23" i="8"/>
  <c r="T23" i="8" s="1"/>
  <c r="S22" i="8"/>
  <c r="R22" i="8"/>
  <c r="S21" i="8"/>
  <c r="R21" i="8"/>
  <c r="S20" i="8"/>
  <c r="R20" i="8"/>
  <c r="S19" i="8"/>
  <c r="R19" i="8"/>
  <c r="S17" i="8"/>
  <c r="H15" i="7"/>
  <c r="F4" i="7" s="1"/>
  <c r="K30" i="8"/>
  <c r="L30" i="8" s="1"/>
  <c r="L18" i="8"/>
  <c r="K29" i="8"/>
  <c r="L29" i="8" s="1"/>
  <c r="J29" i="8"/>
  <c r="N29" i="8" s="1"/>
  <c r="M29" i="8" s="1"/>
  <c r="K28" i="8"/>
  <c r="L28" i="8" s="1"/>
  <c r="J28" i="8"/>
  <c r="N28" i="8" s="1"/>
  <c r="M28" i="8" s="1"/>
  <c r="K27" i="8"/>
  <c r="L27" i="8" s="1"/>
  <c r="J27" i="8"/>
  <c r="N27" i="8" s="1"/>
  <c r="M27" i="8" s="1"/>
  <c r="K26" i="8"/>
  <c r="L26" i="8" s="1"/>
  <c r="J26" i="8"/>
  <c r="N26" i="8" s="1"/>
  <c r="M26" i="8" s="1"/>
  <c r="K25" i="8"/>
  <c r="L25" i="8" s="1"/>
  <c r="J25" i="8"/>
  <c r="N25" i="8" s="1"/>
  <c r="M25" i="8" s="1"/>
  <c r="K24" i="8"/>
  <c r="L24" i="8" s="1"/>
  <c r="J24" i="8"/>
  <c r="N24" i="8" s="1"/>
  <c r="M24" i="8" s="1"/>
  <c r="K23" i="8"/>
  <c r="L23" i="8" s="1"/>
  <c r="J23" i="8"/>
  <c r="N23" i="8" s="1"/>
  <c r="M23" i="8" s="1"/>
  <c r="K22" i="8"/>
  <c r="L22" i="8" s="1"/>
  <c r="J22" i="8"/>
  <c r="N22" i="8" s="1"/>
  <c r="M22" i="8" s="1"/>
  <c r="K21" i="8"/>
  <c r="L21" i="8" s="1"/>
  <c r="J21" i="8"/>
  <c r="N21" i="8" s="1"/>
  <c r="M21" i="8" s="1"/>
  <c r="K20" i="8"/>
  <c r="L20" i="8" s="1"/>
  <c r="J20" i="8"/>
  <c r="N20" i="8" s="1"/>
  <c r="M20" i="8" s="1"/>
  <c r="K19" i="8"/>
  <c r="L19" i="8" s="1"/>
  <c r="J19" i="8"/>
  <c r="N19" i="8" s="1"/>
  <c r="M19" i="8" s="1"/>
  <c r="K17" i="8"/>
  <c r="J17" i="8"/>
  <c r="E51" i="4"/>
  <c r="C56" i="4"/>
  <c r="W23" i="4"/>
  <c r="X23" i="4"/>
  <c r="E44" i="4"/>
  <c r="E46" i="4" s="1"/>
  <c r="D44" i="4"/>
  <c r="D46" i="4" s="1"/>
  <c r="C44" i="4"/>
  <c r="C46" i="4" s="1"/>
  <c r="B44" i="4"/>
  <c r="B46" i="4" s="1"/>
  <c r="D56" i="4"/>
  <c r="E49" i="4"/>
  <c r="E50" i="4"/>
  <c r="B56" i="4"/>
  <c r="AC21" i="3" l="1"/>
  <c r="AC23" i="3" s="1"/>
  <c r="AA23" i="3"/>
  <c r="U25" i="3"/>
  <c r="U31" i="3" s="1"/>
  <c r="S31" i="3"/>
  <c r="E56" i="9"/>
  <c r="S32" i="8"/>
  <c r="S39" i="8" s="1"/>
  <c r="S44" i="8" s="1"/>
  <c r="X24" i="9"/>
  <c r="Y9" i="9"/>
  <c r="T24" i="9"/>
  <c r="T27" i="8"/>
  <c r="T19" i="8"/>
  <c r="R32" i="8"/>
  <c r="R39" i="8" s="1"/>
  <c r="Q39" i="8"/>
  <c r="Q44" i="8" s="1"/>
  <c r="Q45" i="8" s="1"/>
  <c r="P45" i="8" s="1"/>
  <c r="Q33" i="8"/>
  <c r="P34" i="8" s="1"/>
  <c r="P32" i="8"/>
  <c r="P39" i="8" s="1"/>
  <c r="K39" i="8"/>
  <c r="T24" i="8"/>
  <c r="T21" i="8"/>
  <c r="T20" i="8"/>
  <c r="K31" i="8"/>
  <c r="T26" i="8"/>
  <c r="T25" i="8"/>
  <c r="T22" i="8"/>
  <c r="T28" i="8"/>
  <c r="T17" i="8"/>
  <c r="L17" i="8"/>
  <c r="N17" i="8" s="1"/>
  <c r="M17" i="8" s="1"/>
  <c r="T24" i="4"/>
  <c r="X24" i="4"/>
  <c r="E56" i="4"/>
  <c r="AC24" i="3" l="1"/>
  <c r="AC31" i="3"/>
  <c r="AB24" i="3"/>
  <c r="AA24" i="3"/>
  <c r="U38" i="3"/>
  <c r="U40" i="3" s="1"/>
  <c r="U42" i="3" s="1"/>
  <c r="U33" i="3"/>
  <c r="S38" i="3"/>
  <c r="S40" i="3" s="1"/>
  <c r="S33" i="3"/>
  <c r="M31" i="8"/>
  <c r="N38" i="8"/>
  <c r="N39" i="8" s="1"/>
  <c r="Z9" i="9"/>
  <c r="T32" i="8"/>
  <c r="T33" i="8" s="1"/>
  <c r="T34" i="8" s="1"/>
  <c r="T39" i="8"/>
  <c r="T40" i="8" s="1"/>
  <c r="T41" i="8" s="1"/>
  <c r="R44" i="8"/>
  <c r="L31" i="8"/>
  <c r="K32" i="8"/>
  <c r="N31" i="8"/>
  <c r="M32" i="8"/>
  <c r="Y23" i="4"/>
  <c r="Z8" i="4"/>
  <c r="AB26" i="3" l="1"/>
  <c r="AB27" i="3"/>
  <c r="AA26" i="3"/>
  <c r="AA27" i="3"/>
  <c r="U44" i="3"/>
  <c r="Z21" i="9"/>
  <c r="AA21" i="9" s="1"/>
  <c r="Z23" i="4"/>
  <c r="Y24" i="4"/>
  <c r="Z24" i="4" s="1"/>
  <c r="AB31" i="3" l="1"/>
  <c r="AA31" i="3"/>
  <c r="Z22" i="9"/>
  <c r="AA22" i="9" s="1"/>
  <c r="AA23" i="9" s="1"/>
  <c r="Y23" i="9"/>
  <c r="F31" i="8"/>
  <c r="F3" i="7" l="1"/>
  <c r="Y24" i="9"/>
  <c r="Z23" i="9"/>
  <c r="Z24" i="9" s="1"/>
  <c r="F9" i="7" l="1"/>
  <c r="G3" i="7"/>
  <c r="G9" i="7" s="1"/>
  <c r="O9" i="4" l="1"/>
  <c r="AD9" i="4"/>
  <c r="AD22" i="4"/>
  <c r="O9" i="9"/>
  <c r="AE9" i="4"/>
  <c r="AE22" i="4"/>
  <c r="AE23" i="4"/>
  <c r="AE24" i="4"/>
  <c r="AE9" i="9"/>
  <c r="AF9" i="9"/>
  <c r="AF22" i="9"/>
  <c r="AF23" i="9"/>
  <c r="AD23" i="4"/>
  <c r="AE22" i="9"/>
  <c r="AE23" i="9"/>
  <c r="AF24" i="9"/>
</calcChain>
</file>

<file path=xl/sharedStrings.xml><?xml version="1.0" encoding="utf-8"?>
<sst xmlns="http://schemas.openxmlformats.org/spreadsheetml/2006/main" count="3268" uniqueCount="511">
  <si>
    <t>ACCOUNT#</t>
  </si>
  <si>
    <t>LEVEL1</t>
  </si>
  <si>
    <t>DESCRIPTION</t>
  </si>
  <si>
    <t>ACCOUNT TYPE</t>
  </si>
  <si>
    <t>BEG_BAL_JAN2026</t>
  </si>
  <si>
    <t>NET_CHANGE</t>
  </si>
  <si>
    <t>END_BAL_JUN2026</t>
  </si>
  <si>
    <t>CASH - FIRST STATE BANK</t>
  </si>
  <si>
    <t>B</t>
  </si>
  <si>
    <t/>
  </si>
  <si>
    <t>PETTY CASH</t>
  </si>
  <si>
    <t>CASH - HEALTH INS. ACCT</t>
  </si>
  <si>
    <t>CASH - FSA HEALTH ACCT</t>
  </si>
  <si>
    <t>ACCOUNTS RECEIVABLE</t>
  </si>
  <si>
    <t>ACCOUNTS RECEIVABLE-OTHER</t>
  </si>
  <si>
    <t>PREPAID EXPENSES</t>
  </si>
  <si>
    <t>DEPOSITS</t>
  </si>
  <si>
    <t>PREPAID INSURANCE</t>
  </si>
  <si>
    <t>INVENTORY-BOND PAPER</t>
  </si>
  <si>
    <t>INVENTORY-LABEL MATERIAL</t>
  </si>
  <si>
    <t>INVENTORY-CARBON</t>
  </si>
  <si>
    <t>INVENTORY-CARTONS</t>
  </si>
  <si>
    <t>INVENTORY-F/G</t>
  </si>
  <si>
    <t>INVENTORY-SUPPLIES</t>
  </si>
  <si>
    <t>INVENTORY-TAMARACK &amp; HUNKELER</t>
  </si>
  <si>
    <t>INVENTORY-ENVELOPES</t>
  </si>
  <si>
    <t>MACHINERY &amp; EQUIPMENT</t>
  </si>
  <si>
    <t>ACCUM.DEPR.-MACH.&amp; EQ.</t>
  </si>
  <si>
    <t>VEHICLES</t>
  </si>
  <si>
    <t>ACCUM.DEPR.-VEHICLES</t>
  </si>
  <si>
    <t>FURNITURE &amp; FIXTURES</t>
  </si>
  <si>
    <t>ACCUM.DEPR.-FURN.&amp; FIX.</t>
  </si>
  <si>
    <t>LEASEHOLD IMPROVEMENTS</t>
  </si>
  <si>
    <t>ACCUM.DEPR.-LEASEHOLD</t>
  </si>
  <si>
    <t>GOODWILL</t>
  </si>
  <si>
    <t>COMPUTER</t>
  </si>
  <si>
    <t>ACCUM.DEPR.-COMPUTER</t>
  </si>
  <si>
    <t>BUILDING AND LAND</t>
  </si>
  <si>
    <t>ACCUM.DEPR.-BUILDING</t>
  </si>
  <si>
    <t>ACCOUNTS PAYABLE</t>
  </si>
  <si>
    <t>CUSTOMER PAYMENTS ACCOUNT</t>
  </si>
  <si>
    <t>NOTE PAYABLE W &amp; J</t>
  </si>
  <si>
    <t>NOTES PAYABLE-FSB 20YR ST</t>
  </si>
  <si>
    <t>NOTES PAYABLE-FSB 20YR LT</t>
  </si>
  <si>
    <t>ACCRUED TAXES-GENERAL</t>
  </si>
  <si>
    <t>ACCRUED OHIO WORKER'S COM</t>
  </si>
  <si>
    <t>ACCRUED FLEX PLAN-H</t>
  </si>
  <si>
    <t>ACCRUED HEALTH INSURANCE</t>
  </si>
  <si>
    <t>ACCRUED EXPENSES-OTHER</t>
  </si>
  <si>
    <t>ACCRUED EMPLOYEE 401-K</t>
  </si>
  <si>
    <t>ACCRUED WAGES</t>
  </si>
  <si>
    <t>COMMON STOCK</t>
  </si>
  <si>
    <t>RETAINED EARNINGS</t>
  </si>
  <si>
    <t>PAID IN CAPITAL</t>
  </si>
  <si>
    <t>DISTRIBUTION TO SHAREHOLD</t>
  </si>
  <si>
    <t>FINISHED GOODS VARIBLE</t>
  </si>
  <si>
    <t>P</t>
  </si>
  <si>
    <t>SALES</t>
  </si>
  <si>
    <t>SALES - MISC FLAT CHARGES</t>
  </si>
  <si>
    <t>SALES DISCOUNTS</t>
  </si>
  <si>
    <t>SALES REBATE DISCOUNTS</t>
  </si>
  <si>
    <t>MEALS AND ENTERTAINMENT</t>
  </si>
  <si>
    <t>COGS-PAPER</t>
  </si>
  <si>
    <t>COGS-CARBON</t>
  </si>
  <si>
    <t>COGS-CARTONS</t>
  </si>
  <si>
    <t>COGS-INK</t>
  </si>
  <si>
    <t>COGS-PLATES/COMP CHARGES</t>
  </si>
  <si>
    <t>COGS-SUPPLIES</t>
  </si>
  <si>
    <t>COGS-SUPPLIES-LABEL</t>
  </si>
  <si>
    <t>COGS-INTEGRATED MATERIAL</t>
  </si>
  <si>
    <t>COGS-TAMARACK &amp; HUNKLER</t>
  </si>
  <si>
    <t>ENVELOPES</t>
  </si>
  <si>
    <t>ENVELOPE-IMPRINTING COST</t>
  </si>
  <si>
    <t>HEALTH INSURANCE -ADMIN</t>
  </si>
  <si>
    <t>CARETAKING-PRODUCTION</t>
  </si>
  <si>
    <t>RENT</t>
  </si>
  <si>
    <t>REPAIRS &amp; MAINTENANCE</t>
  </si>
  <si>
    <t>PRODUCTION WAGES</t>
  </si>
  <si>
    <t>PRODUCTION OVERTIME</t>
  </si>
  <si>
    <t>PRODUCTION VACATION</t>
  </si>
  <si>
    <t>PRODUCTION HOLIDAY</t>
  </si>
  <si>
    <t>MAINT. WAGES</t>
  </si>
  <si>
    <t>MAINT. O.T. WAGES</t>
  </si>
  <si>
    <t>MAINT. VAC. WAGES</t>
  </si>
  <si>
    <t>MAINT. HOLIDAY WAGES</t>
  </si>
  <si>
    <t>GENERAL PLANT WAGES</t>
  </si>
  <si>
    <t>GENERAL PLANT O.T.</t>
  </si>
  <si>
    <t>GENERAL PLANT VAC</t>
  </si>
  <si>
    <t>GENERAL PLANT HOLIDAY</t>
  </si>
  <si>
    <t>COMP DEPT WAGES</t>
  </si>
  <si>
    <t>COMP DEPT VACATION</t>
  </si>
  <si>
    <t>COMP DEPT HOLIDAY</t>
  </si>
  <si>
    <t>PLANT SUPERVISION</t>
  </si>
  <si>
    <t>BINDERY WAGES</t>
  </si>
  <si>
    <t>BINDERY O.T. WAGES</t>
  </si>
  <si>
    <t>BINDERY VAC WAGES</t>
  </si>
  <si>
    <t>BINDERY HOLIDAY WAGES</t>
  </si>
  <si>
    <t>MAT'L HANDLER WAGES</t>
  </si>
  <si>
    <t>MAT'L HANDLER-OVERTIME</t>
  </si>
  <si>
    <t>MAT'L HANDLER-VACATION</t>
  </si>
  <si>
    <t>MAT'L HANDLER-HOLIDAY</t>
  </si>
  <si>
    <t>SHIPPING WAGES</t>
  </si>
  <si>
    <t>SHIPPING O.T. WAGES</t>
  </si>
  <si>
    <t>SHIPPING VAC. WAGES</t>
  </si>
  <si>
    <t>SHIPPING HOLIDAY WAGES</t>
  </si>
  <si>
    <t>SUPERVISORY SALARIES</t>
  </si>
  <si>
    <t>TRUCK EXPENSES</t>
  </si>
  <si>
    <t>R &amp; M TRUCK #12</t>
  </si>
  <si>
    <t>R &amp; M TRUCK #13</t>
  </si>
  <si>
    <t>FICA EXPENSE MANUF.</t>
  </si>
  <si>
    <t>FUTA EXPENSE MANUF.</t>
  </si>
  <si>
    <t>STATE UNEMPLOYMENT</t>
  </si>
  <si>
    <t>WORKERS COMPENSATION</t>
  </si>
  <si>
    <t>401K EXPENSE MANUF.</t>
  </si>
  <si>
    <t>HEALTH INSURANCE PROD</t>
  </si>
  <si>
    <t>401K EXPENSE-ADMIN</t>
  </si>
  <si>
    <t>DEPRECIATION-MACH.&amp; EQ.</t>
  </si>
  <si>
    <t>DEPRECIATION-BUILDING</t>
  </si>
  <si>
    <t>DEPRECIATION-LEASEHOLD</t>
  </si>
  <si>
    <t>DEPRECIATION-VEHICLES</t>
  </si>
  <si>
    <t>DEPRECIATION-COMPUTER</t>
  </si>
  <si>
    <t>UTILITIES</t>
  </si>
  <si>
    <t>ADVERTISING</t>
  </si>
  <si>
    <t>BAD DEBT EXPENSE</t>
  </si>
  <si>
    <t>PAYROLL SERVICE CHARGES</t>
  </si>
  <si>
    <t>BANK CHARGES -SERVICE &amp; FEES</t>
  </si>
  <si>
    <t>CARETAKING-ADMINISTRATIVE</t>
  </si>
  <si>
    <t>DONATIONS</t>
  </si>
  <si>
    <t>SELLING EXPENSE</t>
  </si>
  <si>
    <t>TRAINING &amp; EDUCATION -SALES</t>
  </si>
  <si>
    <t>OFFICERS' LIFE INS.</t>
  </si>
  <si>
    <t>GENERAL INSURANCE</t>
  </si>
  <si>
    <t>OFFICE REPAIRS &amp; MAINTENANCE</t>
  </si>
  <si>
    <t>LEGAL &amp; PROFESSIONAL</t>
  </si>
  <si>
    <t>TRAINING &amp; SAFETY</t>
  </si>
  <si>
    <t>OFFICE SUPPLIES</t>
  </si>
  <si>
    <t>POSTAGE</t>
  </si>
  <si>
    <t>OUTSIDE SALES WAGES</t>
  </si>
  <si>
    <t>SALES SERVICE WAGES</t>
  </si>
  <si>
    <t>SALES SERVICE WAGES-OVERTIME</t>
  </si>
  <si>
    <t>SALES SERVICE WAGES-VACATION</t>
  </si>
  <si>
    <t>SALES SERVICE WAGES-HOLIDAY</t>
  </si>
  <si>
    <t>ADMINISTRATIVE WAGES</t>
  </si>
  <si>
    <t>EMPLOYEE BONUSES</t>
  </si>
  <si>
    <t>EMPLOYEE RELATIONS</t>
  </si>
  <si>
    <t>GENERAL TAXES</t>
  </si>
  <si>
    <t>FICA TAX</t>
  </si>
  <si>
    <t>O.B.E.S. TAX</t>
  </si>
  <si>
    <t>FUTA TAX</t>
  </si>
  <si>
    <t>WORKERS' COMP. TAX</t>
  </si>
  <si>
    <t>TELEPHONE</t>
  </si>
  <si>
    <t>INTERNET SERVICE CHARGES</t>
  </si>
  <si>
    <t>TRAVEL</t>
  </si>
  <si>
    <t>FREIGHT INCOME</t>
  </si>
  <si>
    <t>FREIGHT INCOME-OUR TRUCK</t>
  </si>
  <si>
    <t>FREIGHT EXPENSE</t>
  </si>
  <si>
    <t>INTERCOMPANY FREIGHT</t>
  </si>
  <si>
    <t>UNRECONCILED FREIGHT</t>
  </si>
  <si>
    <t>FREIGHT IN PRICE EXPENSES</t>
  </si>
  <si>
    <t>SALE OF SCRAP</t>
  </si>
  <si>
    <t>MISC. INCOME</t>
  </si>
  <si>
    <t>PURCHASE DISCOUNTS</t>
  </si>
  <si>
    <t>INTEREST INCOME</t>
  </si>
  <si>
    <t>DEBT FORGIVEN</t>
  </si>
  <si>
    <t>MISC. EXPENSE</t>
  </si>
  <si>
    <t>INTEREST EXPENSE</t>
  </si>
  <si>
    <t>PRODUCTION</t>
  </si>
  <si>
    <t>PRODUCTION OFFSET</t>
  </si>
  <si>
    <t>INCOME</t>
  </si>
  <si>
    <t>TYPE</t>
  </si>
  <si>
    <t>Cat1</t>
  </si>
  <si>
    <t>Cat2</t>
  </si>
  <si>
    <t>Plant1</t>
  </si>
  <si>
    <t>Plant2</t>
  </si>
  <si>
    <t>BS</t>
  </si>
  <si>
    <t>1. Sales</t>
  </si>
  <si>
    <t>IS</t>
  </si>
  <si>
    <t>2. Variable cost Mat</t>
  </si>
  <si>
    <t>20a. Paper</t>
  </si>
  <si>
    <t>8. Admin</t>
  </si>
  <si>
    <t>8. SG&amp;A</t>
  </si>
  <si>
    <t>20. Paper</t>
  </si>
  <si>
    <t>21. Carbon</t>
  </si>
  <si>
    <t>22. Cartons</t>
  </si>
  <si>
    <t>23. Ink</t>
  </si>
  <si>
    <t>24. Plates</t>
  </si>
  <si>
    <t>25. Supplies</t>
  </si>
  <si>
    <t>26. Integ Mat</t>
  </si>
  <si>
    <t>2a. Variable cost Mat Out/Env</t>
  </si>
  <si>
    <t>28. Envelops</t>
  </si>
  <si>
    <t>30. Insurance</t>
  </si>
  <si>
    <t>4. Mfg OVHD</t>
  </si>
  <si>
    <t>2. Variable cost Labor</t>
  </si>
  <si>
    <t>3. Mfg IDL</t>
  </si>
  <si>
    <t>7. Selling</t>
  </si>
  <si>
    <t>8. Admin IT</t>
  </si>
  <si>
    <t>8a. Frt Income</t>
  </si>
  <si>
    <t>8b. Frt Exp</t>
  </si>
  <si>
    <t>8c. Frt Exp</t>
  </si>
  <si>
    <t>9. Scrap &amp; Misc Inc</t>
  </si>
  <si>
    <t>2a. Variable cost Mat</t>
  </si>
  <si>
    <t>91. Other Inc/Exp</t>
  </si>
  <si>
    <t>99. Elim</t>
  </si>
  <si>
    <t>Sum of NET_CHANGE</t>
  </si>
  <si>
    <t>Column Labels</t>
  </si>
  <si>
    <t>Row Labels</t>
  </si>
  <si>
    <t>Angola</t>
  </si>
  <si>
    <t>Hillsboro</t>
  </si>
  <si>
    <t>Pixelle</t>
  </si>
  <si>
    <t>Grand Total</t>
  </si>
  <si>
    <t>Total</t>
  </si>
  <si>
    <t>Corp</t>
  </si>
  <si>
    <t>Comments</t>
  </si>
  <si>
    <t>% of Sales Totals</t>
  </si>
  <si>
    <t>ALL Purch Discts</t>
  </si>
  <si>
    <t>Super Sal - Who?</t>
  </si>
  <si>
    <t>Repairs</t>
  </si>
  <si>
    <t>Mostly Pix</t>
  </si>
  <si>
    <t>Net Frt Income</t>
  </si>
  <si>
    <t xml:space="preserve"> </t>
  </si>
  <si>
    <t>Annualized</t>
  </si>
  <si>
    <t>% Change toi 2025</t>
  </si>
  <si>
    <t>Estimated Jun2026 Full Yr to Full Yr 2025</t>
  </si>
  <si>
    <t>Another Pixlle credit?</t>
  </si>
  <si>
    <t>As a % lower due to sls, $ are higher, why up 20k?</t>
  </si>
  <si>
    <t>Annualized (minus debt forgive)</t>
  </si>
  <si>
    <t>Diff</t>
  </si>
  <si>
    <t>2026 Estimate</t>
  </si>
  <si>
    <t>3% higher lab&amp;mat impact</t>
  </si>
  <si>
    <t>Extra profit (loss)</t>
  </si>
  <si>
    <t>Frt Inc</t>
  </si>
  <si>
    <t>Sales</t>
  </si>
  <si>
    <t>Admin</t>
  </si>
  <si>
    <t>Mfg INDL</t>
  </si>
  <si>
    <t>Scrap&amp;Misc</t>
  </si>
  <si>
    <t>CREDIT PIXELLE</t>
  </si>
  <si>
    <t>Adjustment</t>
  </si>
  <si>
    <t>Forecast</t>
  </si>
  <si>
    <t>Adjust 6days vs 5 days</t>
  </si>
  <si>
    <t>Avg/Day</t>
  </si>
  <si>
    <t>Adj 2026 HY1</t>
  </si>
  <si>
    <t>Sales if 5Days</t>
  </si>
  <si>
    <t>5Days Sls</t>
  </si>
  <si>
    <t>Total Adj</t>
  </si>
  <si>
    <t>Adjusted</t>
  </si>
  <si>
    <r>
      <t xml:space="preserve">26 Annualized </t>
    </r>
    <r>
      <rPr>
        <b/>
        <sz val="9"/>
        <color rgb="FF000000"/>
        <rFont val="Aptos Narrow"/>
        <family val="2"/>
        <scheme val="minor"/>
      </rPr>
      <t>(minus debt forgive)</t>
    </r>
  </si>
  <si>
    <t>Adjustment Calcs</t>
  </si>
  <si>
    <t>Original</t>
  </si>
  <si>
    <t>how does this tie if Fordyce not in TB?</t>
  </si>
  <si>
    <t>Net Profit</t>
  </si>
  <si>
    <t>2026 6Mo</t>
  </si>
  <si>
    <t>Add back Interest Expense</t>
  </si>
  <si>
    <t>Add back Depreciation</t>
  </si>
  <si>
    <t>Estimated Fair Market Rent</t>
  </si>
  <si>
    <t>Add back Bank Charges②</t>
  </si>
  <si>
    <t>Add back Bad Debt③</t>
  </si>
  <si>
    <t>Deduct Gain on Sale of Assets</t>
  </si>
  <si>
    <t>Deduct EXCESS Purchase Discounts</t>
  </si>
  <si>
    <t>Deduct Other Income④</t>
  </si>
  <si>
    <t>Deduct Debt Forgiveness</t>
  </si>
  <si>
    <t>Add back Est. Owners' Perqs</t>
  </si>
  <si>
    <t>Net Profit after Debt Adj</t>
  </si>
  <si>
    <t>Adjusted EBITDA</t>
  </si>
  <si>
    <t>Valuation 3.5x</t>
  </si>
  <si>
    <t>Difference</t>
  </si>
  <si>
    <t>essentially no cost reductions 2025&amp;2026 cost same</t>
  </si>
  <si>
    <t>Pixelle Sales Adjusted by 100k Q1 &amp; 100k HY2 = 200k</t>
  </si>
  <si>
    <t>41k Pixelle credit x 2 = 82k full year adjsuted</t>
  </si>
  <si>
    <t>Need to understand what issues were and what are extra costs</t>
  </si>
  <si>
    <t>or are they not producing as much and sales would be higher</t>
  </si>
  <si>
    <t>2026 6Months</t>
  </si>
  <si>
    <t>HCF FINANCIALS HY1 2026</t>
  </si>
  <si>
    <t>2026 % Change toi 2025</t>
  </si>
  <si>
    <t>EXPLANATION</t>
  </si>
  <si>
    <t>12k sale of asset?</t>
  </si>
  <si>
    <t>half</t>
  </si>
  <si>
    <t>deff</t>
  </si>
  <si>
    <t>74k bonus not in 2026, also -14k credit in 2026</t>
  </si>
  <si>
    <t>miscellaneous income of $12,000 is for a premium we paid employees to work Saturdays for several months this year to get more Pixelle products produced and get backorders filled.  Pixelle agreed to reimburse us for those costs.</t>
  </si>
  <si>
    <t>$12,000 is for a premium we paid employees to work Saturdays</t>
  </si>
  <si>
    <t>1. Cash</t>
  </si>
  <si>
    <t>2. AR</t>
  </si>
  <si>
    <t>3. Prepaid</t>
  </si>
  <si>
    <t>4. Inv Paper</t>
  </si>
  <si>
    <t>4. Inv Label Mat</t>
  </si>
  <si>
    <t>4. Inv Carbon</t>
  </si>
  <si>
    <t>4. Inv Cartons</t>
  </si>
  <si>
    <t>4. Inv FGS</t>
  </si>
  <si>
    <t>4. Inv Supplies</t>
  </si>
  <si>
    <t>4. Inv TAMARACK &amp; HUNKELER</t>
  </si>
  <si>
    <t>4. Inv Envelopes</t>
  </si>
  <si>
    <t>1. Cash Total</t>
  </si>
  <si>
    <t>2. AR Total</t>
  </si>
  <si>
    <t>3. Prepaid Total</t>
  </si>
  <si>
    <t>4. Inv Paper Total</t>
  </si>
  <si>
    <t>4. Inv Label Mat Total</t>
  </si>
  <si>
    <t>4. Inv Carbon Total</t>
  </si>
  <si>
    <t>4. Inv Cartons Total</t>
  </si>
  <si>
    <t>4. Inv FGS Total</t>
  </si>
  <si>
    <t>4. Inv Supplies Total</t>
  </si>
  <si>
    <t>4. Inv TAMARACK &amp; HUNKELER Total</t>
  </si>
  <si>
    <t>4. Inv Envelopes Total</t>
  </si>
  <si>
    <t>5. M&amp;E</t>
  </si>
  <si>
    <t>6. Intangible</t>
  </si>
  <si>
    <t>7. AP</t>
  </si>
  <si>
    <t>8. Accr AP</t>
  </si>
  <si>
    <t>9. NP</t>
  </si>
  <si>
    <t>9a. RE</t>
  </si>
  <si>
    <t>5. M&amp;E Total</t>
  </si>
  <si>
    <t>6. Intangible Total</t>
  </si>
  <si>
    <t>7. AP Total</t>
  </si>
  <si>
    <t>9. NP Total</t>
  </si>
  <si>
    <t>8. Accr AP Total</t>
  </si>
  <si>
    <t>9a. RE Total</t>
  </si>
  <si>
    <t>Sum of BEG_BAL_JAN2026</t>
  </si>
  <si>
    <t>Values</t>
  </si>
  <si>
    <t>Sum of END_BAL_JUN2026</t>
  </si>
  <si>
    <t>Jun 2026 % Total</t>
  </si>
  <si>
    <t>% Angola</t>
  </si>
  <si>
    <t>% Hillsboro</t>
  </si>
  <si>
    <t>Before</t>
  </si>
  <si>
    <t>After</t>
  </si>
  <si>
    <t>2026 HY1</t>
  </si>
  <si>
    <t>Rent</t>
  </si>
  <si>
    <t>Fordyce</t>
  </si>
  <si>
    <t>2026 Est</t>
  </si>
  <si>
    <t>Sqft</t>
  </si>
  <si>
    <t>Price NNN</t>
  </si>
  <si>
    <t>New Calc</t>
  </si>
  <si>
    <t>NNN?</t>
  </si>
  <si>
    <t>Acqusition</t>
  </si>
  <si>
    <t>Adjusmt</t>
  </si>
  <si>
    <t>Supporting Calculations</t>
  </si>
  <si>
    <t>SYNERGIES</t>
  </si>
  <si>
    <t>HCF Acquistion</t>
  </si>
  <si>
    <t>1 less owner, keeping one</t>
  </si>
  <si>
    <t>Owner 2</t>
  </si>
  <si>
    <t>Owner 1</t>
  </si>
  <si>
    <t>Heatlhcare</t>
  </si>
  <si>
    <t>IT Synergies</t>
  </si>
  <si>
    <t>PEOPLE</t>
  </si>
  <si>
    <t>Rhonda - CFO to GM</t>
  </si>
  <si>
    <t>Brooke - Accting/Inv</t>
  </si>
  <si>
    <t>20% Incr for more repons</t>
  </si>
  <si>
    <t>10% Incr for more repons</t>
  </si>
  <si>
    <t>May need one but rehire in FTW</t>
  </si>
  <si>
    <t>Cust Sls</t>
  </si>
  <si>
    <t>Keth Dick</t>
  </si>
  <si>
    <t>Carmen Martin</t>
  </si>
  <si>
    <t>Mary Wills</t>
  </si>
  <si>
    <t>Terri</t>
  </si>
  <si>
    <t>Noah</t>
  </si>
  <si>
    <t>Outside Sls</t>
  </si>
  <si>
    <t>Tim Mcconah</t>
  </si>
  <si>
    <t>Plant Super</t>
  </si>
  <si>
    <t>Scheduling</t>
  </si>
  <si>
    <t>Melody Maguire</t>
  </si>
  <si>
    <t>Dena Melchi</t>
  </si>
  <si>
    <t>Shipping</t>
  </si>
  <si>
    <t>Benji Hawkins</t>
  </si>
  <si>
    <t>Need for State work</t>
  </si>
  <si>
    <t>Have him develop sales</t>
  </si>
  <si>
    <t>No need for position</t>
  </si>
  <si>
    <t>Jason Miller</t>
  </si>
  <si>
    <t>PAPER</t>
  </si>
  <si>
    <t>Scheduling/OfficeMgr</t>
  </si>
  <si>
    <t>Jeff Hensley</t>
  </si>
  <si>
    <t>Darin Murtle</t>
  </si>
  <si>
    <t>orders intergrated paper, does all integ estimates</t>
  </si>
  <si>
    <t>Cust Sls (remote)</t>
  </si>
  <si>
    <t>COMP (remote)</t>
  </si>
  <si>
    <t>1961 closer to retire but doesn't think wants to</t>
  </si>
  <si>
    <r>
      <t xml:space="preserve">Work with Terri on govt stuff </t>
    </r>
    <r>
      <rPr>
        <sz val="11"/>
        <color rgb="FFC00000"/>
        <rFont val="Aptos Narrow"/>
        <family val="2"/>
        <scheme val="minor"/>
      </rPr>
      <t>(maybe could train on paperwork or sales side??)</t>
    </r>
  </si>
  <si>
    <r>
      <t xml:space="preserve">Cust Serv, </t>
    </r>
    <r>
      <rPr>
        <sz val="11"/>
        <color rgb="FFC00000"/>
        <rFont val="Aptos Narrow"/>
        <family val="2"/>
        <scheme val="minor"/>
      </rPr>
      <t>truck driver</t>
    </r>
    <r>
      <rPr>
        <sz val="11"/>
        <color indexed="8"/>
        <rFont val="Aptos Narrow"/>
        <family val="2"/>
        <scheme val="minor"/>
      </rPr>
      <t>, jack all trades,ship,, mat hand, scheuling</t>
    </r>
  </si>
  <si>
    <t>No need job jackets, runs reports for Rob, bindery when needed, used to burn plates before operators trained to burn own plates ANGOLA only; use 3rd party for flexo</t>
  </si>
  <si>
    <t>Keep - cust service - all stock orders, sales HCF.com; lots logistics, complaints, frt schuling big jobs (VERY VALUABLE, knows computer system)</t>
  </si>
  <si>
    <t>Utilities</t>
  </si>
  <si>
    <t>Caretaking</t>
  </si>
  <si>
    <t>General Insurance</t>
  </si>
  <si>
    <t>TOTAL SYNERGIES</t>
  </si>
  <si>
    <t>Verified-"Nothing from corporate in Angola Utilities - they should all go away with the building"</t>
  </si>
  <si>
    <t>Only things coded are NIPSCO - electric provide and City of Angola which is water and sewer.</t>
  </si>
  <si>
    <t>We allocate the premiums based on previous years sales percentages to each location.  The annual premium will go down once we remove the building from the policy.  Not sure how much $.</t>
  </si>
  <si>
    <t>Jan-Jun2026</t>
  </si>
  <si>
    <t>Jan-Dec2025</t>
  </si>
  <si>
    <t>FY 2026 Est</t>
  </si>
  <si>
    <t>Labor Cost</t>
  </si>
  <si>
    <t>% Sales</t>
  </si>
  <si>
    <t>Misc Incom 12k Premium Saturdays</t>
  </si>
  <si>
    <t>Assume doesn't repeat</t>
  </si>
  <si>
    <t>Assum reduces to 1.3%</t>
  </si>
  <si>
    <t>Est 2027</t>
  </si>
  <si>
    <t>$450k x 4</t>
  </si>
  <si>
    <t>Assumption</t>
  </si>
  <si>
    <t>Jul-Dec2026</t>
  </si>
  <si>
    <t>Mar</t>
  </si>
  <si>
    <t>Feb</t>
  </si>
  <si>
    <t>May</t>
  </si>
  <si>
    <t>Apr</t>
  </si>
  <si>
    <t>Jun</t>
  </si>
  <si>
    <t>Jan</t>
  </si>
  <si>
    <t>CM</t>
  </si>
  <si>
    <t>Should Sales have been about 40k more in HY1 2026?</t>
  </si>
  <si>
    <t>Based on what you invoiced for issues?</t>
  </si>
  <si>
    <t>Is there normally a cost in supervisor salary in Fordyce facility?</t>
  </si>
  <si>
    <t>or is it zero and you are just running the credit through this account?</t>
  </si>
  <si>
    <t>???</t>
  </si>
  <si>
    <t>WITHOUT 6days</t>
  </si>
  <si>
    <t>Valuation</t>
  </si>
  <si>
    <t xml:space="preserve">Valatuion </t>
  </si>
  <si>
    <t>Should be</t>
  </si>
  <si>
    <t>Lives with Hamilton Martinez (Press)</t>
  </si>
  <si>
    <t>2026 Adj 5Days</t>
  </si>
  <si>
    <t>Orignal</t>
  </si>
  <si>
    <t>2026 12Months</t>
  </si>
  <si>
    <t>VARLAB</t>
  </si>
  <si>
    <t>IDL</t>
  </si>
  <si>
    <t>Var &amp; IDL</t>
  </si>
  <si>
    <t>Rest Labor FICA</t>
  </si>
  <si>
    <t>Sales - VARL&amp;IDL</t>
  </si>
  <si>
    <t>ck fig</t>
  </si>
  <si>
    <t>Red-RENT Need to validate still</t>
  </si>
  <si>
    <t>Estimated Fair Market Rent NNN</t>
  </si>
  <si>
    <t>Pixelle Abnormal Sales Q1</t>
  </si>
  <si>
    <t>Pixelle Abnormal Sales Duplicated in HY2 2026 Forecast</t>
  </si>
  <si>
    <t>Due the same for Jul-Dec since the P&amp;L was annaulized for the second half year</t>
  </si>
  <si>
    <t>Explanation of new EBITDA Adjustments</t>
  </si>
  <si>
    <t>HCF ran 6 days (abnormal) to help Pixelle catch up from Mill closer (5/6)= .83%=Adjust out of Sales $91,885</t>
  </si>
  <si>
    <t>DLabor Adjustment for Sales Diff</t>
  </si>
  <si>
    <t>DLabor Adjustment for Sales Diff Dupl in HY2 2026 Forecast</t>
  </si>
  <si>
    <t>Annualized adjusted P&amp;L</t>
  </si>
  <si>
    <t>Synergies</t>
  </si>
  <si>
    <t>Depreciation new co 12yrs (300,000 equip)(20x15k)</t>
  </si>
  <si>
    <t>P&amp;L</t>
  </si>
  <si>
    <t>4% Sales (Full Sales)</t>
  </si>
  <si>
    <t>Extra Profit to Wise (Yrly)</t>
  </si>
  <si>
    <t>P&amp;L @ 70% retention</t>
  </si>
  <si>
    <t>$1M Inv Carry Cost @7%</t>
  </si>
  <si>
    <t>$500k Upfront (paid over 5 years) 6.6%</t>
  </si>
  <si>
    <t>30% of sls drop</t>
  </si>
  <si>
    <t>Add back Interest Expense/Inc</t>
  </si>
  <si>
    <t>Add back 1 owner salary</t>
  </si>
  <si>
    <t>Pixelle Q1 overinflated working 6 days, use average of Q2&amp;Q3</t>
  </si>
  <si>
    <t>Diff 3.5x</t>
  </si>
  <si>
    <t>Per AI NNN is usually 25-50% of rent</t>
  </si>
  <si>
    <t>Estimated Fair Market Rent NNN (30%?)</t>
  </si>
  <si>
    <t>Pixelle Sales</t>
  </si>
  <si>
    <t>Profit remove debt forgive</t>
  </si>
  <si>
    <t>Alloc Corp</t>
  </si>
  <si>
    <t>Net income</t>
  </si>
  <si>
    <t>Income HY1</t>
  </si>
  <si>
    <t>Income Full YR</t>
  </si>
  <si>
    <t>Multiple</t>
  </si>
  <si>
    <t>Valuation LOI</t>
  </si>
  <si>
    <t>ADJ EBITDA Full YR APA</t>
  </si>
  <si>
    <t>ADJ EBITDA Full YR LOI</t>
  </si>
  <si>
    <t>Valuation APA</t>
  </si>
  <si>
    <t>AFTER Acquire</t>
  </si>
  <si>
    <t>Hills/Ang</t>
  </si>
  <si>
    <t>Full YR</t>
  </si>
  <si>
    <t>BEFORE Acquire</t>
  </si>
  <si>
    <t>TOTAL</t>
  </si>
  <si>
    <t>Additional Income</t>
  </si>
  <si>
    <t>Half YR</t>
  </si>
  <si>
    <t>Pixelle Abnormal Sls HY2 Overstated</t>
  </si>
  <si>
    <t>Dlabor Adjustment  HY2 Overstated</t>
  </si>
  <si>
    <t>Estimated Fair Mkt Rent</t>
  </si>
  <si>
    <t>Estimated Fair Mkt Rent NNN (30%?)</t>
  </si>
  <si>
    <t>Deprec new co 12yrs (300,000 equip)(20x15k)</t>
  </si>
  <si>
    <t>5 Years</t>
  </si>
  <si>
    <t>Earnout Hills 2%, Pix 4%</t>
  </si>
  <si>
    <t>Pay Upfront</t>
  </si>
  <si>
    <t>Remaining to Earnout 1.2M</t>
  </si>
  <si>
    <t>Total Earnout</t>
  </si>
  <si>
    <t>Earnout Hills 2%, Pix 5%</t>
  </si>
  <si>
    <t>Earnout $</t>
  </si>
  <si>
    <t>If Pixelle Sales Hit 1.925M run rate/yr</t>
  </si>
  <si>
    <t>Extra $ per Yr</t>
  </si>
  <si>
    <t>New Total Earnout</t>
  </si>
  <si>
    <t>% to pay if exceed yrly run rate of 1.8</t>
  </si>
  <si>
    <t>Pixelle Higher</t>
  </si>
  <si>
    <t>Profit &amp; Loss Ongoing</t>
  </si>
  <si>
    <t>Full Yr no Pix</t>
  </si>
  <si>
    <r>
      <t xml:space="preserve">Full Yr </t>
    </r>
    <r>
      <rPr>
        <b/>
        <sz val="11"/>
        <color rgb="FFC00000"/>
        <rFont val="Aptos Narrow"/>
        <family val="2"/>
        <scheme val="minor"/>
      </rPr>
      <t>No Pix</t>
    </r>
  </si>
  <si>
    <t>Profit Full Yr</t>
  </si>
  <si>
    <t>$0 Upfront</t>
  </si>
  <si>
    <t>Deprec new co 12yrs (240,000 equip)(20x15k)</t>
  </si>
  <si>
    <t>Earnout Hills2%/yr</t>
  </si>
  <si>
    <t>3% Forms for 3Years</t>
  </si>
  <si>
    <t>2% Forms for 4.5Years</t>
  </si>
  <si>
    <t>Earnout Options</t>
  </si>
  <si>
    <t>Paper Synergies</t>
  </si>
  <si>
    <t>IDL Synergies</t>
  </si>
  <si>
    <t>OHD Synergies</t>
  </si>
  <si>
    <t>ADMIN Synergies</t>
  </si>
  <si>
    <t>Possibly 1-2 more cust service &amp; 1 Accting</t>
  </si>
  <si>
    <t>Prefer this</t>
  </si>
  <si>
    <t>Inventory</t>
  </si>
  <si>
    <t>Total Payout</t>
  </si>
  <si>
    <t>Rob</t>
  </si>
  <si>
    <t>BEFORE</t>
  </si>
  <si>
    <t>END_BAL_JUNE2026</t>
  </si>
  <si>
    <t>CASH - MERCHANTS NAT BANK</t>
  </si>
  <si>
    <t>SALES-MACHINES</t>
  </si>
  <si>
    <t>COGS-RAW MATERIALS GF</t>
  </si>
  <si>
    <t>COGS-PARTS PURCHASED GF</t>
  </si>
  <si>
    <t>COGS-OUTSIDE SERVICES GF</t>
  </si>
  <si>
    <t>DUES &amp; SUBSCRIPTIONS</t>
  </si>
  <si>
    <t>Flip Signs</t>
  </si>
  <si>
    <t>Current w/ Allocated Corp 100% to Hillsboro</t>
  </si>
  <si>
    <t>Profit Full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</si>
</sst>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0.0%"/>
    <numFmt numFmtId="166" formatCode="_(* #,##0_);_(* \(#,##0\);_(* &quot;-&quot;??_);_(@_)"/>
    <numFmt numFmtId="167" formatCode="_(&quot;$&quot;* #,##0_);_(&quot;$&quot;* \(#,##0\);_(&quot;$&quot;* &quot;-&quot;?_);_(@_)"/>
  </numFmts>
  <fonts count="2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indexed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2"/>
      <color indexed="8"/>
      <name val="Aptos"/>
      <family val="2"/>
    </font>
    <font>
      <b/>
      <sz val="11"/>
      <color rgb="FF00B050"/>
      <name val="Aptos Narrow"/>
      <family val="2"/>
      <scheme val="minor"/>
    </font>
    <font>
      <b/>
      <sz val="9"/>
      <color rgb="FF000000"/>
      <name val="Aptos Narrow"/>
      <family val="2"/>
      <scheme val="minor"/>
    </font>
    <font>
      <sz val="12"/>
      <color rgb="FFFF0000"/>
      <name val="Aptos"/>
      <family val="2"/>
    </font>
    <font>
      <sz val="9"/>
      <color indexed="8"/>
      <name val="Aptos Narrow"/>
      <family val="2"/>
      <scheme val="minor"/>
    </font>
    <font>
      <sz val="10"/>
      <color indexed="8"/>
      <name val="Aptos Narrow"/>
      <family val="2"/>
      <scheme val="minor"/>
    </font>
    <font>
      <sz val="10"/>
      <name val="Arial"/>
      <family val="2"/>
    </font>
    <font>
      <b/>
      <sz val="11"/>
      <color rgb="FF0070C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rgb="FFFF0000"/>
      <name val="Calibri"/>
      <family val="2"/>
    </font>
    <font>
      <sz val="8"/>
      <name val="Aptos Narrow"/>
      <family val="2"/>
      <scheme val="minor"/>
    </font>
    <font>
      <b/>
      <sz val="9"/>
      <color indexed="8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F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342">
    <xf numFmtId="0" fontId="0" fillId="0" borderId="0" xfId="0"/>
    <xf numFmtId="0" fontId="2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2" fontId="1" fillId="0" borderId="0" xfId="0" applyNumberFormat="1" applyFont="1" applyAlignment="1">
      <alignment wrapText="1"/>
    </xf>
    <xf numFmtId="2" fontId="2" fillId="0" borderId="0" xfId="0" applyNumberFormat="1" applyFont="1"/>
    <xf numFmtId="2" fontId="0" fillId="0" borderId="0" xfId="0" applyNumberFormat="1"/>
    <xf numFmtId="0" fontId="0" fillId="2" borderId="0" xfId="0" applyFill="1" applyAlignment="1">
      <alignment wrapText="1"/>
    </xf>
    <xf numFmtId="0" fontId="0" fillId="3" borderId="0" xfId="0" applyFill="1"/>
    <xf numFmtId="0" fontId="2" fillId="3" borderId="0" xfId="0" applyFon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7" borderId="0" xfId="0" applyFont="1" applyFill="1"/>
    <xf numFmtId="0" fontId="0" fillId="8" borderId="0" xfId="0" applyFill="1"/>
    <xf numFmtId="0" fontId="2" fillId="4" borderId="0" xfId="0" applyFont="1" applyFill="1"/>
    <xf numFmtId="0" fontId="0" fillId="2" borderId="0" xfId="0" applyFill="1" applyAlignment="1">
      <alignment horizontal="center"/>
    </xf>
    <xf numFmtId="0" fontId="0" fillId="9" borderId="0" xfId="0" applyFill="1"/>
    <xf numFmtId="0" fontId="0" fillId="0" borderId="0" xfId="0" applyAlignment="1">
      <alignment horizontal="center"/>
    </xf>
    <xf numFmtId="0" fontId="0" fillId="9" borderId="0" xfId="0" applyFill="1" applyAlignment="1">
      <alignment horizontal="center"/>
    </xf>
    <xf numFmtId="9" fontId="0" fillId="0" borderId="0" xfId="3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/>
    <xf numFmtId="164" fontId="6" fillId="0" borderId="0" xfId="0" applyNumberFormat="1" applyFont="1"/>
    <xf numFmtId="164" fontId="6" fillId="9" borderId="0" xfId="0" applyNumberFormat="1" applyFont="1" applyFill="1"/>
    <xf numFmtId="164" fontId="0" fillId="0" borderId="4" xfId="0" applyNumberFormat="1" applyBorder="1"/>
    <xf numFmtId="164" fontId="6" fillId="0" borderId="5" xfId="0" applyNumberFormat="1" applyFont="1" applyBorder="1"/>
    <xf numFmtId="164" fontId="6" fillId="10" borderId="0" xfId="0" applyNumberFormat="1" applyFont="1" applyFill="1"/>
    <xf numFmtId="165" fontId="6" fillId="0" borderId="0" xfId="3" applyNumberFormat="1" applyFont="1"/>
    <xf numFmtId="165" fontId="6" fillId="0" borderId="0" xfId="3" applyNumberFormat="1" applyFont="1" applyBorder="1"/>
    <xf numFmtId="165" fontId="6" fillId="0" borderId="5" xfId="3" applyNumberFormat="1" applyFont="1" applyBorder="1"/>
    <xf numFmtId="164" fontId="0" fillId="5" borderId="0" xfId="0" applyNumberFormat="1" applyFill="1"/>
    <xf numFmtId="0" fontId="0" fillId="2" borderId="0" xfId="0" applyFill="1" applyAlignment="1">
      <alignment horizontal="left"/>
    </xf>
    <xf numFmtId="164" fontId="0" fillId="2" borderId="0" xfId="0" applyNumberFormat="1" applyFill="1"/>
    <xf numFmtId="164" fontId="6" fillId="2" borderId="0" xfId="0" applyNumberFormat="1" applyFont="1" applyFill="1"/>
    <xf numFmtId="164" fontId="4" fillId="0" borderId="0" xfId="0" applyNumberFormat="1" applyFont="1"/>
    <xf numFmtId="164" fontId="6" fillId="4" borderId="0" xfId="0" applyNumberFormat="1" applyFont="1" applyFill="1"/>
    <xf numFmtId="0" fontId="0" fillId="2" borderId="0" xfId="0" applyFill="1"/>
    <xf numFmtId="164" fontId="0" fillId="0" borderId="7" xfId="0" applyNumberFormat="1" applyBorder="1"/>
    <xf numFmtId="164" fontId="0" fillId="0" borderId="8" xfId="0" applyNumberFormat="1" applyBorder="1"/>
    <xf numFmtId="165" fontId="0" fillId="0" borderId="0" xfId="3" applyNumberFormat="1" applyFont="1"/>
    <xf numFmtId="164" fontId="6" fillId="0" borderId="9" xfId="0" applyNumberFormat="1" applyFont="1" applyBorder="1"/>
    <xf numFmtId="0" fontId="6" fillId="0" borderId="0" xfId="0" applyFont="1"/>
    <xf numFmtId="44" fontId="0" fillId="0" borderId="0" xfId="0" applyNumberFormat="1"/>
    <xf numFmtId="0" fontId="0" fillId="7" borderId="0" xfId="0" applyFill="1"/>
    <xf numFmtId="0" fontId="0" fillId="10" borderId="0" xfId="0" applyFill="1" applyAlignment="1">
      <alignment horizontal="left"/>
    </xf>
    <xf numFmtId="164" fontId="0" fillId="0" borderId="9" xfId="0" applyNumberFormat="1" applyBorder="1"/>
    <xf numFmtId="0" fontId="0" fillId="0" borderId="0" xfId="0" applyAlignment="1">
      <alignment horizontal="right"/>
    </xf>
    <xf numFmtId="0" fontId="0" fillId="12" borderId="0" xfId="0" applyFill="1"/>
    <xf numFmtId="0" fontId="0" fillId="0" borderId="0" xfId="0" pivotButton="1"/>
    <xf numFmtId="0" fontId="6" fillId="8" borderId="11" xfId="0" applyFont="1" applyFill="1" applyBorder="1"/>
    <xf numFmtId="164" fontId="6" fillId="8" borderId="11" xfId="0" applyNumberFormat="1" applyFont="1" applyFill="1" applyBorder="1"/>
    <xf numFmtId="9" fontId="6" fillId="13" borderId="0" xfId="3" applyFont="1" applyFill="1"/>
    <xf numFmtId="164" fontId="0" fillId="14" borderId="0" xfId="0" applyNumberFormat="1" applyFill="1"/>
    <xf numFmtId="0" fontId="0" fillId="13" borderId="0" xfId="0" applyFill="1"/>
    <xf numFmtId="2" fontId="2" fillId="14" borderId="0" xfId="0" applyNumberFormat="1" applyFont="1" applyFill="1"/>
    <xf numFmtId="9" fontId="4" fillId="0" borderId="0" xfId="3" applyFont="1"/>
    <xf numFmtId="0" fontId="4" fillId="0" borderId="0" xfId="0" applyFont="1" applyAlignment="1">
      <alignment horizontal="left"/>
    </xf>
    <xf numFmtId="0" fontId="0" fillId="13" borderId="0" xfId="0" applyFill="1" applyAlignment="1">
      <alignment horizontal="left" wrapText="1"/>
    </xf>
    <xf numFmtId="164" fontId="0" fillId="15" borderId="0" xfId="0" applyNumberFormat="1" applyFill="1"/>
    <xf numFmtId="0" fontId="4" fillId="10" borderId="0" xfId="0" applyFont="1" applyFill="1"/>
    <xf numFmtId="164" fontId="9" fillId="0" borderId="0" xfId="0" applyNumberFormat="1" applyFont="1"/>
    <xf numFmtId="164" fontId="7" fillId="0" borderId="0" xfId="0" applyNumberFormat="1" applyFont="1"/>
    <xf numFmtId="164" fontId="0" fillId="0" borderId="0" xfId="2" applyNumberFormat="1" applyFont="1"/>
    <xf numFmtId="164" fontId="0" fillId="0" borderId="9" xfId="2" applyNumberFormat="1" applyFont="1" applyBorder="1"/>
    <xf numFmtId="164" fontId="0" fillId="7" borderId="0" xfId="0" applyNumberFormat="1" applyFill="1"/>
    <xf numFmtId="0" fontId="6" fillId="16" borderId="0" xfId="0" applyFont="1" applyFill="1"/>
    <xf numFmtId="164" fontId="6" fillId="16" borderId="0" xfId="0" applyNumberFormat="1" applyFont="1" applyFill="1"/>
    <xf numFmtId="0" fontId="6" fillId="0" borderId="0" xfId="0" applyFont="1" applyAlignment="1">
      <alignment horizontal="center"/>
    </xf>
    <xf numFmtId="0" fontId="5" fillId="11" borderId="10" xfId="0" applyFont="1" applyFill="1" applyBorder="1" applyAlignment="1">
      <alignment horizontal="center"/>
    </xf>
    <xf numFmtId="0" fontId="0" fillId="0" borderId="9" xfId="0" applyBorder="1"/>
    <xf numFmtId="44" fontId="6" fillId="0" borderId="0" xfId="2" applyFont="1"/>
    <xf numFmtId="0" fontId="6" fillId="7" borderId="0" xfId="0" applyFont="1" applyFill="1" applyAlignment="1">
      <alignment horizontal="center"/>
    </xf>
    <xf numFmtId="0" fontId="5" fillId="11" borderId="13" xfId="0" applyFont="1" applyFill="1" applyBorder="1" applyAlignment="1">
      <alignment horizontal="center"/>
    </xf>
    <xf numFmtId="164" fontId="6" fillId="0" borderId="14" xfId="0" applyNumberFormat="1" applyFont="1" applyBorder="1"/>
    <xf numFmtId="164" fontId="6" fillId="0" borderId="15" xfId="0" applyNumberFormat="1" applyFont="1" applyBorder="1"/>
    <xf numFmtId="0" fontId="0" fillId="0" borderId="2" xfId="0" applyBorder="1"/>
    <xf numFmtId="0" fontId="6" fillId="0" borderId="3" xfId="0" applyFont="1" applyBorder="1" applyAlignment="1">
      <alignment horizontal="center"/>
    </xf>
    <xf numFmtId="164" fontId="0" fillId="0" borderId="7" xfId="2" applyNumberFormat="1" applyFont="1" applyBorder="1"/>
    <xf numFmtId="0" fontId="0" fillId="0" borderId="7" xfId="0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6" xfId="0" applyFont="1" applyBorder="1"/>
    <xf numFmtId="0" fontId="6" fillId="0" borderId="1" xfId="0" applyFont="1" applyBorder="1"/>
    <xf numFmtId="164" fontId="6" fillId="8" borderId="0" xfId="0" applyNumberFormat="1" applyFont="1" applyFill="1"/>
    <xf numFmtId="0" fontId="6" fillId="0" borderId="0" xfId="0" applyFont="1" applyAlignment="1">
      <alignment horizontal="center" wrapText="1"/>
    </xf>
    <xf numFmtId="0" fontId="6" fillId="16" borderId="0" xfId="0" applyFont="1" applyFill="1" applyAlignment="1">
      <alignment horizontal="left" vertical="center"/>
    </xf>
    <xf numFmtId="164" fontId="6" fillId="16" borderId="0" xfId="0" applyNumberFormat="1" applyFont="1" applyFill="1" applyAlignment="1">
      <alignment vertical="center"/>
    </xf>
    <xf numFmtId="44" fontId="6" fillId="16" borderId="0" xfId="0" applyNumberFormat="1" applyFont="1" applyFill="1" applyAlignment="1">
      <alignment vertical="center"/>
    </xf>
    <xf numFmtId="0" fontId="6" fillId="16" borderId="0" xfId="0" applyFont="1" applyFill="1" applyAlignment="1">
      <alignment vertical="center"/>
    </xf>
    <xf numFmtId="164" fontId="6" fillId="9" borderId="0" xfId="0" applyNumberFormat="1" applyFont="1" applyFill="1" applyAlignment="1">
      <alignment vertical="center"/>
    </xf>
    <xf numFmtId="0" fontId="6" fillId="0" borderId="0" xfId="0" applyFont="1" applyAlignment="1">
      <alignment vertical="center"/>
    </xf>
    <xf numFmtId="164" fontId="6" fillId="16" borderId="16" xfId="0" applyNumberFormat="1" applyFont="1" applyFill="1" applyBorder="1" applyAlignment="1">
      <alignment vertical="center"/>
    </xf>
    <xf numFmtId="41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center"/>
    </xf>
    <xf numFmtId="41" fontId="0" fillId="0" borderId="0" xfId="0" applyNumberFormat="1"/>
    <xf numFmtId="41" fontId="0" fillId="0" borderId="9" xfId="0" applyNumberFormat="1" applyBorder="1"/>
    <xf numFmtId="0" fontId="2" fillId="12" borderId="0" xfId="0" applyFont="1" applyFill="1"/>
    <xf numFmtId="2" fontId="2" fillId="12" borderId="0" xfId="0" applyNumberFormat="1" applyFont="1" applyFill="1"/>
    <xf numFmtId="41" fontId="4" fillId="0" borderId="0" xfId="0" applyNumberFormat="1" applyFont="1"/>
    <xf numFmtId="0" fontId="0" fillId="13" borderId="0" xfId="0" applyFill="1" applyAlignment="1">
      <alignment horizontal="center"/>
    </xf>
    <xf numFmtId="164" fontId="0" fillId="13" borderId="0" xfId="0" applyNumberFormat="1" applyFill="1"/>
    <xf numFmtId="164" fontId="6" fillId="13" borderId="0" xfId="0" applyNumberFormat="1" applyFont="1" applyFill="1"/>
    <xf numFmtId="0" fontId="6" fillId="13" borderId="0" xfId="0" applyFont="1" applyFill="1" applyAlignment="1">
      <alignment horizontal="center"/>
    </xf>
    <xf numFmtId="0" fontId="4" fillId="0" borderId="0" xfId="0" applyFont="1"/>
    <xf numFmtId="0" fontId="2" fillId="5" borderId="0" xfId="0" applyFont="1" applyFill="1"/>
    <xf numFmtId="2" fontId="2" fillId="5" borderId="0" xfId="0" applyNumberFormat="1" applyFont="1" applyFill="1"/>
    <xf numFmtId="0" fontId="6" fillId="13" borderId="0" xfId="0" applyFont="1" applyFill="1"/>
    <xf numFmtId="0" fontId="0" fillId="17" borderId="0" xfId="0" applyFill="1" applyAlignment="1">
      <alignment wrapText="1"/>
    </xf>
    <xf numFmtId="0" fontId="0" fillId="17" borderId="0" xfId="0" applyFill="1"/>
    <xf numFmtId="0" fontId="2" fillId="17" borderId="0" xfId="0" applyFont="1" applyFill="1"/>
    <xf numFmtId="2" fontId="2" fillId="17" borderId="0" xfId="0" applyNumberFormat="1" applyFont="1" applyFill="1"/>
    <xf numFmtId="0" fontId="8" fillId="0" borderId="0" xfId="0" applyFont="1" applyAlignment="1">
      <alignment vertical="center"/>
    </xf>
    <xf numFmtId="0" fontId="0" fillId="0" borderId="0" xfId="0" pivotButton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3" applyNumberFormat="1" applyFont="1" applyAlignment="1">
      <alignment horizontal="center"/>
    </xf>
    <xf numFmtId="0" fontId="0" fillId="0" borderId="0" xfId="0" applyAlignment="1">
      <alignment horizontal="center" wrapText="1"/>
    </xf>
    <xf numFmtId="164" fontId="0" fillId="18" borderId="0" xfId="0" applyNumberFormat="1" applyFill="1" applyAlignment="1">
      <alignment horizontal="center"/>
    </xf>
    <xf numFmtId="0" fontId="13" fillId="0" borderId="0" xfId="0" applyFont="1" applyAlignment="1">
      <alignment horizontal="center" wrapText="1"/>
    </xf>
    <xf numFmtId="0" fontId="13" fillId="18" borderId="0" xfId="0" applyFont="1" applyFill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9" fontId="0" fillId="0" borderId="4" xfId="3" applyFont="1" applyBorder="1" applyAlignment="1">
      <alignment horizontal="center" wrapText="1"/>
    </xf>
    <xf numFmtId="9" fontId="0" fillId="0" borderId="5" xfId="3" applyFont="1" applyBorder="1" applyAlignment="1">
      <alignment horizontal="center" wrapText="1"/>
    </xf>
    <xf numFmtId="9" fontId="0" fillId="0" borderId="6" xfId="3" applyFont="1" applyBorder="1" applyAlignment="1">
      <alignment horizontal="center" wrapText="1"/>
    </xf>
    <xf numFmtId="9" fontId="0" fillId="0" borderId="8" xfId="3" applyFont="1" applyBorder="1" applyAlignment="1">
      <alignment horizontal="center" wrapText="1"/>
    </xf>
    <xf numFmtId="164" fontId="0" fillId="13" borderId="0" xfId="0" applyNumberFormat="1" applyFill="1" applyAlignment="1">
      <alignment horizontal="center"/>
    </xf>
    <xf numFmtId="0" fontId="12" fillId="13" borderId="0" xfId="0" applyFont="1" applyFill="1" applyAlignment="1">
      <alignment horizontal="center" wrapText="1"/>
    </xf>
    <xf numFmtId="0" fontId="12" fillId="19" borderId="0" xfId="0" applyFont="1" applyFill="1" applyAlignment="1">
      <alignment horizontal="center" wrapText="1"/>
    </xf>
    <xf numFmtId="164" fontId="0" fillId="19" borderId="0" xfId="0" applyNumberFormat="1" applyFill="1" applyAlignment="1">
      <alignment horizontal="center"/>
    </xf>
    <xf numFmtId="0" fontId="14" fillId="0" borderId="0" xfId="0" applyFont="1"/>
    <xf numFmtId="164" fontId="6" fillId="0" borderId="0" xfId="2" applyNumberFormat="1" applyFont="1"/>
    <xf numFmtId="166" fontId="0" fillId="0" borderId="0" xfId="1" applyNumberFormat="1" applyFont="1"/>
    <xf numFmtId="0" fontId="15" fillId="0" borderId="0" xfId="0" applyFont="1" applyAlignment="1">
      <alignment horizontal="center"/>
    </xf>
    <xf numFmtId="164" fontId="16" fillId="0" borderId="0" xfId="2" applyNumberFormat="1" applyFont="1"/>
    <xf numFmtId="0" fontId="6" fillId="0" borderId="2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164" fontId="7" fillId="0" borderId="0" xfId="2" applyNumberFormat="1" applyFont="1"/>
    <xf numFmtId="0" fontId="15" fillId="0" borderId="0" xfId="0" applyFont="1" applyAlignment="1">
      <alignment vertical="center"/>
    </xf>
    <xf numFmtId="164" fontId="0" fillId="0" borderId="0" xfId="2" applyNumberFormat="1" applyFont="1" applyBorder="1"/>
    <xf numFmtId="164" fontId="16" fillId="0" borderId="0" xfId="2" applyNumberFormat="1" applyFont="1" applyBorder="1"/>
    <xf numFmtId="164" fontId="6" fillId="0" borderId="0" xfId="2" applyNumberFormat="1" applyFont="1" applyBorder="1"/>
    <xf numFmtId="0" fontId="6" fillId="16" borderId="11" xfId="0" applyFont="1" applyFill="1" applyBorder="1"/>
    <xf numFmtId="0" fontId="0" fillId="0" borderId="11" xfId="0" applyBorder="1"/>
    <xf numFmtId="164" fontId="6" fillId="16" borderId="11" xfId="2" applyNumberFormat="1" applyFont="1" applyFill="1" applyBorder="1"/>
    <xf numFmtId="166" fontId="14" fillId="0" borderId="4" xfId="1" applyNumberFormat="1" applyFont="1" applyBorder="1" applyAlignment="1">
      <alignment horizontal="center"/>
    </xf>
    <xf numFmtId="44" fontId="0" fillId="0" borderId="0" xfId="2" applyFont="1" applyBorder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0" fontId="0" fillId="20" borderId="5" xfId="0" applyFill="1" applyBorder="1" applyAlignment="1">
      <alignment horizontal="center"/>
    </xf>
    <xf numFmtId="0" fontId="0" fillId="0" borderId="5" xfId="0" applyBorder="1" applyAlignment="1">
      <alignment horizontal="center"/>
    </xf>
    <xf numFmtId="166" fontId="14" fillId="0" borderId="6" xfId="1" applyNumberFormat="1" applyFont="1" applyBorder="1" applyAlignment="1">
      <alignment horizontal="center"/>
    </xf>
    <xf numFmtId="44" fontId="0" fillId="0" borderId="7" xfId="2" applyFont="1" applyBorder="1" applyAlignment="1">
      <alignment horizontal="center"/>
    </xf>
    <xf numFmtId="164" fontId="0" fillId="0" borderId="7" xfId="2" applyNumberFormat="1" applyFont="1" applyBorder="1" applyAlignment="1">
      <alignment horizontal="center"/>
    </xf>
    <xf numFmtId="0" fontId="0" fillId="20" borderId="8" xfId="0" applyFill="1" applyBorder="1" applyAlignment="1">
      <alignment horizontal="center"/>
    </xf>
    <xf numFmtId="164" fontId="0" fillId="0" borderId="0" xfId="2" applyNumberFormat="1" applyFont="1" applyAlignment="1">
      <alignment horizontal="left"/>
    </xf>
    <xf numFmtId="164" fontId="0" fillId="21" borderId="0" xfId="0" applyNumberFormat="1" applyFill="1"/>
    <xf numFmtId="164" fontId="17" fillId="0" borderId="0" xfId="2" applyNumberFormat="1" applyFont="1"/>
    <xf numFmtId="2" fontId="2" fillId="7" borderId="0" xfId="0" applyNumberFormat="1" applyFont="1" applyFill="1"/>
    <xf numFmtId="166" fontId="0" fillId="0" borderId="0" xfId="1" applyNumberFormat="1" applyFont="1" applyAlignment="1">
      <alignment horizontal="left"/>
    </xf>
    <xf numFmtId="2" fontId="2" fillId="22" borderId="0" xfId="0" applyNumberFormat="1" applyFont="1" applyFill="1"/>
    <xf numFmtId="164" fontId="2" fillId="0" borderId="0" xfId="2" applyNumberFormat="1" applyFont="1"/>
    <xf numFmtId="0" fontId="6" fillId="0" borderId="17" xfId="0" applyFont="1" applyBorder="1"/>
    <xf numFmtId="164" fontId="2" fillId="0" borderId="17" xfId="2" applyNumberFormat="1" applyFont="1" applyBorder="1"/>
    <xf numFmtId="0" fontId="0" fillId="0" borderId="17" xfId="0" applyBorder="1"/>
    <xf numFmtId="164" fontId="6" fillId="0" borderId="17" xfId="0" applyNumberFormat="1" applyFont="1" applyBorder="1"/>
    <xf numFmtId="9" fontId="0" fillId="0" borderId="0" xfId="3" applyFont="1" applyAlignment="1">
      <alignment horizontal="center"/>
    </xf>
    <xf numFmtId="164" fontId="18" fillId="0" borderId="0" xfId="2" applyNumberFormat="1" applyFont="1"/>
    <xf numFmtId="0" fontId="18" fillId="0" borderId="0" xfId="0" applyFont="1"/>
    <xf numFmtId="164" fontId="18" fillId="0" borderId="0" xfId="2" applyNumberFormat="1" applyFont="1" applyFill="1"/>
    <xf numFmtId="165" fontId="4" fillId="0" borderId="0" xfId="3" applyNumberFormat="1" applyFont="1" applyFill="1" applyAlignment="1">
      <alignment horizontal="center"/>
    </xf>
    <xf numFmtId="0" fontId="0" fillId="23" borderId="0" xfId="0" applyFill="1" applyAlignment="1">
      <alignment horizontal="center"/>
    </xf>
    <xf numFmtId="165" fontId="0" fillId="23" borderId="0" xfId="0" applyNumberFormat="1" applyFill="1"/>
    <xf numFmtId="0" fontId="6" fillId="24" borderId="0" xfId="0" applyFont="1" applyFill="1" applyAlignment="1">
      <alignment horizontal="center"/>
    </xf>
    <xf numFmtId="165" fontId="0" fillId="24" borderId="0" xfId="3" applyNumberFormat="1" applyFont="1" applyFill="1" applyAlignment="1">
      <alignment horizontal="center"/>
    </xf>
    <xf numFmtId="165" fontId="4" fillId="24" borderId="0" xfId="3" applyNumberFormat="1" applyFont="1" applyFill="1" applyAlignment="1">
      <alignment horizontal="center"/>
    </xf>
    <xf numFmtId="0" fontId="4" fillId="24" borderId="0" xfId="0" applyFont="1" applyFill="1" applyAlignment="1">
      <alignment horizontal="center"/>
    </xf>
    <xf numFmtId="9" fontId="0" fillId="24" borderId="0" xfId="3" applyFont="1" applyFill="1" applyAlignment="1">
      <alignment horizontal="center"/>
    </xf>
    <xf numFmtId="164" fontId="2" fillId="4" borderId="0" xfId="2" applyNumberFormat="1" applyFont="1" applyFill="1"/>
    <xf numFmtId="164" fontId="18" fillId="4" borderId="0" xfId="2" applyNumberFormat="1" applyFont="1" applyFill="1"/>
    <xf numFmtId="0" fontId="18" fillId="0" borderId="0" xfId="0" applyFont="1" applyAlignment="1">
      <alignment horizontal="right"/>
    </xf>
    <xf numFmtId="164" fontId="2" fillId="0" borderId="0" xfId="2" applyNumberFormat="1" applyFont="1" applyFill="1"/>
    <xf numFmtId="0" fontId="6" fillId="23" borderId="0" xfId="0" applyFont="1" applyFill="1" applyAlignment="1">
      <alignment horizontal="center"/>
    </xf>
    <xf numFmtId="0" fontId="4" fillId="4" borderId="0" xfId="0" applyFont="1" applyFill="1" applyAlignment="1">
      <alignment horizontal="left"/>
    </xf>
    <xf numFmtId="0" fontId="6" fillId="0" borderId="14" xfId="0" applyFont="1" applyBorder="1" applyAlignment="1">
      <alignment horizontal="center"/>
    </xf>
    <xf numFmtId="164" fontId="2" fillId="0" borderId="19" xfId="2" applyNumberFormat="1" applyFont="1" applyBorder="1"/>
    <xf numFmtId="164" fontId="2" fillId="0" borderId="14" xfId="2" applyNumberFormat="1" applyFont="1" applyBorder="1"/>
    <xf numFmtId="164" fontId="2" fillId="4" borderId="14" xfId="2" applyNumberFormat="1" applyFont="1" applyFill="1" applyBorder="1"/>
    <xf numFmtId="164" fontId="18" fillId="0" borderId="14" xfId="2" applyNumberFormat="1" applyFont="1" applyBorder="1"/>
    <xf numFmtId="164" fontId="6" fillId="0" borderId="19" xfId="0" applyNumberFormat="1" applyFont="1" applyBorder="1"/>
    <xf numFmtId="0" fontId="15" fillId="0" borderId="18" xfId="0" applyFont="1" applyBorder="1" applyAlignment="1">
      <alignment horizontal="center"/>
    </xf>
    <xf numFmtId="164" fontId="12" fillId="0" borderId="0" xfId="2" applyNumberFormat="1" applyFont="1"/>
    <xf numFmtId="0" fontId="12" fillId="0" borderId="0" xfId="0" applyFont="1"/>
    <xf numFmtId="0" fontId="4" fillId="23" borderId="1" xfId="0" applyFont="1" applyFill="1" applyBorder="1"/>
    <xf numFmtId="0" fontId="4" fillId="23" borderId="2" xfId="0" applyFont="1" applyFill="1" applyBorder="1"/>
    <xf numFmtId="0" fontId="4" fillId="23" borderId="3" xfId="0" applyFont="1" applyFill="1" applyBorder="1"/>
    <xf numFmtId="0" fontId="4" fillId="23" borderId="6" xfId="0" applyFont="1" applyFill="1" applyBorder="1"/>
    <xf numFmtId="0" fontId="4" fillId="23" borderId="7" xfId="0" applyFont="1" applyFill="1" applyBorder="1"/>
    <xf numFmtId="0" fontId="4" fillId="23" borderId="8" xfId="0" applyFont="1" applyFill="1" applyBorder="1"/>
    <xf numFmtId="0" fontId="1" fillId="5" borderId="1" xfId="0" applyFont="1" applyFill="1" applyBorder="1"/>
    <xf numFmtId="0" fontId="2" fillId="5" borderId="2" xfId="0" applyFont="1" applyFill="1" applyBorder="1"/>
    <xf numFmtId="2" fontId="2" fillId="5" borderId="2" xfId="0" applyNumberFormat="1" applyFont="1" applyFill="1" applyBorder="1"/>
    <xf numFmtId="164" fontId="2" fillId="5" borderId="2" xfId="2" applyNumberFormat="1" applyFont="1" applyFill="1" applyBorder="1"/>
    <xf numFmtId="0" fontId="0" fillId="2" borderId="2" xfId="0" applyFill="1" applyBorder="1"/>
    <xf numFmtId="0" fontId="0" fillId="0" borderId="3" xfId="0" applyBorder="1"/>
    <xf numFmtId="0" fontId="0" fillId="2" borderId="4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5" xfId="0" applyFill="1" applyBorder="1"/>
    <xf numFmtId="0" fontId="0" fillId="2" borderId="8" xfId="0" applyFill="1" applyBorder="1"/>
    <xf numFmtId="0" fontId="0" fillId="2" borderId="12" xfId="0" applyFill="1" applyBorder="1" applyAlignment="1">
      <alignment horizontal="center"/>
    </xf>
    <xf numFmtId="2" fontId="1" fillId="0" borderId="0" xfId="0" applyNumberFormat="1" applyFont="1"/>
    <xf numFmtId="2" fontId="1" fillId="13" borderId="0" xfId="0" applyNumberFormat="1" applyFont="1" applyFill="1"/>
    <xf numFmtId="164" fontId="0" fillId="25" borderId="0" xfId="0" applyNumberFormat="1" applyFill="1"/>
    <xf numFmtId="164" fontId="6" fillId="26" borderId="11" xfId="2" applyNumberFormat="1" applyFont="1" applyFill="1" applyBorder="1"/>
    <xf numFmtId="41" fontId="16" fillId="0" borderId="0" xfId="0" applyNumberFormat="1" applyFont="1"/>
    <xf numFmtId="41" fontId="0" fillId="26" borderId="0" xfId="0" applyNumberFormat="1" applyFill="1"/>
    <xf numFmtId="0" fontId="6" fillId="0" borderId="20" xfId="0" applyFont="1" applyBorder="1"/>
    <xf numFmtId="164" fontId="6" fillId="0" borderId="11" xfId="0" applyNumberFormat="1" applyFont="1" applyBorder="1"/>
    <xf numFmtId="164" fontId="0" fillId="13" borderId="11" xfId="0" applyNumberFormat="1" applyFill="1" applyBorder="1"/>
    <xf numFmtId="164" fontId="6" fillId="26" borderId="0" xfId="0" applyNumberFormat="1" applyFont="1" applyFill="1"/>
    <xf numFmtId="164" fontId="6" fillId="0" borderId="4" xfId="0" applyNumberFormat="1" applyFont="1" applyBorder="1"/>
    <xf numFmtId="164" fontId="6" fillId="16" borderId="6" xfId="0" applyNumberFormat="1" applyFont="1" applyFill="1" applyBorder="1" applyAlignment="1">
      <alignment vertical="center"/>
    </xf>
    <xf numFmtId="0" fontId="0" fillId="0" borderId="1" xfId="0" applyBorder="1"/>
    <xf numFmtId="0" fontId="6" fillId="0" borderId="4" xfId="0" applyFont="1" applyBorder="1"/>
    <xf numFmtId="0" fontId="0" fillId="13" borderId="5" xfId="0" applyFill="1" applyBorder="1" applyAlignment="1">
      <alignment horizontal="center"/>
    </xf>
    <xf numFmtId="0" fontId="0" fillId="0" borderId="4" xfId="0" applyBorder="1"/>
    <xf numFmtId="0" fontId="0" fillId="13" borderId="5" xfId="0" applyFill="1" applyBorder="1"/>
    <xf numFmtId="164" fontId="0" fillId="13" borderId="21" xfId="0" applyNumberFormat="1" applyFill="1" applyBorder="1"/>
    <xf numFmtId="164" fontId="0" fillId="13" borderId="5" xfId="0" applyNumberFormat="1" applyFill="1" applyBorder="1"/>
    <xf numFmtId="0" fontId="4" fillId="0" borderId="4" xfId="0" applyFont="1" applyBorder="1"/>
    <xf numFmtId="164" fontId="6" fillId="16" borderId="4" xfId="0" applyNumberFormat="1" applyFont="1" applyFill="1" applyBorder="1" applyAlignment="1">
      <alignment vertical="center"/>
    </xf>
    <xf numFmtId="0" fontId="0" fillId="0" borderId="7" xfId="0" applyBorder="1"/>
    <xf numFmtId="41" fontId="6" fillId="0" borderId="7" xfId="0" applyNumberFormat="1" applyFont="1" applyBorder="1" applyAlignment="1">
      <alignment vertical="center"/>
    </xf>
    <xf numFmtId="0" fontId="0" fillId="0" borderId="8" xfId="0" applyBorder="1"/>
    <xf numFmtId="41" fontId="0" fillId="26" borderId="9" xfId="0" applyNumberFormat="1" applyFill="1" applyBorder="1"/>
    <xf numFmtId="164" fontId="0" fillId="13" borderId="22" xfId="0" applyNumberFormat="1" applyFill="1" applyBorder="1"/>
    <xf numFmtId="0" fontId="0" fillId="0" borderId="5" xfId="0" applyBorder="1"/>
    <xf numFmtId="0" fontId="0" fillId="0" borderId="14" xfId="0" applyBorder="1" applyAlignment="1">
      <alignment wrapText="1"/>
    </xf>
    <xf numFmtId="0" fontId="6" fillId="0" borderId="5" xfId="0" applyFont="1" applyBorder="1" applyAlignment="1">
      <alignment vertical="center"/>
    </xf>
    <xf numFmtId="0" fontId="6" fillId="0" borderId="5" xfId="0" applyFont="1" applyBorder="1"/>
    <xf numFmtId="166" fontId="20" fillId="0" borderId="0" xfId="1" applyNumberFormat="1" applyFont="1"/>
    <xf numFmtId="166" fontId="0" fillId="0" borderId="0" xfId="0" applyNumberFormat="1"/>
    <xf numFmtId="43" fontId="0" fillId="0" borderId="0" xfId="0" applyNumberFormat="1"/>
    <xf numFmtId="0" fontId="6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wrapText="1"/>
    </xf>
    <xf numFmtId="164" fontId="0" fillId="13" borderId="5" xfId="0" applyNumberFormat="1" applyFill="1" applyBorder="1" applyAlignment="1">
      <alignment horizontal="center"/>
    </xf>
    <xf numFmtId="164" fontId="6" fillId="0" borderId="0" xfId="0" applyNumberFormat="1" applyFont="1" applyAlignment="1">
      <alignment horizontal="center"/>
    </xf>
    <xf numFmtId="164" fontId="4" fillId="13" borderId="5" xfId="0" applyNumberFormat="1" applyFont="1" applyFill="1" applyBorder="1"/>
    <xf numFmtId="164" fontId="4" fillId="13" borderId="5" xfId="0" applyNumberFormat="1" applyFont="1" applyFill="1" applyBorder="1" applyAlignment="1">
      <alignment horizontal="center"/>
    </xf>
    <xf numFmtId="0" fontId="21" fillId="0" borderId="0" xfId="0" applyFont="1"/>
    <xf numFmtId="0" fontId="15" fillId="0" borderId="23" xfId="0" applyFont="1" applyBorder="1"/>
    <xf numFmtId="0" fontId="21" fillId="0" borderId="24" xfId="0" applyFont="1" applyBorder="1"/>
    <xf numFmtId="164" fontId="15" fillId="0" borderId="24" xfId="0" applyNumberFormat="1" applyFont="1" applyBorder="1"/>
    <xf numFmtId="164" fontId="15" fillId="0" borderId="25" xfId="0" applyNumberFormat="1" applyFont="1" applyBorder="1"/>
    <xf numFmtId="164" fontId="0" fillId="0" borderId="0" xfId="3" applyNumberFormat="1" applyFont="1" applyAlignment="1">
      <alignment horizontal="center"/>
    </xf>
    <xf numFmtId="9" fontId="0" fillId="0" borderId="0" xfId="0" applyNumberFormat="1"/>
    <xf numFmtId="165" fontId="0" fillId="0" borderId="0" xfId="0" applyNumberFormat="1"/>
    <xf numFmtId="0" fontId="6" fillId="0" borderId="1" xfId="0" applyFont="1" applyBorder="1" applyAlignment="1">
      <alignment horizontal="center"/>
    </xf>
    <xf numFmtId="164" fontId="0" fillId="19" borderId="4" xfId="0" applyNumberFormat="1" applyFill="1" applyBorder="1"/>
    <xf numFmtId="164" fontId="0" fillId="19" borderId="0" xfId="0" applyNumberFormat="1" applyFill="1"/>
    <xf numFmtId="0" fontId="0" fillId="0" borderId="0" xfId="0" applyAlignment="1">
      <alignment vertical="center"/>
    </xf>
    <xf numFmtId="0" fontId="0" fillId="16" borderId="0" xfId="0" applyFill="1"/>
    <xf numFmtId="164" fontId="0" fillId="0" borderId="0" xfId="2" applyNumberFormat="1" applyFont="1" applyAlignment="1">
      <alignment vertical="center"/>
    </xf>
    <xf numFmtId="164" fontId="6" fillId="25" borderId="11" xfId="0" applyNumberFormat="1" applyFont="1" applyFill="1" applyBorder="1" applyAlignment="1">
      <alignment vertical="center"/>
    </xf>
    <xf numFmtId="0" fontId="0" fillId="25" borderId="11" xfId="0" applyFill="1" applyBorder="1"/>
    <xf numFmtId="164" fontId="0" fillId="25" borderId="11" xfId="0" applyNumberFormat="1" applyFill="1" applyBorder="1" applyAlignment="1">
      <alignment vertical="center"/>
    </xf>
    <xf numFmtId="0" fontId="6" fillId="25" borderId="11" xfId="0" applyFont="1" applyFill="1" applyBorder="1"/>
    <xf numFmtId="0" fontId="0" fillId="19" borderId="0" xfId="0" applyFill="1"/>
    <xf numFmtId="164" fontId="0" fillId="27" borderId="11" xfId="0" applyNumberFormat="1" applyFill="1" applyBorder="1" applyAlignment="1">
      <alignment vertical="center"/>
    </xf>
    <xf numFmtId="0" fontId="0" fillId="27" borderId="11" xfId="0" applyFill="1" applyBorder="1"/>
    <xf numFmtId="0" fontId="6" fillId="27" borderId="11" xfId="0" applyFont="1" applyFill="1" applyBorder="1"/>
    <xf numFmtId="0" fontId="0" fillId="28" borderId="4" xfId="0" applyFill="1" applyBorder="1" applyAlignment="1">
      <alignment horizontal="center"/>
    </xf>
    <xf numFmtId="164" fontId="0" fillId="28" borderId="4" xfId="0" applyNumberFormat="1" applyFill="1" applyBorder="1"/>
    <xf numFmtId="164" fontId="0" fillId="27" borderId="0" xfId="0" applyNumberFormat="1" applyFill="1"/>
    <xf numFmtId="164" fontId="0" fillId="28" borderId="26" xfId="0" applyNumberFormat="1" applyFill="1" applyBorder="1"/>
    <xf numFmtId="164" fontId="0" fillId="0" borderId="17" xfId="0" applyNumberFormat="1" applyBorder="1"/>
    <xf numFmtId="0" fontId="6" fillId="0" borderId="2" xfId="0" applyFont="1" applyBorder="1"/>
    <xf numFmtId="0" fontId="6" fillId="0" borderId="3" xfId="0" applyFont="1" applyBorder="1"/>
    <xf numFmtId="164" fontId="6" fillId="28" borderId="4" xfId="0" applyNumberFormat="1" applyFont="1" applyFill="1" applyBorder="1"/>
    <xf numFmtId="0" fontId="6" fillId="16" borderId="5" xfId="0" applyFont="1" applyFill="1" applyBorder="1"/>
    <xf numFmtId="0" fontId="0" fillId="0" borderId="6" xfId="0" applyBorder="1"/>
    <xf numFmtId="164" fontId="0" fillId="25" borderId="7" xfId="0" applyNumberFormat="1" applyFill="1" applyBorder="1"/>
    <xf numFmtId="0" fontId="0" fillId="25" borderId="8" xfId="0" applyFill="1" applyBorder="1"/>
    <xf numFmtId="0" fontId="0" fillId="0" borderId="27" xfId="0" applyBorder="1"/>
    <xf numFmtId="0" fontId="0" fillId="0" borderId="28" xfId="0" applyBorder="1"/>
    <xf numFmtId="0" fontId="0" fillId="28" borderId="28" xfId="0" applyFill="1" applyBorder="1" applyAlignment="1">
      <alignment horizontal="center"/>
    </xf>
    <xf numFmtId="164" fontId="0" fillId="28" borderId="28" xfId="0" applyNumberFormat="1" applyFill="1" applyBorder="1"/>
    <xf numFmtId="164" fontId="0" fillId="28" borderId="29" xfId="0" applyNumberFormat="1" applyFill="1" applyBorder="1"/>
    <xf numFmtId="164" fontId="6" fillId="28" borderId="28" xfId="0" applyNumberFormat="1" applyFont="1" applyFill="1" applyBorder="1"/>
    <xf numFmtId="0" fontId="0" fillId="0" borderId="30" xfId="0" applyBorder="1"/>
    <xf numFmtId="164" fontId="6" fillId="16" borderId="4" xfId="0" applyNumberFormat="1" applyFont="1" applyFill="1" applyBorder="1"/>
    <xf numFmtId="0" fontId="0" fillId="16" borderId="5" xfId="0" applyFill="1" applyBorder="1"/>
    <xf numFmtId="164" fontId="6" fillId="0" borderId="6" xfId="0" applyNumberFormat="1" applyFont="1" applyBorder="1"/>
    <xf numFmtId="164" fontId="6" fillId="0" borderId="7" xfId="0" applyNumberFormat="1" applyFont="1" applyBorder="1"/>
    <xf numFmtId="0" fontId="6" fillId="16" borderId="0" xfId="0" applyFont="1" applyFill="1" applyAlignment="1">
      <alignment horizontal="center"/>
    </xf>
    <xf numFmtId="0" fontId="0" fillId="13" borderId="0" xfId="0" applyFill="1" applyAlignment="1">
      <alignment horizontal="left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64" fontId="6" fillId="0" borderId="4" xfId="2" applyNumberFormat="1" applyFont="1" applyBorder="1"/>
    <xf numFmtId="164" fontId="0" fillId="0" borderId="26" xfId="0" applyNumberFormat="1" applyBorder="1"/>
    <xf numFmtId="165" fontId="6" fillId="0" borderId="17" xfId="3" applyNumberFormat="1" applyFont="1" applyBorder="1"/>
    <xf numFmtId="165" fontId="6" fillId="0" borderId="31" xfId="3" applyNumberFormat="1" applyFont="1" applyBorder="1"/>
    <xf numFmtId="164" fontId="0" fillId="0" borderId="0" xfId="0" applyNumberFormat="1" applyAlignment="1">
      <alignment vertical="center"/>
    </xf>
    <xf numFmtId="164" fontId="0" fillId="20" borderId="11" xfId="0" applyNumberFormat="1" applyFill="1" applyBorder="1" applyAlignment="1">
      <alignment vertical="center"/>
    </xf>
    <xf numFmtId="164" fontId="6" fillId="20" borderId="11" xfId="0" applyNumberFormat="1" applyFont="1" applyFill="1" applyBorder="1" applyAlignment="1">
      <alignment vertical="center"/>
    </xf>
    <xf numFmtId="0" fontId="0" fillId="20" borderId="11" xfId="0" applyFill="1" applyBorder="1"/>
    <xf numFmtId="0" fontId="6" fillId="20" borderId="11" xfId="0" applyFont="1" applyFill="1" applyBorder="1"/>
    <xf numFmtId="9" fontId="0" fillId="0" borderId="7" xfId="3" applyFont="1" applyBorder="1" applyAlignment="1">
      <alignment horizontal="center"/>
    </xf>
    <xf numFmtId="0" fontId="0" fillId="28" borderId="0" xfId="0" applyFill="1"/>
    <xf numFmtId="164" fontId="0" fillId="0" borderId="1" xfId="0" applyNumberFormat="1" applyBorder="1"/>
    <xf numFmtId="164" fontId="0" fillId="0" borderId="2" xfId="0" applyNumberFormat="1" applyBorder="1"/>
    <xf numFmtId="164" fontId="6" fillId="16" borderId="6" xfId="0" applyNumberFormat="1" applyFont="1" applyFill="1" applyBorder="1"/>
    <xf numFmtId="164" fontId="6" fillId="16" borderId="7" xfId="0" applyNumberFormat="1" applyFont="1" applyFill="1" applyBorder="1"/>
    <xf numFmtId="0" fontId="6" fillId="16" borderId="8" xfId="0" applyFont="1" applyFill="1" applyBorder="1"/>
    <xf numFmtId="164" fontId="6" fillId="25" borderId="32" xfId="0" applyNumberFormat="1" applyFont="1" applyFill="1" applyBorder="1" applyAlignment="1">
      <alignment vertical="center"/>
    </xf>
    <xf numFmtId="164" fontId="6" fillId="0" borderId="2" xfId="0" applyNumberFormat="1" applyFont="1" applyBorder="1"/>
    <xf numFmtId="165" fontId="0" fillId="0" borderId="4" xfId="3" applyNumberFormat="1" applyFont="1" applyBorder="1"/>
    <xf numFmtId="165" fontId="0" fillId="0" borderId="0" xfId="3" applyNumberFormat="1" applyFont="1" applyBorder="1"/>
    <xf numFmtId="167" fontId="0" fillId="0" borderId="0" xfId="0" applyNumberFormat="1"/>
    <xf numFmtId="165" fontId="0" fillId="2" borderId="0" xfId="0" applyNumberFormat="1" applyFill="1"/>
    <xf numFmtId="165" fontId="6" fillId="0" borderId="0" xfId="3" applyNumberFormat="1" applyFont="1" applyFill="1" applyBorder="1"/>
    <xf numFmtId="165" fontId="6" fillId="0" borderId="5" xfId="3" applyNumberFormat="1" applyFont="1" applyFill="1" applyBorder="1"/>
    <xf numFmtId="165" fontId="7" fillId="0" borderId="5" xfId="3" applyNumberFormat="1" applyFont="1" applyFill="1" applyBorder="1"/>
    <xf numFmtId="164" fontId="0" fillId="29" borderId="0" xfId="0" applyNumberFormat="1" applyFill="1"/>
    <xf numFmtId="164" fontId="0" fillId="0" borderId="23" xfId="0" applyNumberFormat="1" applyBorder="1"/>
    <xf numFmtId="164" fontId="0" fillId="0" borderId="24" xfId="0" applyNumberFormat="1" applyBorder="1"/>
    <xf numFmtId="164" fontId="6" fillId="16" borderId="24" xfId="0" applyNumberFormat="1" applyFont="1" applyFill="1" applyBorder="1"/>
    <xf numFmtId="0" fontId="6" fillId="16" borderId="25" xfId="0" applyFont="1" applyFill="1" applyBorder="1"/>
    <xf numFmtId="164" fontId="6" fillId="25" borderId="7" xfId="0" applyNumberFormat="1" applyFont="1" applyFill="1" applyBorder="1" applyAlignment="1">
      <alignment vertical="center"/>
    </xf>
    <xf numFmtId="164" fontId="6" fillId="25" borderId="8" xfId="0" applyNumberFormat="1" applyFont="1" applyFill="1" applyBorder="1" applyAlignment="1">
      <alignment vertical="center"/>
    </xf>
    <xf numFmtId="164" fontId="6" fillId="16" borderId="17" xfId="0" applyNumberFormat="1" applyFont="1" applyFill="1" applyBorder="1"/>
    <xf numFmtId="0" fontId="6" fillId="16" borderId="31" xfId="0" applyFont="1" applyFill="1" applyBorder="1"/>
    <xf numFmtId="0" fontId="0" fillId="0" borderId="0" xfId="0" applyAlignment="1">
      <alignment horizontal="center"/>
    </xf>
    <xf numFmtId="0" fontId="6" fillId="7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177">
    <dxf>
      <fill>
        <patternFill patternType="solid">
          <bgColor rgb="FF00FFFF"/>
        </patternFill>
      </fill>
    </dxf>
    <dxf>
      <fill>
        <patternFill patternType="solid">
          <bgColor rgb="FF00FFFF"/>
        </patternFill>
      </fill>
    </dxf>
    <dxf>
      <fill>
        <patternFill patternType="solid">
          <bgColor rgb="FF00FFFF"/>
        </patternFill>
      </fill>
    </dxf>
    <dxf>
      <alignment horizontal="center"/>
    </dxf>
    <dxf>
      <fill>
        <patternFill patternType="solid">
          <bgColor rgb="FF00FFFF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ont>
        <b/>
      </font>
    </dxf>
    <dxf>
      <alignment horizontal="center"/>
    </dxf>
    <dxf>
      <alignment horizontal="center"/>
    </dxf>
    <dxf>
      <alignment horizontal="center"/>
    </dxf>
    <dxf>
      <numFmt numFmtId="164" formatCode="_(&quot;$&quot;* #,##0_);_(&quot;$&quot;* \(#,##0\);_(&quot;$&quot;* &quot;-&quot;??_);_(@_)"/>
    </dxf>
    <dxf>
      <fill>
        <patternFill patternType="solid">
          <bgColor rgb="FFFFFF00"/>
        </patternFill>
      </fill>
    </dxf>
    <dxf>
      <fill>
        <patternFill patternType="solid">
          <bgColor theme="2" tint="-9.9978637043366805E-2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ill>
        <patternFill>
          <bgColor rgb="FF00FFFF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4" tint="0.59999389629810485"/>
        </patternFill>
      </fill>
    </dxf>
    <dxf>
      <alignment wrapText="1"/>
    </dxf>
    <dxf>
      <alignment wrapText="1"/>
    </dxf>
    <dxf>
      <alignment horizontal="center"/>
    </dxf>
    <dxf>
      <fill>
        <patternFill patternType="solid">
          <bgColor rgb="FF00FFFF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ont>
        <b/>
      </font>
    </dxf>
    <dxf>
      <alignment horizontal="center"/>
    </dxf>
    <dxf>
      <alignment horizontal="center"/>
    </dxf>
    <dxf>
      <numFmt numFmtId="164" formatCode="_(&quot;$&quot;* #,##0_);_(&quot;$&quot;* \(#,##0\);_(&quot;$&quot;* &quot;-&quot;??_);_(@_)"/>
    </dxf>
    <dxf>
      <fill>
        <patternFill patternType="solid">
          <bgColor rgb="FFFFFF00"/>
        </patternFill>
      </fill>
    </dxf>
    <dxf>
      <font>
        <sz val="10"/>
      </font>
    </dxf>
    <dxf>
      <fill>
        <patternFill patternType="solid">
          <bgColor theme="4" tint="0.59999389629810485"/>
        </patternFill>
      </fill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00FFFF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ont>
        <b/>
      </font>
    </dxf>
    <dxf>
      <alignment horizontal="center"/>
    </dxf>
    <dxf>
      <alignment horizontal="center"/>
    </dxf>
    <dxf>
      <numFmt numFmtId="164" formatCode="_(&quot;$&quot;* #,##0_);_(&quot;$&quot;* \(#,##0\);_(&quot;$&quot;* &quot;-&quot;??_);_(@_)"/>
    </dxf>
    <dxf>
      <fill>
        <patternFill patternType="solid">
          <bgColor rgb="FFFFFF00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none">
          <bgColor auto="1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/>
    </dxf>
    <dxf>
      <font>
        <b/>
      </font>
    </dxf>
    <dxf>
      <alignment horizontal="center"/>
    </dxf>
    <dxf>
      <alignment horizontal="center"/>
    </dxf>
    <dxf>
      <numFmt numFmtId="164" formatCode="_(&quot;$&quot;* #,##0_);_(&quot;$&quot;* \(#,##0\);_(&quot;$&quot;* &quot;-&quot;??_);_(@_)"/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ont>
        <b/>
      </font>
    </dxf>
    <dxf>
      <alignment horizontal="center"/>
    </dxf>
    <dxf>
      <alignment horizontal="center"/>
    </dxf>
    <dxf>
      <alignment horizontal="center"/>
    </dxf>
    <dxf>
      <numFmt numFmtId="164" formatCode="_(&quot;$&quot;* #,##0_);_(&quot;$&quot;* \(#,##0\);_(&quot;$&quot;* &quot;-&quot;??_);_(@_)"/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ont>
        <b/>
      </font>
    </dxf>
    <dxf>
      <alignment horizontal="center"/>
    </dxf>
    <dxf>
      <alignment horizontal="center"/>
    </dxf>
    <dxf>
      <alignment horizontal="center"/>
    </dxf>
    <dxf>
      <numFmt numFmtId="164" formatCode="_(&quot;$&quot;* #,##0_);_(&quot;$&quot;* \(#,##0\);_(&quot;$&quot;* &quot;-&quot;??_);_(@_)"/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ont>
        <b/>
      </font>
    </dxf>
    <dxf>
      <alignment horizontal="center"/>
    </dxf>
    <dxf>
      <alignment horizontal="center"/>
    </dxf>
    <dxf>
      <alignment horizontal="center"/>
    </dxf>
    <dxf>
      <numFmt numFmtId="164" formatCode="_(&quot;$&quot;* #,##0_);_(&quot;$&quot;* \(#,##0\);_(&quot;$&quot;* &quot;-&quot;??_);_(@_)"/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ont>
        <b/>
      </font>
    </dxf>
    <dxf>
      <alignment horizontal="center"/>
    </dxf>
    <dxf>
      <alignment horizontal="center"/>
    </dxf>
    <dxf>
      <alignment horizontal="center"/>
    </dxf>
    <dxf>
      <numFmt numFmtId="164" formatCode="_(&quot;$&quot;* #,##0_);_(&quot;$&quot;* \(#,##0\);_(&quot;$&quot;* &quot;-&quot;??_);_(@_)"/>
    </dxf>
    <dxf>
      <fill>
        <patternFill patternType="solid">
          <bgColor rgb="FFFFFF00"/>
        </patternFill>
      </fill>
    </dxf>
  </dxfs>
  <tableStyles count="0" defaultTableStyle="TableStyleMedium2" defaultPivotStyle="PivotStyleLight16"/>
  <colors>
    <mruColors>
      <color rgb="FF00FFFF"/>
      <color rgb="FF00FFCC"/>
      <color rgb="FF00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928687</xdr:colOff>
      <xdr:row>2</xdr:row>
      <xdr:rowOff>95250</xdr:rowOff>
    </xdr:from>
    <xdr:to>
      <xdr:col>6</xdr:col>
      <xdr:colOff>345281</xdr:colOff>
      <xdr:row>2</xdr:row>
      <xdr:rowOff>166687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9549FB36-0A7A-0C86-CC2F-D85A1AC88F78}"/>
            </a:ext>
          </a:extLst>
        </xdr:cNvPr>
        <xdr:cNvCxnSpPr/>
      </xdr:nvCxnSpPr>
      <xdr:spPr>
        <a:xfrm flipV="1">
          <a:off x="4869656" y="666750"/>
          <a:ext cx="369094" cy="7143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881062</xdr:colOff>
      <xdr:row>2</xdr:row>
      <xdr:rowOff>95250</xdr:rowOff>
    </xdr:from>
    <xdr:to>
      <xdr:col>6</xdr:col>
      <xdr:colOff>381000</xdr:colOff>
      <xdr:row>3</xdr:row>
      <xdr:rowOff>83344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760F6817-0D10-CAEA-A0E8-5535A912DF8A}"/>
            </a:ext>
          </a:extLst>
        </xdr:cNvPr>
        <xdr:cNvCxnSpPr/>
      </xdr:nvCxnSpPr>
      <xdr:spPr>
        <a:xfrm flipV="1">
          <a:off x="4822031" y="666750"/>
          <a:ext cx="452438" cy="17859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651933</xdr:colOff>
      <xdr:row>45</xdr:row>
      <xdr:rowOff>167640</xdr:rowOff>
    </xdr:from>
    <xdr:to>
      <xdr:col>6</xdr:col>
      <xdr:colOff>318495</xdr:colOff>
      <xdr:row>55</xdr:row>
      <xdr:rowOff>106680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C23348-4150-422D-A6F6-9B439157E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8350" y="9004723"/>
          <a:ext cx="1597174" cy="1853777"/>
        </a:xfrm>
        <a:prstGeom prst="rect">
          <a:avLst/>
        </a:prstGeom>
      </xdr:spPr>
    </xdr:pic>
    <xdr:clientData/>
  </xdr:twoCellAnchor>
  <xdr:twoCellAnchor editAs="oneCell">
    <xdr:from>
      <xdr:col>8</xdr:col>
      <xdr:colOff>586740</xdr:colOff>
      <xdr:row>44</xdr:row>
      <xdr:rowOff>139065</xdr:rowOff>
    </xdr:from>
    <xdr:to>
      <xdr:col>10</xdr:col>
      <xdr:colOff>457836</xdr:colOff>
      <xdr:row>48</xdr:row>
      <xdr:rowOff>38735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7CDA2BB-470F-B4F2-7F06-37854C79BB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82865" y="6711315"/>
          <a:ext cx="1233170" cy="62357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83820</xdr:colOff>
      <xdr:row>12</xdr:row>
      <xdr:rowOff>121920</xdr:rowOff>
    </xdr:from>
    <xdr:to>
      <xdr:col>13</xdr:col>
      <xdr:colOff>529588</xdr:colOff>
      <xdr:row>20</xdr:row>
      <xdr:rowOff>151721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2B65E9-4366-4115-9067-49A60C3BC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08645" y="2255520"/>
          <a:ext cx="1594484" cy="1553801"/>
        </a:xfrm>
        <a:prstGeom prst="rect">
          <a:avLst/>
        </a:prstGeom>
      </xdr:spPr>
    </xdr:pic>
    <xdr:clientData/>
  </xdr:twoCellAnchor>
  <xdr:twoCellAnchor editAs="oneCell">
    <xdr:from>
      <xdr:col>11</xdr:col>
      <xdr:colOff>91440</xdr:colOff>
      <xdr:row>6</xdr:row>
      <xdr:rowOff>15241</xdr:rowOff>
    </xdr:from>
    <xdr:to>
      <xdr:col>13</xdr:col>
      <xdr:colOff>148700</xdr:colOff>
      <xdr:row>9</xdr:row>
      <xdr:rowOff>79897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89E7A7-BACF-4563-AC8B-DD9B81145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16265" y="986791"/>
          <a:ext cx="1205976" cy="644337"/>
        </a:xfrm>
        <a:prstGeom prst="rect">
          <a:avLst/>
        </a:prstGeom>
      </xdr:spPr>
    </xdr:pic>
    <xdr:clientData/>
  </xdr:twoCellAnchor>
  <xdr:twoCellAnchor>
    <xdr:from>
      <xdr:col>12</xdr:col>
      <xdr:colOff>426720</xdr:colOff>
      <xdr:row>12</xdr:row>
      <xdr:rowOff>30480</xdr:rowOff>
    </xdr:from>
    <xdr:to>
      <xdr:col>13</xdr:col>
      <xdr:colOff>304800</xdr:colOff>
      <xdr:row>16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A85BF1BF-15C9-43C7-B481-C59525EBDBF9}"/>
            </a:ext>
          </a:extLst>
        </xdr:cNvPr>
        <xdr:cNvCxnSpPr/>
      </xdr:nvCxnSpPr>
      <xdr:spPr>
        <a:xfrm flipV="1">
          <a:off x="9284970" y="2164080"/>
          <a:ext cx="306705" cy="7315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728047</xdr:colOff>
      <xdr:row>2</xdr:row>
      <xdr:rowOff>171898</xdr:rowOff>
    </xdr:from>
    <xdr:to>
      <xdr:col>18</xdr:col>
      <xdr:colOff>87406</xdr:colOff>
      <xdr:row>4</xdr:row>
      <xdr:rowOff>156882</xdr:rowOff>
    </xdr:to>
    <xdr:sp macro="" textlink="">
      <xdr:nvSpPr>
        <xdr:cNvPr id="5" name="Arrow: Curved Down 4">
          <a:extLst>
            <a:ext uri="{FF2B5EF4-FFF2-40B4-BE49-F238E27FC236}">
              <a16:creationId xmlns:a16="http://schemas.microsoft.com/office/drawing/2014/main" id="{FF5ABEC6-BF26-44EB-BED4-EDA762B141A4}"/>
            </a:ext>
          </a:extLst>
        </xdr:cNvPr>
        <xdr:cNvSpPr/>
      </xdr:nvSpPr>
      <xdr:spPr>
        <a:xfrm>
          <a:off x="10938847" y="369122"/>
          <a:ext cx="1986018" cy="370466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493060</xdr:colOff>
      <xdr:row>2</xdr:row>
      <xdr:rowOff>67234</xdr:rowOff>
    </xdr:from>
    <xdr:to>
      <xdr:col>11</xdr:col>
      <xdr:colOff>549088</xdr:colOff>
      <xdr:row>3</xdr:row>
      <xdr:rowOff>201705</xdr:rowOff>
    </xdr:to>
    <xdr:sp macro="" textlink="">
      <xdr:nvSpPr>
        <xdr:cNvPr id="6" name="Arrow: Curved Down 5">
          <a:extLst>
            <a:ext uri="{FF2B5EF4-FFF2-40B4-BE49-F238E27FC236}">
              <a16:creationId xmlns:a16="http://schemas.microsoft.com/office/drawing/2014/main" id="{2353AA2C-1B20-47DC-9498-E94AF9F8F1B9}"/>
            </a:ext>
          </a:extLst>
        </xdr:cNvPr>
        <xdr:cNvSpPr/>
      </xdr:nvSpPr>
      <xdr:spPr>
        <a:xfrm>
          <a:off x="4007785" y="267259"/>
          <a:ext cx="4666128" cy="324971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33617</xdr:colOff>
      <xdr:row>22</xdr:row>
      <xdr:rowOff>123264</xdr:rowOff>
    </xdr:from>
    <xdr:to>
      <xdr:col>20</xdr:col>
      <xdr:colOff>190500</xdr:colOff>
      <xdr:row>24</xdr:row>
      <xdr:rowOff>168088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38BCAB69-5E5D-4915-8DB2-67A1F22EEFB6}"/>
            </a:ext>
          </a:extLst>
        </xdr:cNvPr>
        <xdr:cNvCxnSpPr/>
      </xdr:nvCxnSpPr>
      <xdr:spPr>
        <a:xfrm>
          <a:off x="14349692" y="4161864"/>
          <a:ext cx="156883" cy="43534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83820</xdr:colOff>
      <xdr:row>12</xdr:row>
      <xdr:rowOff>121920</xdr:rowOff>
    </xdr:from>
    <xdr:to>
      <xdr:col>13</xdr:col>
      <xdr:colOff>529588</xdr:colOff>
      <xdr:row>20</xdr:row>
      <xdr:rowOff>151721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9B4233-627F-4702-AC21-B003BA8EB8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44840" y="2133600"/>
          <a:ext cx="1630680" cy="1486117"/>
        </a:xfrm>
        <a:prstGeom prst="rect">
          <a:avLst/>
        </a:prstGeom>
      </xdr:spPr>
    </xdr:pic>
    <xdr:clientData/>
  </xdr:twoCellAnchor>
  <xdr:twoCellAnchor editAs="oneCell">
    <xdr:from>
      <xdr:col>11</xdr:col>
      <xdr:colOff>91440</xdr:colOff>
      <xdr:row>6</xdr:row>
      <xdr:rowOff>15241</xdr:rowOff>
    </xdr:from>
    <xdr:to>
      <xdr:col>13</xdr:col>
      <xdr:colOff>148700</xdr:colOff>
      <xdr:row>9</xdr:row>
      <xdr:rowOff>72838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7CDA2BB-470F-B4F2-7F06-37854C79BB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2460" y="929641"/>
          <a:ext cx="1264920" cy="624839"/>
        </a:xfrm>
        <a:prstGeom prst="rect">
          <a:avLst/>
        </a:prstGeom>
      </xdr:spPr>
    </xdr:pic>
    <xdr:clientData/>
  </xdr:twoCellAnchor>
  <xdr:twoCellAnchor>
    <xdr:from>
      <xdr:col>12</xdr:col>
      <xdr:colOff>426720</xdr:colOff>
      <xdr:row>12</xdr:row>
      <xdr:rowOff>30480</xdr:rowOff>
    </xdr:from>
    <xdr:to>
      <xdr:col>13</xdr:col>
      <xdr:colOff>304800</xdr:colOff>
      <xdr:row>16</xdr:row>
      <xdr:rowOff>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C3EEEC29-D7D0-8EAC-8D57-2E8192BA1C8F}"/>
            </a:ext>
          </a:extLst>
        </xdr:cNvPr>
        <xdr:cNvCxnSpPr/>
      </xdr:nvCxnSpPr>
      <xdr:spPr>
        <a:xfrm flipV="1">
          <a:off x="9395460" y="2042160"/>
          <a:ext cx="685800" cy="7010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717177</xdr:colOff>
      <xdr:row>2</xdr:row>
      <xdr:rowOff>168088</xdr:rowOff>
    </xdr:from>
    <xdr:to>
      <xdr:col>18</xdr:col>
      <xdr:colOff>78441</xdr:colOff>
      <xdr:row>4</xdr:row>
      <xdr:rowOff>156882</xdr:rowOff>
    </xdr:to>
    <xdr:sp macro="" textlink="">
      <xdr:nvSpPr>
        <xdr:cNvPr id="3" name="Arrow: Curved Down 2">
          <a:extLst>
            <a:ext uri="{FF2B5EF4-FFF2-40B4-BE49-F238E27FC236}">
              <a16:creationId xmlns:a16="http://schemas.microsoft.com/office/drawing/2014/main" id="{D96CB9D2-CD13-1A14-6601-1BD48DA93C7C}"/>
            </a:ext>
          </a:extLst>
        </xdr:cNvPr>
        <xdr:cNvSpPr/>
      </xdr:nvSpPr>
      <xdr:spPr>
        <a:xfrm>
          <a:off x="10802471" y="369794"/>
          <a:ext cx="1983441" cy="381000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493060</xdr:colOff>
      <xdr:row>2</xdr:row>
      <xdr:rowOff>67234</xdr:rowOff>
    </xdr:from>
    <xdr:to>
      <xdr:col>11</xdr:col>
      <xdr:colOff>549088</xdr:colOff>
      <xdr:row>3</xdr:row>
      <xdr:rowOff>201705</xdr:rowOff>
    </xdr:to>
    <xdr:sp macro="" textlink="">
      <xdr:nvSpPr>
        <xdr:cNvPr id="4" name="Arrow: Curved Down 3">
          <a:extLst>
            <a:ext uri="{FF2B5EF4-FFF2-40B4-BE49-F238E27FC236}">
              <a16:creationId xmlns:a16="http://schemas.microsoft.com/office/drawing/2014/main" id="{6D2F6040-79C7-4965-BC87-7379F08616F0}"/>
            </a:ext>
          </a:extLst>
        </xdr:cNvPr>
        <xdr:cNvSpPr/>
      </xdr:nvSpPr>
      <xdr:spPr>
        <a:xfrm>
          <a:off x="4011707" y="268940"/>
          <a:ext cx="4672852" cy="324971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33617</xdr:colOff>
      <xdr:row>22</xdr:row>
      <xdr:rowOff>123264</xdr:rowOff>
    </xdr:from>
    <xdr:to>
      <xdr:col>20</xdr:col>
      <xdr:colOff>190500</xdr:colOff>
      <xdr:row>24</xdr:row>
      <xdr:rowOff>168088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857A9964-6CF6-9A46-4CDC-8730D97D5429}"/>
            </a:ext>
          </a:extLst>
        </xdr:cNvPr>
        <xdr:cNvCxnSpPr/>
      </xdr:nvCxnSpPr>
      <xdr:spPr>
        <a:xfrm>
          <a:off x="14365941" y="4146176"/>
          <a:ext cx="156883" cy="43703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80010</xdr:colOff>
      <xdr:row>45</xdr:row>
      <xdr:rowOff>110490</xdr:rowOff>
    </xdr:from>
    <xdr:to>
      <xdr:col>10</xdr:col>
      <xdr:colOff>72576</xdr:colOff>
      <xdr:row>56</xdr:row>
      <xdr:rowOff>34038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1D82A8-1C9B-65BB-C65D-A1769AD8A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23585" y="8911590"/>
          <a:ext cx="2063301" cy="2042330"/>
        </a:xfrm>
        <a:prstGeom prst="rect">
          <a:avLst/>
        </a:prstGeom>
      </xdr:spPr>
    </xdr:pic>
    <xdr:clientData/>
  </xdr:twoCellAnchor>
  <xdr:twoCellAnchor>
    <xdr:from>
      <xdr:col>3</xdr:col>
      <xdr:colOff>807720</xdr:colOff>
      <xdr:row>31</xdr:row>
      <xdr:rowOff>152400</xdr:rowOff>
    </xdr:from>
    <xdr:to>
      <xdr:col>6</xdr:col>
      <xdr:colOff>0</xdr:colOff>
      <xdr:row>44</xdr:row>
      <xdr:rowOff>121920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1BFD4852-5BAA-EB1D-C5D3-640A364D6036}"/>
            </a:ext>
          </a:extLst>
        </xdr:cNvPr>
        <xdr:cNvCxnSpPr/>
      </xdr:nvCxnSpPr>
      <xdr:spPr>
        <a:xfrm flipH="1" flipV="1">
          <a:off x="4457700" y="6019800"/>
          <a:ext cx="1546860" cy="23622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105831</xdr:colOff>
      <xdr:row>40</xdr:row>
      <xdr:rowOff>190499</xdr:rowOff>
    </xdr:from>
    <xdr:to>
      <xdr:col>25</xdr:col>
      <xdr:colOff>740831</xdr:colOff>
      <xdr:row>42</xdr:row>
      <xdr:rowOff>42332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2020A0AE-4CE1-8F43-C058-B6E3FFC7814D}"/>
            </a:ext>
          </a:extLst>
        </xdr:cNvPr>
        <xdr:cNvSpPr/>
      </xdr:nvSpPr>
      <xdr:spPr>
        <a:xfrm>
          <a:off x="21674664" y="7895166"/>
          <a:ext cx="1492250" cy="264583"/>
        </a:xfrm>
        <a:prstGeom prst="rightArrow">
          <a:avLst/>
        </a:prstGeom>
        <a:gradFill flip="none" rotWithShape="1">
          <a:gsLst>
            <a:gs pos="0">
              <a:schemeClr val="accent6">
                <a:lumMod val="67000"/>
              </a:schemeClr>
            </a:gs>
            <a:gs pos="48000">
              <a:schemeClr val="accent6">
                <a:lumMod val="97000"/>
                <a:lumOff val="3000"/>
              </a:schemeClr>
            </a:gs>
            <a:gs pos="100000">
              <a:schemeClr val="accent6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Controller\PROJECTS\Acquistion\Highland%20Computer%20Forms\3.%20Dataroom\3.%20Financial\3.6%20Inventory\Raw%20Materials%20Usage%202025.01.01%20to%202025.12.31.xlsx" TargetMode="External"/><Relationship Id="rId1" Type="http://schemas.openxmlformats.org/officeDocument/2006/relationships/externalLinkPath" Target="file:///Z:\Controller\PROJECTS\Acquistion\Highland%20Computer%20Forms\3.%20Dataroom\3.%20Financial\3.6%20Inventory\Raw%20Materials%20Usage%202025.01.01%20to%202025.12.3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Controller\PROJECTS\Acquistion\Highland%20Computer%20Forms\3.%20Dataroom\3.%20Financial\3.20.%20HCF%20FY2025%20Trial%20Balance%20Summary%20by%20GL%20account%202025%20(9-21-26).xlsx" TargetMode="External"/><Relationship Id="rId1" Type="http://schemas.openxmlformats.org/officeDocument/2006/relationships/externalLinkPath" Target="file:///Z:\Controller\PROJECTS\Acquistion\Highland%20Computer%20Forms\3.%20Dataroom\3.%20Financial\3.20.%20HCF%20FY2025%20Trial%20Balance%20Summary%20by%20GL%20account%202025%20(9-21-26)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Controller\PROJECTS\Acquistion\Highland%20Computer%20Forms\2.%20Deal%20Estimates\Financial%20Info-HCF%2007-15-26%20v13%20(Holly%20Reviews).xlsx" TargetMode="External"/><Relationship Id="rId1" Type="http://schemas.openxmlformats.org/officeDocument/2006/relationships/externalLinkPath" Target="file:///Z:\Controller\PROJECTS\Acquistion\Highland%20Computer%20Forms\2.%20Deal%20Estimates\Financial%20Info-HCF%2007-15-26%20v13%20(Holly%20Reviews)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Controller\PROJECTS\Acquistion\Highland%20Computer%20Forms\3.%20Dataroom\3.%20Financial\3.5%20Pixelle%20IS\Pixelle%20Forecast%202026%202027%209-25-2026%20for%20Bill.xlsx" TargetMode="External"/><Relationship Id="rId1" Type="http://schemas.openxmlformats.org/officeDocument/2006/relationships/externalLinkPath" Target="file:///Z:\Controller\PROJECTS\Acquistion\Highland%20Computer%20Forms\3.%20Dataroom\3.%20Financial\3.5%20Pixelle%20IS\Pixelle%20Forecast%202026%202027%209-25-2026%20for%20Bi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 Savings"/>
      <sheetName val="Savings analysis by BOND"/>
      <sheetName val="Savings analysis by CARBONLESS"/>
      <sheetName val="Savings analysis by Paper"/>
      <sheetName val="Savings analysis"/>
      <sheetName val="Sorted by item"/>
      <sheetName val="By Qty used order"/>
    </sheetNames>
    <sheetDataSet>
      <sheetData sheetId="0">
        <row r="3">
          <cell r="E3">
            <v>243478.00670000014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Wage Tieout"/>
      <sheetName val="Mfg"/>
      <sheetName val="SGA"/>
      <sheetName val="SORTED B VS P"/>
      <sheetName val="TB DL"/>
      <sheetName val="INV"/>
      <sheetName val="Plant Grid"/>
      <sheetName val="Fordyce"/>
    </sheetNames>
    <sheetDataSet>
      <sheetData sheetId="0">
        <row r="5">
          <cell r="B5">
            <v>-3402653.7899999996</v>
          </cell>
          <cell r="C5">
            <v>-4260620.93</v>
          </cell>
          <cell r="D5">
            <v>-870156.16</v>
          </cell>
          <cell r="E5">
            <v>-8533430.879999999</v>
          </cell>
        </row>
        <row r="6">
          <cell r="F6">
            <v>0.20106326773844366</v>
          </cell>
          <cell r="G6">
            <v>0.22381111243332316</v>
          </cell>
          <cell r="H6">
            <v>0.34575958182034822</v>
          </cell>
          <cell r="I6">
            <v>0.22717566442631104</v>
          </cell>
        </row>
        <row r="7">
          <cell r="F7">
            <v>0.54243179409680697</v>
          </cell>
          <cell r="G7">
            <v>0.50630870369404102</v>
          </cell>
          <cell r="H7">
            <v>2.7278299104381443E-2</v>
          </cell>
          <cell r="I7">
            <v>0.47186571223507695</v>
          </cell>
        </row>
        <row r="8">
          <cell r="F8">
            <v>0</v>
          </cell>
          <cell r="G8">
            <v>-1.2352110376550211E-2</v>
          </cell>
          <cell r="H8">
            <v>0</v>
          </cell>
          <cell r="I8">
            <v>-6.167233407063117E-3</v>
          </cell>
        </row>
        <row r="9">
          <cell r="F9">
            <v>1.5188439138852266E-4</v>
          </cell>
          <cell r="G9">
            <v>6.9090774522388692E-3</v>
          </cell>
          <cell r="H9">
            <v>0</v>
          </cell>
          <cell r="I9">
            <v>3.510167296275095E-3</v>
          </cell>
        </row>
        <row r="10">
          <cell r="F10">
            <v>4.8956582209323156E-3</v>
          </cell>
          <cell r="G10">
            <v>3.4514710981340463E-3</v>
          </cell>
          <cell r="H10">
            <v>1.0336075768285085E-4</v>
          </cell>
          <cell r="I10">
            <v>3.6859242715281712E-3</v>
          </cell>
        </row>
        <row r="11">
          <cell r="C11">
            <v>277222.46999999997</v>
          </cell>
          <cell r="F11">
            <v>5.1205979436421016E-2</v>
          </cell>
          <cell r="G11">
            <v>6.5066213247936142E-2</v>
          </cell>
          <cell r="H11">
            <v>0.11463371126396438</v>
          </cell>
          <cell r="I11">
            <v>6.4593939735526393E-2</v>
          </cell>
        </row>
        <row r="13">
          <cell r="C13">
            <v>363180.18</v>
          </cell>
          <cell r="F13">
            <v>0.11385808663184627</v>
          </cell>
          <cell r="G13">
            <v>8.5241138783965942E-2</v>
          </cell>
          <cell r="H13">
            <v>0.16026417603019666</v>
          </cell>
          <cell r="I13">
            <v>0.10430209168108948</v>
          </cell>
        </row>
        <row r="14">
          <cell r="F14">
            <v>2.166458727498104E-2</v>
          </cell>
          <cell r="G14">
            <v>8.9427598995529517E-2</v>
          </cell>
          <cell r="H14">
            <v>0</v>
          </cell>
          <cell r="I14">
            <v>5.3288553735845123E-2</v>
          </cell>
        </row>
        <row r="15">
          <cell r="C15">
            <v>782536.8</v>
          </cell>
          <cell r="F15">
            <v>2.7601297633045415E-2</v>
          </cell>
          <cell r="G15">
            <v>0.18366731348709778</v>
          </cell>
          <cell r="H15">
            <v>3.81724701000795E-2</v>
          </cell>
          <cell r="I15">
            <v>0.10660078962284865</v>
          </cell>
        </row>
        <row r="16">
          <cell r="F16">
            <v>8.1596605806904621E-4</v>
          </cell>
          <cell r="G16">
            <v>4.7122192586140262E-3</v>
          </cell>
          <cell r="H16">
            <v>1.6948337181225033E-3</v>
          </cell>
          <cell r="I16">
            <v>2.8509283478253245E-3</v>
          </cell>
        </row>
        <row r="17">
          <cell r="F17">
            <v>-9.0113361195057126E-2</v>
          </cell>
          <cell r="G17">
            <v>-6.5809480497482323E-2</v>
          </cell>
          <cell r="H17">
            <v>0</v>
          </cell>
          <cell r="I17">
            <v>-6.8789895676755058E-2</v>
          </cell>
        </row>
        <row r="18">
          <cell r="F18">
            <v>7.2324866174527866E-2</v>
          </cell>
          <cell r="G18">
            <v>5.2480374028486973E-2</v>
          </cell>
          <cell r="H18">
            <v>0</v>
          </cell>
          <cell r="I18">
            <v>5.5041807522087774E-2</v>
          </cell>
        </row>
        <row r="19">
          <cell r="C19">
            <v>-116172.92</v>
          </cell>
          <cell r="D19">
            <v>-4309.5</v>
          </cell>
          <cell r="F19">
            <v>-1.3171777902212026E-3</v>
          </cell>
          <cell r="G19">
            <v>-2.7266664157329763E-2</v>
          </cell>
          <cell r="H19">
            <v>-4.9525593199271261E-3</v>
          </cell>
          <cell r="I19">
            <v>-1.4644088849759337E-2</v>
          </cell>
        </row>
        <row r="20">
          <cell r="C20">
            <v>14754.370000000003</v>
          </cell>
          <cell r="F20">
            <v>-4.8197674556834654E-7</v>
          </cell>
          <cell r="H20">
            <v>0</v>
          </cell>
          <cell r="I20">
            <v>1.7288157843495658E-3</v>
          </cell>
        </row>
        <row r="21">
          <cell r="F21">
            <v>0</v>
          </cell>
          <cell r="G21">
            <v>0</v>
          </cell>
          <cell r="H21">
            <v>0</v>
          </cell>
          <cell r="I21">
            <v>0</v>
          </cell>
        </row>
        <row r="22">
          <cell r="B22">
            <v>-188567.02000000002</v>
          </cell>
          <cell r="C22">
            <v>507482.25999999937</v>
          </cell>
          <cell r="D22">
            <v>-393948.69000000018</v>
          </cell>
          <cell r="E22">
            <v>-75033.44999999975</v>
          </cell>
          <cell r="F22">
            <v>-5.5417633305561785E-2</v>
          </cell>
          <cell r="G22">
            <v>0.11910992982893678</v>
          </cell>
          <cell r="H22">
            <v>-0.45273332317730208</v>
          </cell>
          <cell r="I22">
            <v>-8.792881908243658E-3</v>
          </cell>
        </row>
      </sheetData>
      <sheetData sheetId="1"/>
      <sheetData sheetId="2"/>
      <sheetData sheetId="3"/>
      <sheetData sheetId="4">
        <row r="82">
          <cell r="A82" t="str">
            <v>420001</v>
          </cell>
          <cell r="B82" t="str">
            <v>IS</v>
          </cell>
          <cell r="C82" t="str">
            <v>8. Admin</v>
          </cell>
          <cell r="D82" t="str">
            <v>8. SG&amp;A</v>
          </cell>
          <cell r="E82" t="str">
            <v>Hillsboro</v>
          </cell>
          <cell r="F82" t="str">
            <v>Hillsboro</v>
          </cell>
          <cell r="G82">
            <v>42000</v>
          </cell>
          <cell r="H82">
            <v>1</v>
          </cell>
          <cell r="I82" t="str">
            <v>MEALS AND ENTERTAINMENT</v>
          </cell>
          <cell r="J82" t="str">
            <v>P</v>
          </cell>
          <cell r="K82" t="str">
            <v/>
          </cell>
          <cell r="L82">
            <v>0</v>
          </cell>
          <cell r="M82">
            <v>285.81</v>
          </cell>
        </row>
        <row r="83">
          <cell r="A83" t="str">
            <v>420002</v>
          </cell>
          <cell r="B83" t="str">
            <v>IS</v>
          </cell>
          <cell r="C83" t="str">
            <v>8. Admin</v>
          </cell>
          <cell r="D83" t="str">
            <v>8. SG&amp;A</v>
          </cell>
          <cell r="E83" t="str">
            <v>Angola</v>
          </cell>
          <cell r="F83" t="str">
            <v>Angola</v>
          </cell>
          <cell r="G83">
            <v>42000</v>
          </cell>
          <cell r="H83">
            <v>2</v>
          </cell>
          <cell r="I83" t="str">
            <v>MEALS AND ENTERTAINMENT</v>
          </cell>
          <cell r="J83" t="str">
            <v>P</v>
          </cell>
          <cell r="K83" t="str">
            <v/>
          </cell>
          <cell r="L83">
            <v>0</v>
          </cell>
          <cell r="M83">
            <v>3464.17</v>
          </cell>
        </row>
        <row r="84">
          <cell r="A84" t="str">
            <v>4200099</v>
          </cell>
          <cell r="B84" t="str">
            <v>IS</v>
          </cell>
          <cell r="C84" t="str">
            <v>8. Admin</v>
          </cell>
          <cell r="D84" t="str">
            <v>8. SG&amp;A</v>
          </cell>
          <cell r="E84" t="str">
            <v>Hillsboro</v>
          </cell>
          <cell r="F84" t="str">
            <v>Corp</v>
          </cell>
          <cell r="G84">
            <v>42000</v>
          </cell>
          <cell r="H84">
            <v>99</v>
          </cell>
          <cell r="I84" t="str">
            <v>MEALS AND ENTERTAINMENT</v>
          </cell>
          <cell r="J84" t="str">
            <v>P</v>
          </cell>
          <cell r="K84" t="str">
            <v/>
          </cell>
          <cell r="L84">
            <v>0</v>
          </cell>
          <cell r="M84">
            <v>1447.37</v>
          </cell>
        </row>
        <row r="85">
          <cell r="A85" t="str">
            <v>510001</v>
          </cell>
          <cell r="B85" t="str">
            <v>IS</v>
          </cell>
          <cell r="C85" t="str">
            <v>2. Variable cost Mat</v>
          </cell>
          <cell r="D85" t="str">
            <v>20. Paper</v>
          </cell>
          <cell r="E85" t="str">
            <v>Hillsboro</v>
          </cell>
          <cell r="F85" t="str">
            <v>Hillsboro</v>
          </cell>
          <cell r="G85">
            <v>51000</v>
          </cell>
          <cell r="H85">
            <v>1</v>
          </cell>
          <cell r="I85" t="str">
            <v>COGS-PAPER</v>
          </cell>
          <cell r="J85" t="str">
            <v>P</v>
          </cell>
          <cell r="K85" t="str">
            <v/>
          </cell>
          <cell r="L85">
            <v>0</v>
          </cell>
          <cell r="M85">
            <v>1688287.18</v>
          </cell>
        </row>
        <row r="86">
          <cell r="A86" t="str">
            <v>510002</v>
          </cell>
          <cell r="B86" t="str">
            <v>IS</v>
          </cell>
          <cell r="C86" t="str">
            <v>2. Variable cost Mat</v>
          </cell>
          <cell r="D86" t="str">
            <v>20. Paper</v>
          </cell>
          <cell r="E86" t="str">
            <v>Angola</v>
          </cell>
          <cell r="F86" t="str">
            <v>Angola</v>
          </cell>
          <cell r="G86">
            <v>51000</v>
          </cell>
          <cell r="H86">
            <v>2</v>
          </cell>
          <cell r="I86" t="str">
            <v>COGS-PAPER</v>
          </cell>
          <cell r="J86" t="str">
            <v>P</v>
          </cell>
          <cell r="K86" t="str">
            <v/>
          </cell>
          <cell r="L86">
            <v>0</v>
          </cell>
          <cell r="M86">
            <v>1524880.68</v>
          </cell>
        </row>
        <row r="87">
          <cell r="A87" t="str">
            <v>520001</v>
          </cell>
          <cell r="B87" t="str">
            <v>IS</v>
          </cell>
          <cell r="C87" t="str">
            <v>2. Variable cost Mat</v>
          </cell>
          <cell r="D87" t="str">
            <v>21. Carbon</v>
          </cell>
          <cell r="E87" t="str">
            <v>Hillsboro</v>
          </cell>
          <cell r="F87" t="str">
            <v>Hillsboro</v>
          </cell>
          <cell r="G87">
            <v>52000</v>
          </cell>
          <cell r="H87">
            <v>1</v>
          </cell>
          <cell r="I87" t="str">
            <v>COGS-CARBON</v>
          </cell>
          <cell r="J87" t="str">
            <v>P</v>
          </cell>
          <cell r="K87" t="str">
            <v/>
          </cell>
          <cell r="L87">
            <v>0</v>
          </cell>
          <cell r="M87">
            <v>1374.69</v>
          </cell>
        </row>
        <row r="88">
          <cell r="A88" t="str">
            <v>530001</v>
          </cell>
          <cell r="B88" t="str">
            <v>IS</v>
          </cell>
          <cell r="C88" t="str">
            <v>2. Variable cost Mat</v>
          </cell>
          <cell r="D88" t="str">
            <v>22. Cartons</v>
          </cell>
          <cell r="E88" t="str">
            <v>Hillsboro</v>
          </cell>
          <cell r="F88" t="str">
            <v>Hillsboro</v>
          </cell>
          <cell r="G88">
            <v>53000</v>
          </cell>
          <cell r="H88">
            <v>1</v>
          </cell>
          <cell r="I88" t="str">
            <v>COGS-CARTONS</v>
          </cell>
          <cell r="J88" t="str">
            <v>P</v>
          </cell>
          <cell r="K88" t="str">
            <v/>
          </cell>
          <cell r="L88">
            <v>0</v>
          </cell>
          <cell r="M88">
            <v>86048</v>
          </cell>
        </row>
        <row r="89">
          <cell r="A89" t="str">
            <v>530002</v>
          </cell>
          <cell r="B89" t="str">
            <v>IS</v>
          </cell>
          <cell r="C89" t="str">
            <v>2. Variable cost Mat</v>
          </cell>
          <cell r="D89" t="str">
            <v>22. Cartons</v>
          </cell>
          <cell r="E89" t="str">
            <v>Angola</v>
          </cell>
          <cell r="F89" t="str">
            <v>Angola</v>
          </cell>
          <cell r="G89">
            <v>53000</v>
          </cell>
          <cell r="H89">
            <v>2</v>
          </cell>
          <cell r="I89" t="str">
            <v>COGS-CARTONS</v>
          </cell>
          <cell r="J89" t="str">
            <v>P</v>
          </cell>
          <cell r="K89" t="str">
            <v/>
          </cell>
          <cell r="L89">
            <v>0</v>
          </cell>
          <cell r="M89">
            <v>74394.66</v>
          </cell>
        </row>
        <row r="90">
          <cell r="A90" t="str">
            <v>540001</v>
          </cell>
          <cell r="B90" t="str">
            <v>IS</v>
          </cell>
          <cell r="C90" t="str">
            <v>2. Variable cost Mat</v>
          </cell>
          <cell r="D90" t="str">
            <v>23. Ink</v>
          </cell>
          <cell r="E90" t="str">
            <v>Hillsboro</v>
          </cell>
          <cell r="F90" t="str">
            <v>Hillsboro</v>
          </cell>
          <cell r="G90">
            <v>54000</v>
          </cell>
          <cell r="H90">
            <v>1</v>
          </cell>
          <cell r="I90" t="str">
            <v>COGS-INK</v>
          </cell>
          <cell r="J90" t="str">
            <v>P</v>
          </cell>
          <cell r="K90" t="str">
            <v/>
          </cell>
          <cell r="L90">
            <v>0</v>
          </cell>
          <cell r="M90">
            <v>49681.69</v>
          </cell>
        </row>
        <row r="91">
          <cell r="A91" t="str">
            <v>540002</v>
          </cell>
          <cell r="B91" t="str">
            <v>IS</v>
          </cell>
          <cell r="C91" t="str">
            <v>2. Variable cost Mat</v>
          </cell>
          <cell r="D91" t="str">
            <v>23. Ink</v>
          </cell>
          <cell r="E91" t="str">
            <v>Angola</v>
          </cell>
          <cell r="F91" t="str">
            <v>Angola</v>
          </cell>
          <cell r="G91">
            <v>54000</v>
          </cell>
          <cell r="H91">
            <v>2</v>
          </cell>
          <cell r="I91" t="str">
            <v>COGS-INK</v>
          </cell>
          <cell r="J91" t="str">
            <v>P</v>
          </cell>
          <cell r="K91" t="str">
            <v/>
          </cell>
          <cell r="L91">
            <v>0</v>
          </cell>
          <cell r="M91">
            <v>14208.92</v>
          </cell>
        </row>
        <row r="92">
          <cell r="A92" t="str">
            <v>5400050</v>
          </cell>
          <cell r="B92" t="str">
            <v>IS</v>
          </cell>
          <cell r="C92" t="str">
            <v>2. Variable cost Mat</v>
          </cell>
          <cell r="D92" t="str">
            <v>23. Ink</v>
          </cell>
          <cell r="E92" t="str">
            <v>Pixelle</v>
          </cell>
          <cell r="F92" t="str">
            <v>Pixelle</v>
          </cell>
          <cell r="G92">
            <v>54000</v>
          </cell>
          <cell r="H92">
            <v>50</v>
          </cell>
          <cell r="I92" t="str">
            <v>COGS-INK</v>
          </cell>
          <cell r="J92" t="str">
            <v>P</v>
          </cell>
          <cell r="K92" t="str">
            <v/>
          </cell>
          <cell r="L92">
            <v>0</v>
          </cell>
          <cell r="M92">
            <v>743.53</v>
          </cell>
        </row>
        <row r="93">
          <cell r="A93" t="str">
            <v>550001</v>
          </cell>
          <cell r="B93" t="str">
            <v>IS</v>
          </cell>
          <cell r="C93" t="str">
            <v>2. Variable cost Mat</v>
          </cell>
          <cell r="D93" t="str">
            <v>24. Plates</v>
          </cell>
          <cell r="E93" t="str">
            <v>Hillsboro</v>
          </cell>
          <cell r="F93" t="str">
            <v>Hillsboro</v>
          </cell>
          <cell r="G93">
            <v>55000</v>
          </cell>
          <cell r="H93">
            <v>1</v>
          </cell>
          <cell r="I93" t="str">
            <v>COGS-PLATES/COMP CHARGES</v>
          </cell>
          <cell r="J93" t="str">
            <v>P</v>
          </cell>
          <cell r="K93" t="str">
            <v/>
          </cell>
          <cell r="L93">
            <v>0</v>
          </cell>
          <cell r="M93">
            <v>101919.53</v>
          </cell>
        </row>
        <row r="94">
          <cell r="A94" t="str">
            <v>550002</v>
          </cell>
          <cell r="B94" t="str">
            <v>IS</v>
          </cell>
          <cell r="C94" t="str">
            <v>2. Variable cost Mat</v>
          </cell>
          <cell r="D94" t="str">
            <v>24. Plates</v>
          </cell>
          <cell r="E94" t="str">
            <v>Angola</v>
          </cell>
          <cell r="F94" t="str">
            <v>Angola</v>
          </cell>
          <cell r="G94">
            <v>55000</v>
          </cell>
          <cell r="H94">
            <v>2</v>
          </cell>
          <cell r="I94" t="str">
            <v>COGS-PLATES/COMP CHARGES</v>
          </cell>
          <cell r="J94" t="str">
            <v>P</v>
          </cell>
          <cell r="K94" t="str">
            <v/>
          </cell>
          <cell r="L94">
            <v>0</v>
          </cell>
          <cell r="M94">
            <v>24290.37</v>
          </cell>
        </row>
        <row r="95">
          <cell r="A95" t="str">
            <v>560001</v>
          </cell>
          <cell r="B95" t="str">
            <v>IS</v>
          </cell>
          <cell r="C95" t="str">
            <v>2. Variable cost Mat</v>
          </cell>
          <cell r="D95" t="str">
            <v>25. Supplies</v>
          </cell>
          <cell r="E95" t="str">
            <v>Hillsboro</v>
          </cell>
          <cell r="F95" t="str">
            <v>Hillsboro</v>
          </cell>
          <cell r="G95">
            <v>56000</v>
          </cell>
          <cell r="H95">
            <v>1</v>
          </cell>
          <cell r="I95" t="str">
            <v>COGS-SUPPLIES</v>
          </cell>
          <cell r="J95" t="str">
            <v>P</v>
          </cell>
          <cell r="K95" t="str">
            <v/>
          </cell>
          <cell r="L95">
            <v>0</v>
          </cell>
          <cell r="M95">
            <v>106177.77</v>
          </cell>
        </row>
        <row r="96">
          <cell r="A96" t="str">
            <v>560002</v>
          </cell>
          <cell r="B96" t="str">
            <v>IS</v>
          </cell>
          <cell r="C96" t="str">
            <v>2. Variable cost Mat</v>
          </cell>
          <cell r="D96" t="str">
            <v>25. Supplies</v>
          </cell>
          <cell r="E96" t="str">
            <v>Angola</v>
          </cell>
          <cell r="F96" t="str">
            <v>Angola</v>
          </cell>
          <cell r="G96">
            <v>56000</v>
          </cell>
          <cell r="H96">
            <v>2</v>
          </cell>
          <cell r="I96" t="str">
            <v>COGS-SUPPLIES</v>
          </cell>
          <cell r="J96" t="str">
            <v>P</v>
          </cell>
          <cell r="K96" t="str">
            <v/>
          </cell>
          <cell r="L96">
            <v>0</v>
          </cell>
          <cell r="M96">
            <v>66191.94</v>
          </cell>
        </row>
        <row r="97">
          <cell r="A97" t="str">
            <v>5600050</v>
          </cell>
          <cell r="B97" t="str">
            <v>IS</v>
          </cell>
          <cell r="C97" t="str">
            <v>2. Variable cost Mat</v>
          </cell>
          <cell r="D97" t="str">
            <v>25. Supplies</v>
          </cell>
          <cell r="E97" t="str">
            <v>Pixelle</v>
          </cell>
          <cell r="F97" t="str">
            <v>Pixelle</v>
          </cell>
          <cell r="G97">
            <v>56000</v>
          </cell>
          <cell r="H97">
            <v>50</v>
          </cell>
          <cell r="I97" t="str">
            <v>COGS-SUPPLIES</v>
          </cell>
          <cell r="J97" t="str">
            <v>P</v>
          </cell>
          <cell r="K97" t="str">
            <v/>
          </cell>
          <cell r="L97">
            <v>0</v>
          </cell>
          <cell r="M97">
            <v>22992.85</v>
          </cell>
        </row>
        <row r="98">
          <cell r="A98" t="str">
            <v>562002</v>
          </cell>
          <cell r="B98" t="str">
            <v>IS</v>
          </cell>
          <cell r="C98" t="str">
            <v>2. Variable cost Mat</v>
          </cell>
          <cell r="D98" t="str">
            <v>25. Supplies</v>
          </cell>
          <cell r="E98" t="str">
            <v>Angola</v>
          </cell>
          <cell r="F98" t="str">
            <v>Angola</v>
          </cell>
          <cell r="G98">
            <v>56200</v>
          </cell>
          <cell r="H98">
            <v>2</v>
          </cell>
          <cell r="I98" t="str">
            <v>COGS-SUPPLIES-LABEL</v>
          </cell>
          <cell r="J98" t="str">
            <v>P</v>
          </cell>
          <cell r="K98" t="str">
            <v>COGS-SUPPLIES</v>
          </cell>
          <cell r="L98">
            <v>0</v>
          </cell>
          <cell r="M98">
            <v>113448.65</v>
          </cell>
        </row>
        <row r="99">
          <cell r="A99" t="str">
            <v>565001</v>
          </cell>
          <cell r="B99" t="str">
            <v>IS</v>
          </cell>
          <cell r="C99" t="str">
            <v>2. Variable cost Mat</v>
          </cell>
          <cell r="D99" t="str">
            <v>26. Integ Mat</v>
          </cell>
          <cell r="E99" t="str">
            <v>Hillsboro</v>
          </cell>
          <cell r="F99" t="str">
            <v>Hillsboro</v>
          </cell>
          <cell r="G99">
            <v>56500</v>
          </cell>
          <cell r="H99">
            <v>1</v>
          </cell>
          <cell r="I99" t="str">
            <v>COGS-INTEGRATED MATERIAL</v>
          </cell>
          <cell r="J99" t="str">
            <v>P</v>
          </cell>
          <cell r="K99" t="str">
            <v>COGS-TAMARACK &amp; HUNKLER</v>
          </cell>
          <cell r="L99">
            <v>0</v>
          </cell>
          <cell r="M99">
            <v>49532.800000000003</v>
          </cell>
        </row>
        <row r="100">
          <cell r="A100" t="str">
            <v>580002</v>
          </cell>
          <cell r="B100" t="str">
            <v>IS</v>
          </cell>
          <cell r="C100" t="str">
            <v>2a. Variable cost Mat Out/Env</v>
          </cell>
          <cell r="D100" t="str">
            <v>27. Buyout</v>
          </cell>
          <cell r="E100" t="str">
            <v>Angola</v>
          </cell>
          <cell r="F100" t="str">
            <v>Angola</v>
          </cell>
          <cell r="G100">
            <v>58000</v>
          </cell>
          <cell r="H100">
            <v>2</v>
          </cell>
          <cell r="I100" t="str">
            <v>BUYOUTS/ OUTSIDE PURCHASES</v>
          </cell>
          <cell r="J100" t="str">
            <v>P</v>
          </cell>
          <cell r="K100" t="str">
            <v>BUYOUTS/ OUTSIDE PURCHASES</v>
          </cell>
          <cell r="L100">
            <v>0</v>
          </cell>
          <cell r="M100">
            <v>516.80999999999995</v>
          </cell>
        </row>
        <row r="101">
          <cell r="A101" t="str">
            <v>595001</v>
          </cell>
          <cell r="B101" t="str">
            <v>IS</v>
          </cell>
          <cell r="C101" t="str">
            <v>2a. Variable cost Mat Out/Env</v>
          </cell>
          <cell r="D101" t="str">
            <v>28. Envelops</v>
          </cell>
          <cell r="E101" t="str">
            <v>Hillsboro</v>
          </cell>
          <cell r="F101" t="str">
            <v>Hillsboro</v>
          </cell>
          <cell r="G101">
            <v>59500</v>
          </cell>
          <cell r="H101">
            <v>1</v>
          </cell>
          <cell r="I101" t="str">
            <v>ENVELOPES</v>
          </cell>
          <cell r="J101" t="str">
            <v>P</v>
          </cell>
          <cell r="K101" t="str">
            <v/>
          </cell>
          <cell r="L101">
            <v>0</v>
          </cell>
          <cell r="M101">
            <v>22511.96</v>
          </cell>
        </row>
        <row r="102">
          <cell r="A102" t="str">
            <v>595501</v>
          </cell>
          <cell r="B102" t="str">
            <v>IS</v>
          </cell>
          <cell r="C102" t="str">
            <v>2a. Variable cost Mat Out/Env</v>
          </cell>
          <cell r="D102" t="str">
            <v>28. Envelops</v>
          </cell>
          <cell r="E102" t="str">
            <v>Hillsboro</v>
          </cell>
          <cell r="F102" t="str">
            <v>Hillsboro</v>
          </cell>
          <cell r="G102">
            <v>59550</v>
          </cell>
          <cell r="H102">
            <v>1</v>
          </cell>
          <cell r="I102" t="str">
            <v>ENVELOPE-IMPRINTING COST</v>
          </cell>
          <cell r="J102" t="str">
            <v>P</v>
          </cell>
          <cell r="K102" t="str">
            <v/>
          </cell>
          <cell r="L102">
            <v>0</v>
          </cell>
          <cell r="M102">
            <v>6925</v>
          </cell>
        </row>
        <row r="103">
          <cell r="A103" t="str">
            <v>601001</v>
          </cell>
          <cell r="B103" t="str">
            <v>IS</v>
          </cell>
          <cell r="C103" t="str">
            <v>8. Admin</v>
          </cell>
          <cell r="D103" t="str">
            <v>30. Insurance</v>
          </cell>
          <cell r="E103" t="str">
            <v>Hillsboro</v>
          </cell>
          <cell r="F103" t="str">
            <v>Hillsboro</v>
          </cell>
          <cell r="G103">
            <v>60100</v>
          </cell>
          <cell r="H103">
            <v>1</v>
          </cell>
          <cell r="I103" t="str">
            <v>HEALTH INSURANCE -ADMIN</v>
          </cell>
          <cell r="J103" t="str">
            <v>P</v>
          </cell>
          <cell r="K103" t="str">
            <v/>
          </cell>
          <cell r="L103">
            <v>0</v>
          </cell>
          <cell r="M103">
            <v>32467.32</v>
          </cell>
        </row>
        <row r="104">
          <cell r="A104" t="str">
            <v>6010099</v>
          </cell>
          <cell r="B104" t="str">
            <v>IS</v>
          </cell>
          <cell r="C104" t="str">
            <v>8. Admin</v>
          </cell>
          <cell r="D104" t="str">
            <v>30. Insurance</v>
          </cell>
          <cell r="E104" t="str">
            <v>Hillsboro</v>
          </cell>
          <cell r="F104" t="str">
            <v>Corp</v>
          </cell>
          <cell r="G104">
            <v>60100</v>
          </cell>
          <cell r="H104">
            <v>99</v>
          </cell>
          <cell r="I104" t="str">
            <v>HEALTH INSURANCE -ADMIN</v>
          </cell>
          <cell r="J104" t="str">
            <v>P</v>
          </cell>
          <cell r="K104" t="str">
            <v/>
          </cell>
          <cell r="L104">
            <v>0</v>
          </cell>
          <cell r="M104">
            <v>57038.44</v>
          </cell>
        </row>
        <row r="105">
          <cell r="A105" t="str">
            <v>604001</v>
          </cell>
          <cell r="B105" t="str">
            <v>IS</v>
          </cell>
          <cell r="C105" t="str">
            <v>4. Mfg OVHD</v>
          </cell>
          <cell r="D105"/>
          <cell r="E105" t="str">
            <v>Hillsboro</v>
          </cell>
          <cell r="F105" t="str">
            <v>Hillsboro</v>
          </cell>
          <cell r="G105">
            <v>60400</v>
          </cell>
          <cell r="H105">
            <v>1</v>
          </cell>
          <cell r="I105" t="str">
            <v>CARETAKING-PRODUCTION</v>
          </cell>
          <cell r="J105" t="str">
            <v>P</v>
          </cell>
          <cell r="K105" t="str">
            <v>CARETAKING-PRODUCTION</v>
          </cell>
          <cell r="L105">
            <v>0</v>
          </cell>
          <cell r="M105">
            <v>13271.26</v>
          </cell>
        </row>
        <row r="106">
          <cell r="A106" t="str">
            <v>604002</v>
          </cell>
          <cell r="B106" t="str">
            <v>IS</v>
          </cell>
          <cell r="C106" t="str">
            <v>4. Mfg OVHD</v>
          </cell>
          <cell r="D106"/>
          <cell r="E106" t="str">
            <v>Angola</v>
          </cell>
          <cell r="F106" t="str">
            <v>Angola</v>
          </cell>
          <cell r="G106">
            <v>60400</v>
          </cell>
          <cell r="H106">
            <v>2</v>
          </cell>
          <cell r="I106" t="str">
            <v>CARETAKING-PRODUCTION</v>
          </cell>
          <cell r="J106" t="str">
            <v>P</v>
          </cell>
          <cell r="K106" t="str">
            <v>CARETAKING-PRODUCTION</v>
          </cell>
          <cell r="L106">
            <v>0</v>
          </cell>
          <cell r="M106">
            <v>8459.6200000000008</v>
          </cell>
        </row>
        <row r="107">
          <cell r="A107" t="str">
            <v>6040050</v>
          </cell>
          <cell r="B107" t="str">
            <v>IS</v>
          </cell>
          <cell r="C107" t="str">
            <v>4. Mfg OVHD</v>
          </cell>
          <cell r="D107"/>
          <cell r="E107" t="str">
            <v>Pixelle</v>
          </cell>
          <cell r="F107" t="str">
            <v>Pixelle</v>
          </cell>
          <cell r="G107">
            <v>60400</v>
          </cell>
          <cell r="H107">
            <v>50</v>
          </cell>
          <cell r="I107" t="str">
            <v>CARETAKING-PRODUCTION</v>
          </cell>
          <cell r="J107" t="str">
            <v>P</v>
          </cell>
          <cell r="K107" t="str">
            <v>CARETAKING-PRODUCTION</v>
          </cell>
          <cell r="L107">
            <v>0</v>
          </cell>
          <cell r="M107">
            <v>3739.89</v>
          </cell>
        </row>
        <row r="108">
          <cell r="A108" t="str">
            <v>605002</v>
          </cell>
          <cell r="B108" t="str">
            <v>IS</v>
          </cell>
          <cell r="C108" t="str">
            <v>4. Mfg OVHD</v>
          </cell>
          <cell r="E108" t="str">
            <v>Angola</v>
          </cell>
          <cell r="F108" t="str">
            <v>Angola</v>
          </cell>
          <cell r="G108">
            <v>60500</v>
          </cell>
          <cell r="H108">
            <v>2</v>
          </cell>
          <cell r="I108" t="str">
            <v>RENT</v>
          </cell>
          <cell r="J108" t="str">
            <v>P</v>
          </cell>
          <cell r="K108" t="str">
            <v/>
          </cell>
          <cell r="L108">
            <v>0</v>
          </cell>
          <cell r="M108">
            <v>96000</v>
          </cell>
        </row>
        <row r="109">
          <cell r="A109" t="str">
            <v>6050050</v>
          </cell>
          <cell r="B109" t="str">
            <v>IS</v>
          </cell>
          <cell r="C109" t="str">
            <v>4. Mfg OVHD</v>
          </cell>
          <cell r="E109" t="str">
            <v>Pixelle</v>
          </cell>
          <cell r="F109" t="str">
            <v>Pixelle</v>
          </cell>
          <cell r="G109">
            <v>60500</v>
          </cell>
          <cell r="H109">
            <v>50</v>
          </cell>
          <cell r="I109" t="str">
            <v>RENT</v>
          </cell>
          <cell r="J109" t="str">
            <v>P</v>
          </cell>
          <cell r="K109" t="str">
            <v/>
          </cell>
          <cell r="L109">
            <v>0</v>
          </cell>
          <cell r="M109">
            <v>30000</v>
          </cell>
        </row>
        <row r="110">
          <cell r="A110" t="str">
            <v>606001</v>
          </cell>
          <cell r="B110" t="str">
            <v>IS</v>
          </cell>
          <cell r="C110" t="str">
            <v>4. Mfg OVHD</v>
          </cell>
          <cell r="E110" t="str">
            <v>Hillsboro</v>
          </cell>
          <cell r="F110" t="str">
            <v>Hillsboro</v>
          </cell>
          <cell r="G110">
            <v>60600</v>
          </cell>
          <cell r="H110">
            <v>1</v>
          </cell>
          <cell r="I110" t="str">
            <v>REPAIRS &amp; MAINTENANCE</v>
          </cell>
          <cell r="J110" t="str">
            <v>P</v>
          </cell>
          <cell r="K110" t="str">
            <v/>
          </cell>
          <cell r="L110">
            <v>0</v>
          </cell>
          <cell r="M110">
            <v>47566.78</v>
          </cell>
        </row>
        <row r="111">
          <cell r="A111" t="str">
            <v>606002</v>
          </cell>
          <cell r="B111" t="str">
            <v>IS</v>
          </cell>
          <cell r="C111" t="str">
            <v>4. Mfg OVHD</v>
          </cell>
          <cell r="E111" t="str">
            <v>Angola</v>
          </cell>
          <cell r="F111" t="str">
            <v>Angola</v>
          </cell>
          <cell r="G111">
            <v>60600</v>
          </cell>
          <cell r="H111">
            <v>2</v>
          </cell>
          <cell r="I111" t="str">
            <v>REPAIRS &amp; MAINTENANCE</v>
          </cell>
          <cell r="J111" t="str">
            <v>P</v>
          </cell>
          <cell r="K111" t="str">
            <v/>
          </cell>
          <cell r="L111">
            <v>0</v>
          </cell>
          <cell r="M111">
            <v>45834.43</v>
          </cell>
        </row>
        <row r="112">
          <cell r="A112" t="str">
            <v>6060050</v>
          </cell>
          <cell r="B112" t="str">
            <v>IS</v>
          </cell>
          <cell r="C112" t="str">
            <v>4. Mfg OVHD</v>
          </cell>
          <cell r="E112" t="str">
            <v>Pixelle</v>
          </cell>
          <cell r="F112" t="str">
            <v>Pixelle</v>
          </cell>
          <cell r="G112">
            <v>60600</v>
          </cell>
          <cell r="H112">
            <v>50</v>
          </cell>
          <cell r="I112" t="str">
            <v>REPAIRS &amp; MAINTENANCE</v>
          </cell>
          <cell r="J112" t="str">
            <v>P</v>
          </cell>
          <cell r="K112" t="str">
            <v/>
          </cell>
          <cell r="L112">
            <v>0</v>
          </cell>
          <cell r="M112">
            <v>54268.98</v>
          </cell>
        </row>
        <row r="113">
          <cell r="A113" t="str">
            <v>6060099</v>
          </cell>
          <cell r="B113" t="str">
            <v>IS</v>
          </cell>
          <cell r="C113" t="str">
            <v>4. Mfg OVHD</v>
          </cell>
          <cell r="D113"/>
          <cell r="E113" t="str">
            <v>Hillsboro</v>
          </cell>
          <cell r="F113" t="str">
            <v>Corp</v>
          </cell>
          <cell r="G113">
            <v>60600</v>
          </cell>
          <cell r="H113">
            <v>99</v>
          </cell>
          <cell r="I113" t="str">
            <v>REPAIRS &amp; MAINTENANCE</v>
          </cell>
          <cell r="J113" t="str">
            <v>P</v>
          </cell>
          <cell r="K113" t="str">
            <v/>
          </cell>
          <cell r="L113">
            <v>0</v>
          </cell>
          <cell r="M113">
            <v>13224</v>
          </cell>
        </row>
        <row r="114">
          <cell r="A114" t="str">
            <v>607001</v>
          </cell>
          <cell r="B114" t="str">
            <v>IS</v>
          </cell>
          <cell r="C114" t="str">
            <v>2. Variable cost Labor</v>
          </cell>
          <cell r="E114" t="str">
            <v>Hillsboro</v>
          </cell>
          <cell r="F114" t="str">
            <v>Hillsboro</v>
          </cell>
          <cell r="G114">
            <v>60700</v>
          </cell>
          <cell r="H114">
            <v>1</v>
          </cell>
          <cell r="I114" t="str">
            <v>PRODUCTION WAGES</v>
          </cell>
          <cell r="J114" t="str">
            <v>P</v>
          </cell>
          <cell r="K114" t="str">
            <v/>
          </cell>
          <cell r="L114">
            <v>0</v>
          </cell>
          <cell r="M114">
            <v>392768.21</v>
          </cell>
        </row>
        <row r="115">
          <cell r="A115" t="str">
            <v>607002</v>
          </cell>
          <cell r="B115" t="str">
            <v>IS</v>
          </cell>
          <cell r="C115" t="str">
            <v>2. Variable cost Labor</v>
          </cell>
          <cell r="E115" t="str">
            <v>Angola</v>
          </cell>
          <cell r="F115" t="str">
            <v>Angola</v>
          </cell>
          <cell r="G115">
            <v>60700</v>
          </cell>
          <cell r="H115">
            <v>2</v>
          </cell>
          <cell r="I115" t="str">
            <v>PRODUCTION WAGES</v>
          </cell>
          <cell r="J115" t="str">
            <v>P</v>
          </cell>
          <cell r="K115" t="str">
            <v/>
          </cell>
          <cell r="L115">
            <v>0</v>
          </cell>
          <cell r="M115">
            <v>292141.96999999997</v>
          </cell>
        </row>
        <row r="116">
          <cell r="A116" t="str">
            <v>6070050</v>
          </cell>
          <cell r="B116" t="str">
            <v>IS</v>
          </cell>
          <cell r="C116" t="str">
            <v>2. Variable cost Labor</v>
          </cell>
          <cell r="E116" t="str">
            <v>Pixelle</v>
          </cell>
          <cell r="F116" t="str">
            <v>Pixelle</v>
          </cell>
          <cell r="G116">
            <v>60700</v>
          </cell>
          <cell r="H116">
            <v>50</v>
          </cell>
          <cell r="I116" t="str">
            <v>PRODUCTION WAGES</v>
          </cell>
          <cell r="J116" t="str">
            <v>P</v>
          </cell>
          <cell r="K116" t="str">
            <v/>
          </cell>
          <cell r="L116">
            <v>0</v>
          </cell>
          <cell r="M116">
            <v>169152.01</v>
          </cell>
        </row>
        <row r="117">
          <cell r="A117" t="str">
            <v>607101</v>
          </cell>
          <cell r="B117" t="str">
            <v>IS</v>
          </cell>
          <cell r="C117" t="str">
            <v>2. Variable cost Labor</v>
          </cell>
          <cell r="E117" t="str">
            <v>Hillsboro</v>
          </cell>
          <cell r="F117" t="str">
            <v>Hillsboro</v>
          </cell>
          <cell r="G117">
            <v>60710</v>
          </cell>
          <cell r="H117">
            <v>1</v>
          </cell>
          <cell r="I117" t="str">
            <v>PRODUCTION OVERTIME</v>
          </cell>
          <cell r="J117" t="str">
            <v>P</v>
          </cell>
          <cell r="K117" t="str">
            <v/>
          </cell>
          <cell r="L117">
            <v>0</v>
          </cell>
          <cell r="M117">
            <v>8099.41</v>
          </cell>
        </row>
        <row r="118">
          <cell r="A118" t="str">
            <v>607102</v>
          </cell>
          <cell r="B118" t="str">
            <v>IS</v>
          </cell>
          <cell r="C118" t="str">
            <v>2. Variable cost Labor</v>
          </cell>
          <cell r="E118" t="str">
            <v>Angola</v>
          </cell>
          <cell r="F118" t="str">
            <v>Angola</v>
          </cell>
          <cell r="G118">
            <v>60710</v>
          </cell>
          <cell r="H118">
            <v>2</v>
          </cell>
          <cell r="I118" t="str">
            <v>PRODUCTION OVERTIME</v>
          </cell>
          <cell r="J118" t="str">
            <v>P</v>
          </cell>
          <cell r="K118" t="str">
            <v/>
          </cell>
          <cell r="L118">
            <v>0</v>
          </cell>
          <cell r="M118">
            <v>5137.04</v>
          </cell>
        </row>
        <row r="119">
          <cell r="A119" t="str">
            <v>6071050</v>
          </cell>
          <cell r="B119" t="str">
            <v>IS</v>
          </cell>
          <cell r="C119" t="str">
            <v>2. Variable cost Labor</v>
          </cell>
          <cell r="E119" t="str">
            <v>Pixelle</v>
          </cell>
          <cell r="F119" t="str">
            <v>Pixelle</v>
          </cell>
          <cell r="G119">
            <v>60710</v>
          </cell>
          <cell r="H119">
            <v>50</v>
          </cell>
          <cell r="I119" t="str">
            <v>PRODUCTION OVERTIME</v>
          </cell>
          <cell r="J119" t="str">
            <v>P</v>
          </cell>
          <cell r="K119" t="str">
            <v/>
          </cell>
          <cell r="L119">
            <v>0</v>
          </cell>
          <cell r="M119">
            <v>11359.5</v>
          </cell>
        </row>
        <row r="120">
          <cell r="A120" t="str">
            <v>607201</v>
          </cell>
          <cell r="B120" t="str">
            <v>IS</v>
          </cell>
          <cell r="C120" t="str">
            <v>2. Variable cost Labor</v>
          </cell>
          <cell r="E120" t="str">
            <v>Hillsboro</v>
          </cell>
          <cell r="F120" t="str">
            <v>Hillsboro</v>
          </cell>
          <cell r="G120">
            <v>60720</v>
          </cell>
          <cell r="H120">
            <v>1</v>
          </cell>
          <cell r="I120" t="str">
            <v>PRODUCTION VACATION</v>
          </cell>
          <cell r="J120" t="str">
            <v>P</v>
          </cell>
          <cell r="K120" t="str">
            <v/>
          </cell>
          <cell r="L120">
            <v>0</v>
          </cell>
          <cell r="M120">
            <v>27712.58</v>
          </cell>
        </row>
        <row r="121">
          <cell r="A121" t="str">
            <v>607202</v>
          </cell>
          <cell r="B121" t="str">
            <v>IS</v>
          </cell>
          <cell r="C121" t="str">
            <v>2. Variable cost Labor</v>
          </cell>
          <cell r="E121" t="str">
            <v>Angola</v>
          </cell>
          <cell r="F121" t="str">
            <v>Angola</v>
          </cell>
          <cell r="G121">
            <v>60720</v>
          </cell>
          <cell r="H121">
            <v>2</v>
          </cell>
          <cell r="I121" t="str">
            <v>PRODUCTION VACATION</v>
          </cell>
          <cell r="J121" t="str">
            <v>P</v>
          </cell>
          <cell r="K121" t="str">
            <v/>
          </cell>
          <cell r="L121">
            <v>0</v>
          </cell>
          <cell r="M121">
            <v>14871.99</v>
          </cell>
        </row>
        <row r="122">
          <cell r="A122" t="str">
            <v>6072050</v>
          </cell>
          <cell r="B122" t="str">
            <v>IS</v>
          </cell>
          <cell r="C122" t="str">
            <v>2. Variable cost Labor</v>
          </cell>
          <cell r="E122" t="str">
            <v>Pixelle</v>
          </cell>
          <cell r="F122" t="str">
            <v>Pixelle</v>
          </cell>
          <cell r="G122">
            <v>60720</v>
          </cell>
          <cell r="H122">
            <v>50</v>
          </cell>
          <cell r="I122" t="str">
            <v>PRODUCTION VACATION</v>
          </cell>
          <cell r="J122" t="str">
            <v>P</v>
          </cell>
          <cell r="K122" t="str">
            <v/>
          </cell>
          <cell r="L122">
            <v>0</v>
          </cell>
          <cell r="M122">
            <v>10905.8</v>
          </cell>
        </row>
        <row r="123">
          <cell r="A123" t="str">
            <v>607301</v>
          </cell>
          <cell r="B123" t="str">
            <v>IS</v>
          </cell>
          <cell r="C123" t="str">
            <v>2. Variable cost Labor</v>
          </cell>
          <cell r="E123" t="str">
            <v>Hillsboro</v>
          </cell>
          <cell r="F123" t="str">
            <v>Hillsboro</v>
          </cell>
          <cell r="G123">
            <v>60730</v>
          </cell>
          <cell r="H123">
            <v>1</v>
          </cell>
          <cell r="I123" t="str">
            <v>PRODUCTION HOLIDAY</v>
          </cell>
          <cell r="J123" t="str">
            <v>P</v>
          </cell>
          <cell r="K123" t="str">
            <v/>
          </cell>
          <cell r="L123">
            <v>0</v>
          </cell>
          <cell r="M123">
            <v>15001.6</v>
          </cell>
        </row>
        <row r="124">
          <cell r="A124" t="str">
            <v>607302</v>
          </cell>
          <cell r="B124" t="str">
            <v>IS</v>
          </cell>
          <cell r="C124" t="str">
            <v>2. Variable cost Labor</v>
          </cell>
          <cell r="E124" t="str">
            <v>Angola</v>
          </cell>
          <cell r="F124" t="str">
            <v>Angola</v>
          </cell>
          <cell r="G124">
            <v>60730</v>
          </cell>
          <cell r="H124">
            <v>2</v>
          </cell>
          <cell r="I124" t="str">
            <v>PRODUCTION HOLIDAY</v>
          </cell>
          <cell r="J124" t="str">
            <v>P</v>
          </cell>
          <cell r="K124" t="str">
            <v/>
          </cell>
          <cell r="L124">
            <v>0</v>
          </cell>
          <cell r="M124">
            <v>10626.24</v>
          </cell>
        </row>
        <row r="125">
          <cell r="A125" t="str">
            <v>6073050</v>
          </cell>
          <cell r="B125" t="str">
            <v>IS</v>
          </cell>
          <cell r="C125" t="str">
            <v>2. Variable cost Labor</v>
          </cell>
          <cell r="E125" t="str">
            <v>Pixelle</v>
          </cell>
          <cell r="F125" t="str">
            <v>Pixelle</v>
          </cell>
          <cell r="G125">
            <v>60730</v>
          </cell>
          <cell r="H125">
            <v>50</v>
          </cell>
          <cell r="I125" t="str">
            <v>PRODUCTION HOLIDAY</v>
          </cell>
          <cell r="J125" t="str">
            <v>P</v>
          </cell>
          <cell r="K125" t="str">
            <v/>
          </cell>
          <cell r="L125">
            <v>0</v>
          </cell>
          <cell r="M125">
            <v>6821.6</v>
          </cell>
        </row>
        <row r="126">
          <cell r="A126" t="str">
            <v>607501</v>
          </cell>
          <cell r="B126" t="str">
            <v>IS</v>
          </cell>
          <cell r="C126" t="str">
            <v>2. Variable cost Labor</v>
          </cell>
          <cell r="E126" t="str">
            <v>Hillsboro</v>
          </cell>
          <cell r="F126" t="str">
            <v>Hillsboro</v>
          </cell>
          <cell r="G126">
            <v>60750</v>
          </cell>
          <cell r="H126">
            <v>1</v>
          </cell>
          <cell r="I126" t="str">
            <v>MAINT. WAGES</v>
          </cell>
          <cell r="J126" t="str">
            <v>P</v>
          </cell>
          <cell r="K126" t="str">
            <v/>
          </cell>
          <cell r="L126">
            <v>0</v>
          </cell>
          <cell r="M126">
            <v>35456.449999999997</v>
          </cell>
        </row>
        <row r="127">
          <cell r="A127" t="str">
            <v>607502</v>
          </cell>
          <cell r="B127" t="str">
            <v>IS</v>
          </cell>
          <cell r="C127" t="str">
            <v>2. Variable cost Labor</v>
          </cell>
          <cell r="E127" t="str">
            <v>Angola</v>
          </cell>
          <cell r="F127" t="str">
            <v>Angola</v>
          </cell>
          <cell r="G127">
            <v>60750</v>
          </cell>
          <cell r="H127">
            <v>2</v>
          </cell>
          <cell r="I127" t="str">
            <v>MAINT. WAGES</v>
          </cell>
          <cell r="J127" t="str">
            <v>P</v>
          </cell>
          <cell r="K127" t="str">
            <v/>
          </cell>
          <cell r="L127">
            <v>0</v>
          </cell>
          <cell r="M127">
            <v>49993</v>
          </cell>
        </row>
        <row r="128">
          <cell r="A128" t="str">
            <v>6075050</v>
          </cell>
          <cell r="B128" t="str">
            <v>IS</v>
          </cell>
          <cell r="C128" t="str">
            <v>2. Variable cost Labor</v>
          </cell>
          <cell r="E128" t="str">
            <v>Pixelle</v>
          </cell>
          <cell r="F128" t="str">
            <v>Pixelle</v>
          </cell>
          <cell r="G128">
            <v>60750</v>
          </cell>
          <cell r="H128">
            <v>50</v>
          </cell>
          <cell r="I128" t="str">
            <v>MAINT. WAGES</v>
          </cell>
          <cell r="J128" t="str">
            <v>P</v>
          </cell>
          <cell r="K128" t="str">
            <v/>
          </cell>
          <cell r="L128">
            <v>0</v>
          </cell>
          <cell r="M128">
            <v>-11914.34</v>
          </cell>
        </row>
        <row r="129">
          <cell r="A129" t="str">
            <v>607511</v>
          </cell>
          <cell r="B129" t="str">
            <v>IS</v>
          </cell>
          <cell r="C129" t="str">
            <v>2. Variable cost Labor</v>
          </cell>
          <cell r="E129" t="str">
            <v>Hillsboro</v>
          </cell>
          <cell r="F129" t="str">
            <v>Hillsboro</v>
          </cell>
          <cell r="G129">
            <v>60751</v>
          </cell>
          <cell r="H129">
            <v>1</v>
          </cell>
          <cell r="I129" t="str">
            <v>MAINT. O.T. WAGES</v>
          </cell>
          <cell r="J129" t="str">
            <v>P</v>
          </cell>
          <cell r="K129" t="str">
            <v/>
          </cell>
          <cell r="L129">
            <v>0</v>
          </cell>
          <cell r="M129">
            <v>1450.57</v>
          </cell>
        </row>
        <row r="130">
          <cell r="A130" t="str">
            <v>607512</v>
          </cell>
          <cell r="B130" t="str">
            <v>IS</v>
          </cell>
          <cell r="C130" t="str">
            <v>2. Variable cost Labor</v>
          </cell>
          <cell r="E130" t="str">
            <v>Angola</v>
          </cell>
          <cell r="F130" t="str">
            <v>Angola</v>
          </cell>
          <cell r="G130">
            <v>60751</v>
          </cell>
          <cell r="H130">
            <v>2</v>
          </cell>
          <cell r="I130" t="str">
            <v>MAINT. O.T. WAGES</v>
          </cell>
          <cell r="J130" t="str">
            <v>P</v>
          </cell>
          <cell r="K130" t="str">
            <v/>
          </cell>
          <cell r="L130">
            <v>0</v>
          </cell>
          <cell r="M130">
            <v>966</v>
          </cell>
        </row>
        <row r="131">
          <cell r="A131" t="str">
            <v>6075150</v>
          </cell>
          <cell r="B131" t="str">
            <v>IS</v>
          </cell>
          <cell r="C131" t="str">
            <v>2. Variable cost Labor</v>
          </cell>
          <cell r="E131" t="str">
            <v>Pixelle</v>
          </cell>
          <cell r="F131" t="str">
            <v>Pixelle</v>
          </cell>
          <cell r="G131">
            <v>60751</v>
          </cell>
          <cell r="H131">
            <v>50</v>
          </cell>
          <cell r="I131" t="str">
            <v>MAINT. O.T. WAGES</v>
          </cell>
          <cell r="J131" t="str">
            <v>P</v>
          </cell>
          <cell r="K131" t="str">
            <v/>
          </cell>
          <cell r="L131">
            <v>0</v>
          </cell>
          <cell r="M131">
            <v>619.41</v>
          </cell>
        </row>
        <row r="132">
          <cell r="A132" t="str">
            <v>607521</v>
          </cell>
          <cell r="B132" t="str">
            <v>IS</v>
          </cell>
          <cell r="C132" t="str">
            <v>2. Variable cost Labor</v>
          </cell>
          <cell r="E132" t="str">
            <v>Hillsboro</v>
          </cell>
          <cell r="F132" t="str">
            <v>Hillsboro</v>
          </cell>
          <cell r="G132">
            <v>60752</v>
          </cell>
          <cell r="H132">
            <v>1</v>
          </cell>
          <cell r="I132" t="str">
            <v>MAINT. VAC. WAGES</v>
          </cell>
          <cell r="J132" t="str">
            <v>P</v>
          </cell>
          <cell r="K132" t="str">
            <v/>
          </cell>
          <cell r="L132">
            <v>0</v>
          </cell>
          <cell r="M132">
            <v>3037</v>
          </cell>
        </row>
        <row r="133">
          <cell r="A133" t="str">
            <v>607522</v>
          </cell>
          <cell r="B133" t="str">
            <v>IS</v>
          </cell>
          <cell r="C133" t="str">
            <v>2. Variable cost Labor</v>
          </cell>
          <cell r="E133" t="str">
            <v>Angola</v>
          </cell>
          <cell r="F133" t="str">
            <v>Angola</v>
          </cell>
          <cell r="G133">
            <v>60752</v>
          </cell>
          <cell r="H133">
            <v>2</v>
          </cell>
          <cell r="I133" t="str">
            <v>MAINT. VAC. WAGES</v>
          </cell>
          <cell r="J133" t="str">
            <v>P</v>
          </cell>
          <cell r="K133" t="str">
            <v/>
          </cell>
          <cell r="L133">
            <v>0</v>
          </cell>
          <cell r="M133">
            <v>4985.75</v>
          </cell>
        </row>
        <row r="134">
          <cell r="A134" t="str">
            <v>6075250</v>
          </cell>
          <cell r="B134" t="str">
            <v>IS</v>
          </cell>
          <cell r="C134" t="str">
            <v>2. Variable cost Labor</v>
          </cell>
          <cell r="E134" t="str">
            <v>Pixelle</v>
          </cell>
          <cell r="F134" t="str">
            <v>Pixelle</v>
          </cell>
          <cell r="G134">
            <v>60752</v>
          </cell>
          <cell r="H134">
            <v>50</v>
          </cell>
          <cell r="I134" t="str">
            <v>MAINT. VAC. WAGES</v>
          </cell>
          <cell r="J134" t="str">
            <v>P</v>
          </cell>
          <cell r="K134" t="str">
            <v/>
          </cell>
          <cell r="L134">
            <v>0</v>
          </cell>
          <cell r="M134">
            <v>3400.2</v>
          </cell>
        </row>
        <row r="135">
          <cell r="A135" t="str">
            <v>607531</v>
          </cell>
          <cell r="B135" t="str">
            <v>IS</v>
          </cell>
          <cell r="C135" t="str">
            <v>2. Variable cost Labor</v>
          </cell>
          <cell r="E135" t="str">
            <v>Hillsboro</v>
          </cell>
          <cell r="F135" t="str">
            <v>Hillsboro</v>
          </cell>
          <cell r="G135">
            <v>60753</v>
          </cell>
          <cell r="H135">
            <v>1</v>
          </cell>
          <cell r="I135" t="str">
            <v>MAINT. HOLIDAY WAGES</v>
          </cell>
          <cell r="J135" t="str">
            <v>P</v>
          </cell>
          <cell r="K135" t="str">
            <v/>
          </cell>
          <cell r="L135">
            <v>0</v>
          </cell>
          <cell r="M135">
            <v>1412</v>
          </cell>
        </row>
        <row r="136">
          <cell r="A136" t="str">
            <v>607532</v>
          </cell>
          <cell r="B136" t="str">
            <v>IS</v>
          </cell>
          <cell r="C136" t="str">
            <v>2. Variable cost Labor</v>
          </cell>
          <cell r="E136" t="str">
            <v>Angola</v>
          </cell>
          <cell r="F136" t="str">
            <v>Angola</v>
          </cell>
          <cell r="G136">
            <v>60753</v>
          </cell>
          <cell r="H136">
            <v>2</v>
          </cell>
          <cell r="I136" t="str">
            <v>MAINT. HOLIDAY WAGES</v>
          </cell>
          <cell r="J136" t="str">
            <v>P</v>
          </cell>
          <cell r="K136" t="str">
            <v/>
          </cell>
          <cell r="L136">
            <v>0</v>
          </cell>
          <cell r="M136">
            <v>2016</v>
          </cell>
        </row>
        <row r="137">
          <cell r="A137" t="str">
            <v>6075350</v>
          </cell>
          <cell r="B137" t="str">
            <v>IS</v>
          </cell>
          <cell r="C137" t="str">
            <v>2. Variable cost Labor</v>
          </cell>
          <cell r="E137" t="str">
            <v>Pixelle</v>
          </cell>
          <cell r="F137" t="str">
            <v>Pixelle</v>
          </cell>
          <cell r="G137">
            <v>60753</v>
          </cell>
          <cell r="H137">
            <v>50</v>
          </cell>
          <cell r="I137" t="str">
            <v>MAINT. HOLIDAY WAGES</v>
          </cell>
          <cell r="J137" t="str">
            <v>P</v>
          </cell>
          <cell r="K137" t="str">
            <v/>
          </cell>
          <cell r="L137">
            <v>0</v>
          </cell>
          <cell r="M137">
            <v>1257.5999999999999</v>
          </cell>
        </row>
        <row r="138">
          <cell r="A138" t="str">
            <v>607601</v>
          </cell>
          <cell r="B138" t="str">
            <v>IS</v>
          </cell>
          <cell r="C138" t="str">
            <v>2. Variable cost Labor</v>
          </cell>
          <cell r="E138" t="str">
            <v>Hillsboro</v>
          </cell>
          <cell r="F138" t="str">
            <v>Hillsboro</v>
          </cell>
          <cell r="G138">
            <v>60760</v>
          </cell>
          <cell r="H138">
            <v>1</v>
          </cell>
          <cell r="I138" t="str">
            <v>GENERAL PLANT WAGES</v>
          </cell>
          <cell r="J138" t="str">
            <v>P</v>
          </cell>
          <cell r="K138" t="str">
            <v/>
          </cell>
          <cell r="L138">
            <v>0</v>
          </cell>
          <cell r="M138">
            <v>0</v>
          </cell>
        </row>
        <row r="139">
          <cell r="A139" t="str">
            <v>607602</v>
          </cell>
          <cell r="B139" t="str">
            <v>IS</v>
          </cell>
          <cell r="C139" t="str">
            <v>2. Variable cost Labor</v>
          </cell>
          <cell r="E139" t="str">
            <v>Angola</v>
          </cell>
          <cell r="F139" t="str">
            <v>Angola</v>
          </cell>
          <cell r="G139">
            <v>60760</v>
          </cell>
          <cell r="H139">
            <v>2</v>
          </cell>
          <cell r="I139" t="str">
            <v>GENERAL PLANT WAGES</v>
          </cell>
          <cell r="J139" t="str">
            <v>P</v>
          </cell>
          <cell r="K139" t="str">
            <v/>
          </cell>
          <cell r="L139">
            <v>0</v>
          </cell>
          <cell r="M139">
            <v>68935.429999999993</v>
          </cell>
        </row>
        <row r="140">
          <cell r="A140" t="str">
            <v>607612</v>
          </cell>
          <cell r="B140" t="str">
            <v>IS</v>
          </cell>
          <cell r="C140" t="str">
            <v>2. Variable cost Labor</v>
          </cell>
          <cell r="E140" t="str">
            <v>Angola</v>
          </cell>
          <cell r="F140" t="str">
            <v>Angola</v>
          </cell>
          <cell r="G140">
            <v>60761</v>
          </cell>
          <cell r="H140">
            <v>2</v>
          </cell>
          <cell r="I140" t="str">
            <v>GENERAL PLANT O.T.</v>
          </cell>
          <cell r="J140" t="str">
            <v>P</v>
          </cell>
          <cell r="K140" t="str">
            <v/>
          </cell>
          <cell r="L140">
            <v>0</v>
          </cell>
          <cell r="M140">
            <v>117.29</v>
          </cell>
        </row>
        <row r="141">
          <cell r="A141" t="str">
            <v>607622</v>
          </cell>
          <cell r="B141" t="str">
            <v>IS</v>
          </cell>
          <cell r="C141" t="str">
            <v>2. Variable cost Labor</v>
          </cell>
          <cell r="E141" t="str">
            <v>Angola</v>
          </cell>
          <cell r="F141" t="str">
            <v>Angola</v>
          </cell>
          <cell r="G141">
            <v>60762</v>
          </cell>
          <cell r="H141">
            <v>2</v>
          </cell>
          <cell r="I141" t="str">
            <v>GENERAL PLANT VAC</v>
          </cell>
          <cell r="J141" t="str">
            <v>P</v>
          </cell>
          <cell r="K141" t="str">
            <v/>
          </cell>
          <cell r="L141">
            <v>0</v>
          </cell>
          <cell r="M141">
            <v>5208.18</v>
          </cell>
        </row>
        <row r="142">
          <cell r="A142" t="str">
            <v>607632</v>
          </cell>
          <cell r="B142" t="str">
            <v>IS</v>
          </cell>
          <cell r="C142" t="str">
            <v>2. Variable cost Labor</v>
          </cell>
          <cell r="E142" t="str">
            <v>Angola</v>
          </cell>
          <cell r="F142" t="str">
            <v>Angola</v>
          </cell>
          <cell r="G142">
            <v>60763</v>
          </cell>
          <cell r="H142">
            <v>2</v>
          </cell>
          <cell r="I142" t="str">
            <v>GENERAL PLANT HOLIDAY</v>
          </cell>
          <cell r="J142" t="str">
            <v>P</v>
          </cell>
          <cell r="K142" t="str">
            <v/>
          </cell>
          <cell r="L142">
            <v>0</v>
          </cell>
          <cell r="M142">
            <v>2746.8</v>
          </cell>
        </row>
        <row r="143">
          <cell r="A143" t="str">
            <v>6076499</v>
          </cell>
          <cell r="B143" t="str">
            <v>IS</v>
          </cell>
          <cell r="C143" t="str">
            <v>2. Variable cost Labor</v>
          </cell>
          <cell r="E143" t="str">
            <v>Hillsboro</v>
          </cell>
          <cell r="F143" t="str">
            <v>Corp</v>
          </cell>
          <cell r="G143">
            <v>60764</v>
          </cell>
          <cell r="H143">
            <v>99</v>
          </cell>
          <cell r="I143" t="str">
            <v>COMP DEPT WAGES</v>
          </cell>
          <cell r="J143" t="str">
            <v>P</v>
          </cell>
          <cell r="K143" t="str">
            <v>COMP DEPT WAGES</v>
          </cell>
          <cell r="L143">
            <v>0</v>
          </cell>
          <cell r="M143">
            <v>0</v>
          </cell>
        </row>
        <row r="144">
          <cell r="A144" t="str">
            <v>6076699</v>
          </cell>
          <cell r="B144" t="str">
            <v>IS</v>
          </cell>
          <cell r="C144" t="str">
            <v>2. Variable cost Labor</v>
          </cell>
          <cell r="E144" t="str">
            <v>Hillsboro</v>
          </cell>
          <cell r="F144" t="str">
            <v>Corp</v>
          </cell>
          <cell r="G144">
            <v>60766</v>
          </cell>
          <cell r="H144">
            <v>99</v>
          </cell>
          <cell r="I144" t="str">
            <v>COMP DEPT VACATION</v>
          </cell>
          <cell r="J144" t="str">
            <v>P</v>
          </cell>
          <cell r="K144" t="str">
            <v>COMP DEPT VACATION</v>
          </cell>
          <cell r="L144">
            <v>0</v>
          </cell>
          <cell r="M144">
            <v>0</v>
          </cell>
        </row>
        <row r="145">
          <cell r="A145" t="str">
            <v>6076799</v>
          </cell>
          <cell r="B145" t="str">
            <v>IS</v>
          </cell>
          <cell r="C145" t="str">
            <v>2. Variable cost Labor</v>
          </cell>
          <cell r="E145" t="str">
            <v>Hillsboro</v>
          </cell>
          <cell r="F145" t="str">
            <v>Corp</v>
          </cell>
          <cell r="G145">
            <v>60767</v>
          </cell>
          <cell r="H145">
            <v>99</v>
          </cell>
          <cell r="I145" t="str">
            <v>COMP DEPT HOLIDAY</v>
          </cell>
          <cell r="J145" t="str">
            <v>P</v>
          </cell>
          <cell r="K145" t="str">
            <v>COMP DEPT HOLIDAY</v>
          </cell>
          <cell r="L145">
            <v>0</v>
          </cell>
          <cell r="M145">
            <v>0</v>
          </cell>
        </row>
        <row r="146">
          <cell r="A146" t="str">
            <v>607701</v>
          </cell>
          <cell r="B146" t="str">
            <v>IS</v>
          </cell>
          <cell r="C146" t="str">
            <v>3. Mfg IDL</v>
          </cell>
          <cell r="E146" t="str">
            <v>Hillsboro</v>
          </cell>
          <cell r="F146" t="str">
            <v>Hillsboro</v>
          </cell>
          <cell r="G146">
            <v>60770</v>
          </cell>
          <cell r="H146">
            <v>1</v>
          </cell>
          <cell r="I146" t="str">
            <v>PLANT SUPERVISION</v>
          </cell>
          <cell r="J146" t="str">
            <v>P</v>
          </cell>
          <cell r="K146" t="str">
            <v/>
          </cell>
          <cell r="L146">
            <v>0</v>
          </cell>
          <cell r="M146">
            <v>61612.77</v>
          </cell>
        </row>
        <row r="147">
          <cell r="A147" t="str">
            <v>607702</v>
          </cell>
          <cell r="B147" t="str">
            <v>IS</v>
          </cell>
          <cell r="C147" t="str">
            <v>3. Mfg IDL</v>
          </cell>
          <cell r="E147" t="str">
            <v>Angola</v>
          </cell>
          <cell r="F147" t="str">
            <v>Angola</v>
          </cell>
          <cell r="G147">
            <v>60770</v>
          </cell>
          <cell r="H147">
            <v>2</v>
          </cell>
          <cell r="I147" t="str">
            <v>PLANT SUPERVISION</v>
          </cell>
          <cell r="J147" t="str">
            <v>P</v>
          </cell>
          <cell r="K147" t="str">
            <v/>
          </cell>
          <cell r="L147">
            <v>0</v>
          </cell>
          <cell r="M147">
            <v>81056.13</v>
          </cell>
        </row>
        <row r="148">
          <cell r="A148" t="str">
            <v>6077050</v>
          </cell>
          <cell r="B148" t="str">
            <v>IS</v>
          </cell>
          <cell r="C148" t="str">
            <v>3. Mfg IDL</v>
          </cell>
          <cell r="E148" t="str">
            <v>Pixelle</v>
          </cell>
          <cell r="F148" t="str">
            <v>Pixelle</v>
          </cell>
          <cell r="G148">
            <v>60770</v>
          </cell>
          <cell r="H148">
            <v>50</v>
          </cell>
          <cell r="I148" t="str">
            <v>PLANT SUPERVISION</v>
          </cell>
          <cell r="J148" t="str">
            <v>P</v>
          </cell>
          <cell r="K148" t="str">
            <v/>
          </cell>
          <cell r="L148">
            <v>0</v>
          </cell>
          <cell r="M148">
            <v>56669.65</v>
          </cell>
        </row>
        <row r="149">
          <cell r="A149" t="str">
            <v>607801</v>
          </cell>
          <cell r="B149" t="str">
            <v>IS</v>
          </cell>
          <cell r="C149" t="str">
            <v>2. Variable cost Labor</v>
          </cell>
          <cell r="E149" t="str">
            <v>Hillsboro</v>
          </cell>
          <cell r="F149" t="str">
            <v>Hillsboro</v>
          </cell>
          <cell r="G149">
            <v>60780</v>
          </cell>
          <cell r="H149">
            <v>1</v>
          </cell>
          <cell r="I149" t="str">
            <v>BINDERY WAGES</v>
          </cell>
          <cell r="J149" t="str">
            <v>P</v>
          </cell>
          <cell r="K149" t="str">
            <v>BINDERY WAGES</v>
          </cell>
          <cell r="L149">
            <v>0</v>
          </cell>
          <cell r="M149">
            <v>165555.79</v>
          </cell>
        </row>
        <row r="150">
          <cell r="A150" t="str">
            <v>607811</v>
          </cell>
          <cell r="B150" t="str">
            <v>IS</v>
          </cell>
          <cell r="C150" t="str">
            <v>2. Variable cost Labor</v>
          </cell>
          <cell r="E150" t="str">
            <v>Hillsboro</v>
          </cell>
          <cell r="F150" t="str">
            <v>Hillsboro</v>
          </cell>
          <cell r="G150">
            <v>60781</v>
          </cell>
          <cell r="H150">
            <v>1</v>
          </cell>
          <cell r="I150" t="str">
            <v>BINDERY O.T. WAGES</v>
          </cell>
          <cell r="J150" t="str">
            <v>P</v>
          </cell>
          <cell r="K150" t="str">
            <v>BINDERY O.T. WAGES</v>
          </cell>
          <cell r="L150">
            <v>0</v>
          </cell>
          <cell r="M150">
            <v>5490.57</v>
          </cell>
        </row>
        <row r="151">
          <cell r="A151" t="str">
            <v>607821</v>
          </cell>
          <cell r="B151" t="str">
            <v>IS</v>
          </cell>
          <cell r="C151" t="str">
            <v>2. Variable cost Labor</v>
          </cell>
          <cell r="E151" t="str">
            <v>Hillsboro</v>
          </cell>
          <cell r="F151" t="str">
            <v>Hillsboro</v>
          </cell>
          <cell r="G151">
            <v>60782</v>
          </cell>
          <cell r="H151">
            <v>1</v>
          </cell>
          <cell r="I151" t="str">
            <v>BINDERY VAC WAGES</v>
          </cell>
          <cell r="J151" t="str">
            <v>P</v>
          </cell>
          <cell r="K151" t="str">
            <v>BINDERY VAC WAGES</v>
          </cell>
          <cell r="L151">
            <v>0</v>
          </cell>
          <cell r="M151">
            <v>7364.25</v>
          </cell>
        </row>
        <row r="152">
          <cell r="A152" t="str">
            <v>607831</v>
          </cell>
          <cell r="B152" t="str">
            <v>IS</v>
          </cell>
          <cell r="C152" t="str">
            <v>2. Variable cost Labor</v>
          </cell>
          <cell r="E152" t="str">
            <v>Hillsboro</v>
          </cell>
          <cell r="F152" t="str">
            <v>Hillsboro</v>
          </cell>
          <cell r="G152">
            <v>60783</v>
          </cell>
          <cell r="H152">
            <v>1</v>
          </cell>
          <cell r="I152" t="str">
            <v>BINDERY HOLIDAY WAGES</v>
          </cell>
          <cell r="J152" t="str">
            <v>P</v>
          </cell>
          <cell r="K152" t="str">
            <v>BINDERY HOLIDAY WAGES</v>
          </cell>
          <cell r="L152">
            <v>0</v>
          </cell>
          <cell r="M152">
            <v>5072</v>
          </cell>
        </row>
        <row r="153">
          <cell r="A153" t="str">
            <v>608001</v>
          </cell>
          <cell r="B153" t="str">
            <v>IS</v>
          </cell>
          <cell r="C153" t="str">
            <v>3. Mfg IDL</v>
          </cell>
          <cell r="E153" t="str">
            <v>Hillsboro</v>
          </cell>
          <cell r="F153" t="str">
            <v>Hillsboro</v>
          </cell>
          <cell r="G153">
            <v>60800</v>
          </cell>
          <cell r="H153">
            <v>1</v>
          </cell>
          <cell r="I153" t="str">
            <v>MAT'L HANDLER WAGES</v>
          </cell>
          <cell r="J153" t="str">
            <v>P</v>
          </cell>
          <cell r="K153" t="str">
            <v/>
          </cell>
          <cell r="L153">
            <v>0</v>
          </cell>
          <cell r="M153">
            <v>75503.87</v>
          </cell>
        </row>
        <row r="154">
          <cell r="A154" t="str">
            <v>608002</v>
          </cell>
          <cell r="B154" t="str">
            <v>IS</v>
          </cell>
          <cell r="C154" t="str">
            <v>3. Mfg IDL</v>
          </cell>
          <cell r="E154" t="str">
            <v>Angola</v>
          </cell>
          <cell r="F154" t="str">
            <v>Angola</v>
          </cell>
          <cell r="G154">
            <v>60800</v>
          </cell>
          <cell r="H154">
            <v>2</v>
          </cell>
          <cell r="I154" t="str">
            <v>MAT'L HANDLER WAGES</v>
          </cell>
          <cell r="J154" t="str">
            <v>P</v>
          </cell>
          <cell r="K154" t="str">
            <v/>
          </cell>
          <cell r="L154">
            <v>0</v>
          </cell>
          <cell r="M154">
            <v>48103.87</v>
          </cell>
        </row>
        <row r="155">
          <cell r="A155" t="str">
            <v>608101</v>
          </cell>
          <cell r="B155" t="str">
            <v>IS</v>
          </cell>
          <cell r="C155" t="str">
            <v>3. Mfg IDL</v>
          </cell>
          <cell r="E155" t="str">
            <v>Hillsboro</v>
          </cell>
          <cell r="F155" t="str">
            <v>Hillsboro</v>
          </cell>
          <cell r="G155">
            <v>60810</v>
          </cell>
          <cell r="H155">
            <v>1</v>
          </cell>
          <cell r="I155" t="str">
            <v>MAT'L HANDLER-OVERTIME</v>
          </cell>
          <cell r="J155" t="str">
            <v>P</v>
          </cell>
          <cell r="K155" t="str">
            <v/>
          </cell>
          <cell r="L155">
            <v>0</v>
          </cell>
          <cell r="M155">
            <v>201.51</v>
          </cell>
        </row>
        <row r="156">
          <cell r="A156" t="str">
            <v>608102</v>
          </cell>
          <cell r="B156" t="str">
            <v>IS</v>
          </cell>
          <cell r="C156" t="str">
            <v>3. Mfg IDL</v>
          </cell>
          <cell r="E156" t="str">
            <v>Angola</v>
          </cell>
          <cell r="F156" t="str">
            <v>Angola</v>
          </cell>
          <cell r="G156">
            <v>60810</v>
          </cell>
          <cell r="H156">
            <v>2</v>
          </cell>
          <cell r="I156" t="str">
            <v>MAT'L HANDLER-OVERTIME</v>
          </cell>
          <cell r="J156" t="str">
            <v>P</v>
          </cell>
          <cell r="K156" t="str">
            <v/>
          </cell>
          <cell r="L156">
            <v>0</v>
          </cell>
          <cell r="M156">
            <v>48.76</v>
          </cell>
        </row>
        <row r="157">
          <cell r="A157" t="str">
            <v>608201</v>
          </cell>
          <cell r="B157" t="str">
            <v>IS</v>
          </cell>
          <cell r="C157" t="str">
            <v>3. Mfg IDL</v>
          </cell>
          <cell r="E157" t="str">
            <v>Hillsboro</v>
          </cell>
          <cell r="F157" t="str">
            <v>Hillsboro</v>
          </cell>
          <cell r="G157">
            <v>60820</v>
          </cell>
          <cell r="H157">
            <v>1</v>
          </cell>
          <cell r="I157" t="str">
            <v>MAT'L HANDLER-VACATION</v>
          </cell>
          <cell r="J157" t="str">
            <v>P</v>
          </cell>
          <cell r="K157" t="str">
            <v/>
          </cell>
          <cell r="L157">
            <v>0</v>
          </cell>
          <cell r="M157">
            <v>4142.25</v>
          </cell>
        </row>
        <row r="158">
          <cell r="A158" t="str">
            <v>608202</v>
          </cell>
          <cell r="B158" t="str">
            <v>IS</v>
          </cell>
          <cell r="C158" t="str">
            <v>3. Mfg IDL</v>
          </cell>
          <cell r="E158" t="str">
            <v>Angola</v>
          </cell>
          <cell r="F158" t="str">
            <v>Angola</v>
          </cell>
          <cell r="G158">
            <v>60820</v>
          </cell>
          <cell r="H158">
            <v>2</v>
          </cell>
          <cell r="I158" t="str">
            <v>MAT'L HANDLER-VACATION</v>
          </cell>
          <cell r="J158" t="str">
            <v>P</v>
          </cell>
          <cell r="K158" t="str">
            <v/>
          </cell>
          <cell r="L158">
            <v>0</v>
          </cell>
          <cell r="M158">
            <v>1339.6</v>
          </cell>
        </row>
        <row r="159">
          <cell r="A159" t="str">
            <v>608301</v>
          </cell>
          <cell r="B159" t="str">
            <v>IS</v>
          </cell>
          <cell r="C159" t="str">
            <v>3. Mfg IDL</v>
          </cell>
          <cell r="E159" t="str">
            <v>Hillsboro</v>
          </cell>
          <cell r="F159" t="str">
            <v>Hillsboro</v>
          </cell>
          <cell r="G159">
            <v>60830</v>
          </cell>
          <cell r="H159">
            <v>1</v>
          </cell>
          <cell r="I159" t="str">
            <v>MAT'L HANDLER-HOLIDAY</v>
          </cell>
          <cell r="J159" t="str">
            <v>P</v>
          </cell>
          <cell r="K159" t="str">
            <v/>
          </cell>
          <cell r="L159">
            <v>0</v>
          </cell>
          <cell r="M159">
            <v>2873.2</v>
          </cell>
        </row>
        <row r="160">
          <cell r="A160" t="str">
            <v>608302</v>
          </cell>
          <cell r="B160" t="str">
            <v>IS</v>
          </cell>
          <cell r="C160" t="str">
            <v>3. Mfg IDL</v>
          </cell>
          <cell r="E160" t="str">
            <v>Angola</v>
          </cell>
          <cell r="F160" t="str">
            <v>Angola</v>
          </cell>
          <cell r="G160">
            <v>60830</v>
          </cell>
          <cell r="H160">
            <v>2</v>
          </cell>
          <cell r="I160" t="str">
            <v>MAT'L HANDLER-HOLIDAY</v>
          </cell>
          <cell r="J160" t="str">
            <v>P</v>
          </cell>
          <cell r="K160" t="str">
            <v/>
          </cell>
          <cell r="L160">
            <v>0</v>
          </cell>
          <cell r="M160">
            <v>1205.2</v>
          </cell>
        </row>
        <row r="161">
          <cell r="A161" t="str">
            <v>608401</v>
          </cell>
          <cell r="B161" t="str">
            <v>IS</v>
          </cell>
          <cell r="C161" t="str">
            <v>3. Mfg IDL</v>
          </cell>
          <cell r="E161" t="str">
            <v>Hillsboro</v>
          </cell>
          <cell r="F161" t="str">
            <v>Hillsboro</v>
          </cell>
          <cell r="G161">
            <v>60840</v>
          </cell>
          <cell r="H161">
            <v>1</v>
          </cell>
          <cell r="I161" t="str">
            <v>SHIPPING WAGES</v>
          </cell>
          <cell r="J161" t="str">
            <v>P</v>
          </cell>
          <cell r="K161" t="str">
            <v/>
          </cell>
          <cell r="L161">
            <v>0</v>
          </cell>
          <cell r="M161">
            <v>31072</v>
          </cell>
        </row>
        <row r="162">
          <cell r="A162" t="str">
            <v>608402</v>
          </cell>
          <cell r="B162" t="str">
            <v>IS</v>
          </cell>
          <cell r="C162" t="str">
            <v>3. Mfg IDL</v>
          </cell>
          <cell r="E162" t="str">
            <v>Angola</v>
          </cell>
          <cell r="F162" t="str">
            <v>Angola</v>
          </cell>
          <cell r="G162">
            <v>60840</v>
          </cell>
          <cell r="H162">
            <v>2</v>
          </cell>
          <cell r="I162" t="str">
            <v>SHIPPING WAGES</v>
          </cell>
          <cell r="J162" t="str">
            <v>P</v>
          </cell>
          <cell r="K162" t="str">
            <v/>
          </cell>
          <cell r="L162">
            <v>0</v>
          </cell>
          <cell r="M162">
            <v>36489.08</v>
          </cell>
        </row>
        <row r="163">
          <cell r="A163" t="str">
            <v>6084050</v>
          </cell>
          <cell r="B163" t="str">
            <v>IS</v>
          </cell>
          <cell r="C163" t="str">
            <v>3. Mfg IDL</v>
          </cell>
          <cell r="E163" t="str">
            <v>Pixelle</v>
          </cell>
          <cell r="F163" t="str">
            <v>Pixelle</v>
          </cell>
          <cell r="G163">
            <v>60840</v>
          </cell>
          <cell r="H163">
            <v>50</v>
          </cell>
          <cell r="I163" t="str">
            <v>SHIPPING WAGES</v>
          </cell>
          <cell r="J163" t="str">
            <v>P</v>
          </cell>
          <cell r="K163" t="str">
            <v/>
          </cell>
          <cell r="L163">
            <v>0</v>
          </cell>
          <cell r="M163">
            <v>40683.75</v>
          </cell>
        </row>
        <row r="164">
          <cell r="A164" t="str">
            <v>608412</v>
          </cell>
          <cell r="B164" t="str">
            <v>IS</v>
          </cell>
          <cell r="C164" t="str">
            <v>3. Mfg IDL</v>
          </cell>
          <cell r="E164" t="str">
            <v>Angola</v>
          </cell>
          <cell r="F164" t="str">
            <v>Angola</v>
          </cell>
          <cell r="G164">
            <v>60841</v>
          </cell>
          <cell r="H164">
            <v>2</v>
          </cell>
          <cell r="I164" t="str">
            <v>SHIPPING O.T. WAGES</v>
          </cell>
          <cell r="J164" t="str">
            <v>P</v>
          </cell>
          <cell r="K164" t="str">
            <v/>
          </cell>
          <cell r="L164">
            <v>0</v>
          </cell>
          <cell r="M164">
            <v>2230.08</v>
          </cell>
        </row>
        <row r="165">
          <cell r="A165" t="str">
            <v>6084150</v>
          </cell>
          <cell r="B165" t="str">
            <v>IS</v>
          </cell>
          <cell r="C165" t="str">
            <v>3. Mfg IDL</v>
          </cell>
          <cell r="E165" t="str">
            <v>Pixelle</v>
          </cell>
          <cell r="F165" t="str">
            <v>Pixelle</v>
          </cell>
          <cell r="G165">
            <v>60841</v>
          </cell>
          <cell r="H165">
            <v>50</v>
          </cell>
          <cell r="I165" t="str">
            <v>SHIPPING O.T. WAGES</v>
          </cell>
          <cell r="J165" t="str">
            <v>P</v>
          </cell>
          <cell r="K165" t="str">
            <v/>
          </cell>
          <cell r="L165">
            <v>0</v>
          </cell>
          <cell r="M165">
            <v>87.33</v>
          </cell>
        </row>
        <row r="166">
          <cell r="A166" t="str">
            <v>608421</v>
          </cell>
          <cell r="B166" t="str">
            <v>IS</v>
          </cell>
          <cell r="C166" t="str">
            <v>3. Mfg IDL</v>
          </cell>
          <cell r="E166" t="str">
            <v>Hillsboro</v>
          </cell>
          <cell r="F166" t="str">
            <v>Hillsboro</v>
          </cell>
          <cell r="G166">
            <v>60842</v>
          </cell>
          <cell r="H166">
            <v>1</v>
          </cell>
          <cell r="I166" t="str">
            <v>SHIPPING VAC. WAGES</v>
          </cell>
          <cell r="J166" t="str">
            <v>P</v>
          </cell>
          <cell r="K166" t="str">
            <v/>
          </cell>
          <cell r="L166">
            <v>0</v>
          </cell>
          <cell r="M166">
            <v>2745.15</v>
          </cell>
        </row>
        <row r="167">
          <cell r="A167" t="str">
            <v>608422</v>
          </cell>
          <cell r="B167" t="str">
            <v>IS</v>
          </cell>
          <cell r="C167" t="str">
            <v>3. Mfg IDL</v>
          </cell>
          <cell r="E167" t="str">
            <v>Angola</v>
          </cell>
          <cell r="F167" t="str">
            <v>Angola</v>
          </cell>
          <cell r="G167">
            <v>60842</v>
          </cell>
          <cell r="H167">
            <v>2</v>
          </cell>
          <cell r="I167" t="str">
            <v>SHIPPING VAC. WAGES</v>
          </cell>
          <cell r="J167" t="str">
            <v>P</v>
          </cell>
          <cell r="K167" t="str">
            <v/>
          </cell>
          <cell r="L167">
            <v>0</v>
          </cell>
          <cell r="M167">
            <v>2373.9</v>
          </cell>
        </row>
        <row r="168">
          <cell r="A168" t="str">
            <v>6084250</v>
          </cell>
          <cell r="B168" t="str">
            <v>IS</v>
          </cell>
          <cell r="C168" t="str">
            <v>3. Mfg IDL</v>
          </cell>
          <cell r="E168" t="str">
            <v>Pixelle</v>
          </cell>
          <cell r="F168" t="str">
            <v>Pixelle</v>
          </cell>
          <cell r="G168">
            <v>60842</v>
          </cell>
          <cell r="H168">
            <v>50</v>
          </cell>
          <cell r="I168" t="str">
            <v>SHIPPING VAC. WAGES</v>
          </cell>
          <cell r="J168" t="str">
            <v>P</v>
          </cell>
          <cell r="K168" t="str">
            <v/>
          </cell>
          <cell r="L168">
            <v>0</v>
          </cell>
          <cell r="M168">
            <v>1498.5</v>
          </cell>
        </row>
        <row r="169">
          <cell r="A169" t="str">
            <v>608431</v>
          </cell>
          <cell r="B169" t="str">
            <v>IS</v>
          </cell>
          <cell r="C169" t="str">
            <v>3. Mfg IDL</v>
          </cell>
          <cell r="E169" t="str">
            <v>Hillsboro</v>
          </cell>
          <cell r="F169" t="str">
            <v>Hillsboro</v>
          </cell>
          <cell r="G169">
            <v>60843</v>
          </cell>
          <cell r="H169">
            <v>1</v>
          </cell>
          <cell r="I169" t="str">
            <v>SHIPPING HOLIDAY WAGES</v>
          </cell>
          <cell r="J169" t="str">
            <v>P</v>
          </cell>
          <cell r="K169" t="str">
            <v/>
          </cell>
          <cell r="L169">
            <v>0</v>
          </cell>
          <cell r="M169">
            <v>1217.5999999999999</v>
          </cell>
        </row>
        <row r="170">
          <cell r="A170" t="str">
            <v>608432</v>
          </cell>
          <cell r="B170" t="str">
            <v>IS</v>
          </cell>
          <cell r="C170" t="str">
            <v>3. Mfg IDL</v>
          </cell>
          <cell r="E170" t="str">
            <v>Angola</v>
          </cell>
          <cell r="F170" t="str">
            <v>Angola</v>
          </cell>
          <cell r="G170">
            <v>60843</v>
          </cell>
          <cell r="H170">
            <v>2</v>
          </cell>
          <cell r="I170" t="str">
            <v>SHIPPING HOLIDAY WAGES</v>
          </cell>
          <cell r="J170" t="str">
            <v>P</v>
          </cell>
          <cell r="K170" t="str">
            <v/>
          </cell>
          <cell r="L170">
            <v>0</v>
          </cell>
          <cell r="M170">
            <v>1389.6</v>
          </cell>
        </row>
        <row r="171">
          <cell r="A171" t="str">
            <v>6084350</v>
          </cell>
          <cell r="B171" t="str">
            <v>IS</v>
          </cell>
          <cell r="C171" t="str">
            <v>3. Mfg IDL</v>
          </cell>
          <cell r="E171" t="str">
            <v>Pixelle</v>
          </cell>
          <cell r="F171" t="str">
            <v>Pixelle</v>
          </cell>
          <cell r="G171">
            <v>60843</v>
          </cell>
          <cell r="H171">
            <v>50</v>
          </cell>
          <cell r="I171" t="str">
            <v>SHIPPING HOLIDAY WAGES</v>
          </cell>
          <cell r="J171" t="str">
            <v>P</v>
          </cell>
          <cell r="K171" t="str">
            <v/>
          </cell>
          <cell r="L171">
            <v>0</v>
          </cell>
          <cell r="M171">
            <v>810</v>
          </cell>
        </row>
        <row r="172">
          <cell r="A172" t="str">
            <v>6085050</v>
          </cell>
          <cell r="B172" t="str">
            <v>IS</v>
          </cell>
          <cell r="C172" t="str">
            <v>3a. Mfg IDL</v>
          </cell>
          <cell r="D172"/>
          <cell r="E172" t="str">
            <v>Pixelle</v>
          </cell>
          <cell r="F172" t="str">
            <v>Pixelle</v>
          </cell>
          <cell r="G172">
            <v>60850</v>
          </cell>
          <cell r="H172">
            <v>50</v>
          </cell>
          <cell r="I172" t="str">
            <v>SUPERVISORY SALARIES</v>
          </cell>
          <cell r="J172" t="str">
            <v>P</v>
          </cell>
          <cell r="K172" t="str">
            <v/>
          </cell>
          <cell r="L172">
            <v>0</v>
          </cell>
          <cell r="M172">
            <v>-118069.05</v>
          </cell>
        </row>
        <row r="173">
          <cell r="A173" t="str">
            <v>6085099</v>
          </cell>
          <cell r="B173" t="str">
            <v>IS</v>
          </cell>
          <cell r="C173" t="str">
            <v>3. Mfg IDL</v>
          </cell>
          <cell r="D173"/>
          <cell r="E173" t="str">
            <v>Hillsboro</v>
          </cell>
          <cell r="F173" t="str">
            <v>Corp</v>
          </cell>
          <cell r="G173">
            <v>60850</v>
          </cell>
          <cell r="H173">
            <v>99</v>
          </cell>
          <cell r="I173" t="str">
            <v>SUPERVISORY SALARIES</v>
          </cell>
          <cell r="J173" t="str">
            <v>P</v>
          </cell>
          <cell r="K173" t="str">
            <v/>
          </cell>
          <cell r="L173">
            <v>0</v>
          </cell>
          <cell r="M173">
            <v>97854.12</v>
          </cell>
        </row>
        <row r="174">
          <cell r="A174" t="str">
            <v>609001</v>
          </cell>
          <cell r="B174" t="str">
            <v>IS</v>
          </cell>
          <cell r="C174" t="str">
            <v>4. Mfg OVHD</v>
          </cell>
          <cell r="E174" t="str">
            <v>Hillsboro</v>
          </cell>
          <cell r="F174" t="str">
            <v>Hillsboro</v>
          </cell>
          <cell r="G174">
            <v>60900</v>
          </cell>
          <cell r="H174">
            <v>1</v>
          </cell>
          <cell r="I174" t="str">
            <v>TRUCK EXPENSES</v>
          </cell>
          <cell r="J174" t="str">
            <v>P</v>
          </cell>
          <cell r="K174" t="str">
            <v/>
          </cell>
          <cell r="L174">
            <v>0</v>
          </cell>
          <cell r="M174">
            <v>60</v>
          </cell>
        </row>
        <row r="175">
          <cell r="A175" t="str">
            <v>6090099</v>
          </cell>
          <cell r="B175" t="str">
            <v>IS</v>
          </cell>
          <cell r="C175" t="str">
            <v>4. Mfg OVHD</v>
          </cell>
          <cell r="E175" t="str">
            <v>Hillsboro</v>
          </cell>
          <cell r="F175" t="str">
            <v>Corp</v>
          </cell>
          <cell r="G175">
            <v>60900</v>
          </cell>
          <cell r="H175">
            <v>99</v>
          </cell>
          <cell r="I175" t="str">
            <v>TRUCK EXPENSES</v>
          </cell>
          <cell r="J175" t="str">
            <v>P</v>
          </cell>
          <cell r="K175" t="str">
            <v/>
          </cell>
          <cell r="L175">
            <v>0</v>
          </cell>
          <cell r="M175">
            <v>74.010000000000005</v>
          </cell>
        </row>
        <row r="176">
          <cell r="A176" t="str">
            <v>609122</v>
          </cell>
          <cell r="B176" t="str">
            <v>IS</v>
          </cell>
          <cell r="C176" t="str">
            <v>4. Mfg OVHD</v>
          </cell>
          <cell r="E176" t="str">
            <v>Angola</v>
          </cell>
          <cell r="F176" t="str">
            <v>Angola</v>
          </cell>
          <cell r="G176">
            <v>60912</v>
          </cell>
          <cell r="H176">
            <v>2</v>
          </cell>
          <cell r="I176" t="str">
            <v>R &amp; M TRUCK #12</v>
          </cell>
          <cell r="J176" t="str">
            <v>P</v>
          </cell>
          <cell r="K176" t="str">
            <v>R &amp; M TRUCK #12</v>
          </cell>
          <cell r="L176">
            <v>0</v>
          </cell>
          <cell r="M176">
            <v>665.46</v>
          </cell>
        </row>
        <row r="177">
          <cell r="A177" t="str">
            <v>609131</v>
          </cell>
          <cell r="B177" t="str">
            <v>IS</v>
          </cell>
          <cell r="C177" t="str">
            <v>4. Mfg OVHD</v>
          </cell>
          <cell r="E177" t="str">
            <v>Hillsboro</v>
          </cell>
          <cell r="F177" t="str">
            <v>Hillsboro</v>
          </cell>
          <cell r="G177">
            <v>60913</v>
          </cell>
          <cell r="H177">
            <v>1</v>
          </cell>
          <cell r="I177" t="str">
            <v>R &amp; M TRUCK #13</v>
          </cell>
          <cell r="J177" t="str">
            <v>P</v>
          </cell>
          <cell r="K177" t="str">
            <v>R &amp; M TRUCK #13</v>
          </cell>
          <cell r="L177">
            <v>0</v>
          </cell>
          <cell r="M177">
            <v>4749.04</v>
          </cell>
        </row>
        <row r="178">
          <cell r="A178" t="str">
            <v>610001</v>
          </cell>
          <cell r="B178" t="str">
            <v>IS</v>
          </cell>
          <cell r="C178" t="str">
            <v>2. Variable cost Labor</v>
          </cell>
          <cell r="E178" t="str">
            <v>Hillsboro</v>
          </cell>
          <cell r="F178" t="str">
            <v>Hillsboro</v>
          </cell>
          <cell r="G178">
            <v>61000</v>
          </cell>
          <cell r="H178">
            <v>1</v>
          </cell>
          <cell r="I178" t="str">
            <v>FICA EXPENSE MANUF.</v>
          </cell>
          <cell r="J178" t="str">
            <v>P</v>
          </cell>
          <cell r="K178" t="str">
            <v/>
          </cell>
          <cell r="L178">
            <v>0</v>
          </cell>
          <cell r="M178">
            <v>63696.12</v>
          </cell>
        </row>
        <row r="179">
          <cell r="A179" t="str">
            <v>610002</v>
          </cell>
          <cell r="B179" t="str">
            <v>IS</v>
          </cell>
          <cell r="C179" t="str">
            <v>2. Variable cost Labor</v>
          </cell>
          <cell r="E179" t="str">
            <v>Angola</v>
          </cell>
          <cell r="F179" t="str">
            <v>Angola</v>
          </cell>
          <cell r="G179">
            <v>61000</v>
          </cell>
          <cell r="H179">
            <v>2</v>
          </cell>
          <cell r="I179" t="str">
            <v>FICA EXPENSE MANUF.</v>
          </cell>
          <cell r="J179" t="str">
            <v>P</v>
          </cell>
          <cell r="K179" t="str">
            <v/>
          </cell>
          <cell r="L179">
            <v>0</v>
          </cell>
          <cell r="M179">
            <v>56466.68</v>
          </cell>
        </row>
        <row r="180">
          <cell r="A180" t="str">
            <v>6100050</v>
          </cell>
          <cell r="B180" t="str">
            <v>IS</v>
          </cell>
          <cell r="C180" t="str">
            <v>2. Variable cost Labor</v>
          </cell>
          <cell r="E180" t="str">
            <v>Pixelle</v>
          </cell>
          <cell r="F180" t="str">
            <v>Pixelle</v>
          </cell>
          <cell r="G180">
            <v>61000</v>
          </cell>
          <cell r="H180">
            <v>50</v>
          </cell>
          <cell r="I180" t="str">
            <v>FICA EXPENSE MANUF.</v>
          </cell>
          <cell r="J180" t="str">
            <v>P</v>
          </cell>
          <cell r="K180" t="str">
            <v/>
          </cell>
          <cell r="L180">
            <v>0</v>
          </cell>
          <cell r="M180">
            <v>25897.07</v>
          </cell>
        </row>
        <row r="181">
          <cell r="A181" t="str">
            <v>6100099</v>
          </cell>
          <cell r="B181" t="str">
            <v>IS</v>
          </cell>
          <cell r="C181" t="str">
            <v>8. Admin</v>
          </cell>
          <cell r="E181" t="str">
            <v>Hillsboro</v>
          </cell>
          <cell r="F181" t="str">
            <v>Corp</v>
          </cell>
          <cell r="G181">
            <v>61000</v>
          </cell>
          <cell r="H181">
            <v>99</v>
          </cell>
          <cell r="I181" t="str">
            <v>FICA EXPENSE MANUF.</v>
          </cell>
          <cell r="J181" t="str">
            <v>P</v>
          </cell>
          <cell r="K181" t="str">
            <v/>
          </cell>
          <cell r="L181">
            <v>0</v>
          </cell>
          <cell r="M181">
            <v>20639.72</v>
          </cell>
        </row>
        <row r="182">
          <cell r="A182" t="str">
            <v>611001</v>
          </cell>
          <cell r="B182" t="str">
            <v>IS</v>
          </cell>
          <cell r="C182" t="str">
            <v>2. Variable cost Labor</v>
          </cell>
          <cell r="E182" t="str">
            <v>Hillsboro</v>
          </cell>
          <cell r="F182" t="str">
            <v>Hillsboro</v>
          </cell>
          <cell r="G182">
            <v>61100</v>
          </cell>
          <cell r="H182">
            <v>1</v>
          </cell>
          <cell r="I182" t="str">
            <v>FUTA EXPENSE MANUF.</v>
          </cell>
          <cell r="J182" t="str">
            <v>P</v>
          </cell>
          <cell r="K182" t="str">
            <v/>
          </cell>
          <cell r="L182">
            <v>0</v>
          </cell>
          <cell r="M182">
            <v>1234.54</v>
          </cell>
        </row>
        <row r="183">
          <cell r="A183" t="str">
            <v>611002</v>
          </cell>
          <cell r="B183" t="str">
            <v>IS</v>
          </cell>
          <cell r="C183" t="str">
            <v>2. Variable cost Labor</v>
          </cell>
          <cell r="E183" t="str">
            <v>Angola</v>
          </cell>
          <cell r="F183" t="str">
            <v>Angola</v>
          </cell>
          <cell r="G183">
            <v>61100</v>
          </cell>
          <cell r="H183">
            <v>2</v>
          </cell>
          <cell r="I183" t="str">
            <v>FUTA EXPENSE MANUF.</v>
          </cell>
          <cell r="J183" t="str">
            <v>P</v>
          </cell>
          <cell r="K183" t="str">
            <v/>
          </cell>
          <cell r="L183">
            <v>0</v>
          </cell>
          <cell r="M183">
            <v>784.84</v>
          </cell>
        </row>
        <row r="184">
          <cell r="A184" t="str">
            <v>6110050</v>
          </cell>
          <cell r="B184" t="str">
            <v>IS</v>
          </cell>
          <cell r="C184" t="str">
            <v>2. Variable cost Labor</v>
          </cell>
          <cell r="E184" t="str">
            <v>Pixelle</v>
          </cell>
          <cell r="F184" t="str">
            <v>Pixelle</v>
          </cell>
          <cell r="G184">
            <v>61100</v>
          </cell>
          <cell r="H184">
            <v>50</v>
          </cell>
          <cell r="I184" t="str">
            <v>FUTA EXPENSE MANUF.</v>
          </cell>
          <cell r="J184" t="str">
            <v>P</v>
          </cell>
          <cell r="K184" t="str">
            <v/>
          </cell>
          <cell r="L184">
            <v>0</v>
          </cell>
          <cell r="M184">
            <v>381.61</v>
          </cell>
        </row>
        <row r="185">
          <cell r="A185" t="str">
            <v>6110099</v>
          </cell>
          <cell r="B185" t="str">
            <v>IS</v>
          </cell>
          <cell r="C185" t="str">
            <v>8. Admin</v>
          </cell>
          <cell r="E185" t="str">
            <v>Hillsboro</v>
          </cell>
          <cell r="F185" t="str">
            <v>Corp</v>
          </cell>
          <cell r="G185">
            <v>61100</v>
          </cell>
          <cell r="H185">
            <v>99</v>
          </cell>
          <cell r="I185" t="str">
            <v>FUTA EXPENSE MANUF.</v>
          </cell>
          <cell r="J185" t="str">
            <v>P</v>
          </cell>
          <cell r="K185" t="str">
            <v/>
          </cell>
          <cell r="L185">
            <v>0</v>
          </cell>
          <cell r="M185">
            <v>126</v>
          </cell>
        </row>
        <row r="186">
          <cell r="A186" t="str">
            <v>612001</v>
          </cell>
          <cell r="B186" t="str">
            <v>IS</v>
          </cell>
          <cell r="C186" t="str">
            <v>2. Variable cost Labor</v>
          </cell>
          <cell r="E186" t="str">
            <v>Hillsboro</v>
          </cell>
          <cell r="F186" t="str">
            <v>Hillsboro</v>
          </cell>
          <cell r="G186">
            <v>61200</v>
          </cell>
          <cell r="H186">
            <v>1</v>
          </cell>
          <cell r="I186" t="str">
            <v>STATE UNEMPLOYMENT</v>
          </cell>
          <cell r="J186" t="str">
            <v>P</v>
          </cell>
          <cell r="K186" t="str">
            <v/>
          </cell>
          <cell r="L186">
            <v>0</v>
          </cell>
          <cell r="M186">
            <v>1253.3499999999999</v>
          </cell>
        </row>
        <row r="187">
          <cell r="A187" t="str">
            <v>612002</v>
          </cell>
          <cell r="B187" t="str">
            <v>IS</v>
          </cell>
          <cell r="C187" t="str">
            <v>2. Variable cost Labor</v>
          </cell>
          <cell r="E187" t="str">
            <v>Angola</v>
          </cell>
          <cell r="F187" t="str">
            <v>Angola</v>
          </cell>
          <cell r="G187">
            <v>61200</v>
          </cell>
          <cell r="H187">
            <v>2</v>
          </cell>
          <cell r="I187" t="str">
            <v>STATE UNEMPLOYMENT</v>
          </cell>
          <cell r="J187" t="str">
            <v>P</v>
          </cell>
          <cell r="K187" t="str">
            <v/>
          </cell>
          <cell r="L187">
            <v>0</v>
          </cell>
          <cell r="M187">
            <v>859.13</v>
          </cell>
        </row>
        <row r="188">
          <cell r="A188" t="str">
            <v>6120050</v>
          </cell>
          <cell r="B188" t="str">
            <v>IS</v>
          </cell>
          <cell r="C188" t="str">
            <v>2. Variable cost Labor</v>
          </cell>
          <cell r="E188" t="str">
            <v>Pixelle</v>
          </cell>
          <cell r="F188" t="str">
            <v>Pixelle</v>
          </cell>
          <cell r="G188">
            <v>61200</v>
          </cell>
          <cell r="H188">
            <v>50</v>
          </cell>
          <cell r="I188" t="str">
            <v>STATE UNEMPLOYMENT</v>
          </cell>
          <cell r="J188" t="str">
            <v>P</v>
          </cell>
          <cell r="K188" t="str">
            <v/>
          </cell>
          <cell r="L188">
            <v>0</v>
          </cell>
          <cell r="M188">
            <v>399.41</v>
          </cell>
        </row>
        <row r="189">
          <cell r="A189" t="str">
            <v>6120099</v>
          </cell>
          <cell r="B189" t="str">
            <v>IS</v>
          </cell>
          <cell r="C189" t="str">
            <v>8. Admin</v>
          </cell>
          <cell r="E189" t="str">
            <v>Hillsboro</v>
          </cell>
          <cell r="F189" t="str">
            <v>Corp</v>
          </cell>
          <cell r="G189">
            <v>61200</v>
          </cell>
          <cell r="H189">
            <v>99</v>
          </cell>
          <cell r="I189" t="str">
            <v>STATE UNEMPLOYMENT</v>
          </cell>
          <cell r="J189" t="str">
            <v>P</v>
          </cell>
          <cell r="K189" t="str">
            <v/>
          </cell>
          <cell r="L189">
            <v>0</v>
          </cell>
          <cell r="M189">
            <v>5575.02</v>
          </cell>
        </row>
        <row r="190">
          <cell r="A190" t="str">
            <v>613001</v>
          </cell>
          <cell r="B190" t="str">
            <v>IS</v>
          </cell>
          <cell r="C190" t="str">
            <v>2. Variable cost Labor</v>
          </cell>
          <cell r="E190" t="str">
            <v>Hillsboro</v>
          </cell>
          <cell r="F190" t="str">
            <v>Hillsboro</v>
          </cell>
          <cell r="G190">
            <v>61300</v>
          </cell>
          <cell r="H190">
            <v>1</v>
          </cell>
          <cell r="I190" t="str">
            <v>WORKERS COMPENSATION</v>
          </cell>
          <cell r="J190" t="str">
            <v>P</v>
          </cell>
          <cell r="K190" t="str">
            <v/>
          </cell>
          <cell r="L190">
            <v>0</v>
          </cell>
          <cell r="M190">
            <v>10004.120000000001</v>
          </cell>
        </row>
        <row r="191">
          <cell r="A191" t="str">
            <v>613002</v>
          </cell>
          <cell r="B191" t="str">
            <v>IS</v>
          </cell>
          <cell r="C191" t="str">
            <v>2. Variable cost Labor</v>
          </cell>
          <cell r="E191" t="str">
            <v>Angola</v>
          </cell>
          <cell r="F191" t="str">
            <v>Angola</v>
          </cell>
          <cell r="G191">
            <v>61300</v>
          </cell>
          <cell r="H191">
            <v>2</v>
          </cell>
          <cell r="I191" t="str">
            <v>WORKERS COMPENSATION</v>
          </cell>
          <cell r="J191" t="str">
            <v>P</v>
          </cell>
          <cell r="K191" t="str">
            <v/>
          </cell>
          <cell r="L191">
            <v>0</v>
          </cell>
          <cell r="M191">
            <v>10630.34</v>
          </cell>
        </row>
        <row r="192">
          <cell r="A192" t="str">
            <v>6130050</v>
          </cell>
          <cell r="B192" t="str">
            <v>IS</v>
          </cell>
          <cell r="C192" t="str">
            <v>2. Variable cost Labor</v>
          </cell>
          <cell r="E192" t="str">
            <v>Pixelle</v>
          </cell>
          <cell r="F192" t="str">
            <v>Pixelle</v>
          </cell>
          <cell r="G192">
            <v>61300</v>
          </cell>
          <cell r="H192">
            <v>50</v>
          </cell>
          <cell r="I192" t="str">
            <v>WORKERS COMPENSATION</v>
          </cell>
          <cell r="J192" t="str">
            <v>P</v>
          </cell>
          <cell r="K192" t="str">
            <v/>
          </cell>
          <cell r="L192">
            <v>0</v>
          </cell>
          <cell r="M192">
            <v>1987.11</v>
          </cell>
        </row>
        <row r="193">
          <cell r="A193" t="str">
            <v>6130099</v>
          </cell>
          <cell r="B193" t="str">
            <v>IS</v>
          </cell>
          <cell r="C193" t="str">
            <v>8. Admin</v>
          </cell>
          <cell r="E193" t="str">
            <v>Hillsboro</v>
          </cell>
          <cell r="F193" t="str">
            <v>Corp</v>
          </cell>
          <cell r="G193">
            <v>61300</v>
          </cell>
          <cell r="H193">
            <v>99</v>
          </cell>
          <cell r="I193" t="str">
            <v>WORKERS COMPENSATION</v>
          </cell>
          <cell r="J193" t="str">
            <v>P</v>
          </cell>
          <cell r="K193" t="str">
            <v/>
          </cell>
          <cell r="L193">
            <v>0</v>
          </cell>
          <cell r="M193">
            <v>780</v>
          </cell>
        </row>
        <row r="194">
          <cell r="A194" t="str">
            <v>613501</v>
          </cell>
          <cell r="B194" t="str">
            <v>IS</v>
          </cell>
          <cell r="C194" t="str">
            <v>2. Variable cost Labor</v>
          </cell>
          <cell r="E194" t="str">
            <v>Hillsboro</v>
          </cell>
          <cell r="F194" t="str">
            <v>Hillsboro</v>
          </cell>
          <cell r="G194">
            <v>61350</v>
          </cell>
          <cell r="H194">
            <v>1</v>
          </cell>
          <cell r="I194" t="str">
            <v>401K EXPENSE MANUF.</v>
          </cell>
          <cell r="J194" t="str">
            <v>P</v>
          </cell>
          <cell r="K194" t="str">
            <v/>
          </cell>
          <cell r="L194">
            <v>0</v>
          </cell>
          <cell r="M194">
            <v>13682.44</v>
          </cell>
        </row>
        <row r="195">
          <cell r="A195" t="str">
            <v>613502</v>
          </cell>
          <cell r="B195" t="str">
            <v>IS</v>
          </cell>
          <cell r="C195" t="str">
            <v>2. Variable cost Labor</v>
          </cell>
          <cell r="E195" t="str">
            <v>Angola</v>
          </cell>
          <cell r="F195" t="str">
            <v>Angola</v>
          </cell>
          <cell r="G195">
            <v>61350</v>
          </cell>
          <cell r="H195">
            <v>2</v>
          </cell>
          <cell r="I195" t="str">
            <v>401K EXPENSE MANUF.</v>
          </cell>
          <cell r="J195" t="str">
            <v>P</v>
          </cell>
          <cell r="K195" t="str">
            <v/>
          </cell>
          <cell r="L195">
            <v>0</v>
          </cell>
          <cell r="M195">
            <v>18303.04</v>
          </cell>
        </row>
        <row r="196">
          <cell r="A196" t="str">
            <v>6135050</v>
          </cell>
          <cell r="B196" t="str">
            <v>IS</v>
          </cell>
          <cell r="C196" t="str">
            <v>2. Variable cost Labor</v>
          </cell>
          <cell r="E196" t="str">
            <v>Pixelle</v>
          </cell>
          <cell r="F196" t="str">
            <v>Pixelle</v>
          </cell>
          <cell r="G196">
            <v>61350</v>
          </cell>
          <cell r="H196">
            <v>50</v>
          </cell>
          <cell r="I196" t="str">
            <v>401K EXPENSE MANUF.</v>
          </cell>
          <cell r="J196" t="str">
            <v>P</v>
          </cell>
          <cell r="K196" t="str">
            <v/>
          </cell>
          <cell r="L196">
            <v>0</v>
          </cell>
          <cell r="M196">
            <v>9368.67</v>
          </cell>
        </row>
        <row r="197">
          <cell r="A197" t="str">
            <v>6135099</v>
          </cell>
          <cell r="B197" t="str">
            <v>IS</v>
          </cell>
          <cell r="C197" t="str">
            <v>8. Admin</v>
          </cell>
          <cell r="E197" t="str">
            <v>Hillsboro</v>
          </cell>
          <cell r="F197" t="str">
            <v>Corp</v>
          </cell>
          <cell r="G197">
            <v>61350</v>
          </cell>
          <cell r="H197">
            <v>99</v>
          </cell>
          <cell r="I197" t="str">
            <v>401K EXPENSE MANUF.</v>
          </cell>
          <cell r="J197" t="str">
            <v>P</v>
          </cell>
          <cell r="K197" t="str">
            <v/>
          </cell>
          <cell r="L197">
            <v>0</v>
          </cell>
          <cell r="M197">
            <v>12249.58</v>
          </cell>
        </row>
        <row r="198">
          <cell r="A198" t="str">
            <v>613701</v>
          </cell>
          <cell r="B198" t="str">
            <v>IS</v>
          </cell>
          <cell r="C198" t="str">
            <v>2. Variable cost Labor</v>
          </cell>
          <cell r="E198" t="str">
            <v>Hillsboro</v>
          </cell>
          <cell r="F198" t="str">
            <v>Hillsboro</v>
          </cell>
          <cell r="G198">
            <v>61370</v>
          </cell>
          <cell r="H198">
            <v>1</v>
          </cell>
          <cell r="I198" t="str">
            <v>HEALTH INSURANCE PROD</v>
          </cell>
          <cell r="J198" t="str">
            <v>P</v>
          </cell>
          <cell r="K198" t="str">
            <v/>
          </cell>
          <cell r="L198">
            <v>0</v>
          </cell>
          <cell r="M198">
            <v>195283.31</v>
          </cell>
        </row>
        <row r="199">
          <cell r="A199" t="str">
            <v>613702</v>
          </cell>
          <cell r="B199" t="str">
            <v>IS</v>
          </cell>
          <cell r="C199" t="str">
            <v>2. Variable cost Labor</v>
          </cell>
          <cell r="E199" t="str">
            <v>Angola</v>
          </cell>
          <cell r="F199" t="str">
            <v>Angola</v>
          </cell>
          <cell r="G199">
            <v>61370</v>
          </cell>
          <cell r="H199">
            <v>2</v>
          </cell>
          <cell r="I199" t="str">
            <v>HEALTH INSURANCE PROD</v>
          </cell>
          <cell r="J199" t="str">
            <v>P</v>
          </cell>
          <cell r="K199" t="str">
            <v/>
          </cell>
          <cell r="L199">
            <v>0</v>
          </cell>
          <cell r="M199">
            <v>139358.97</v>
          </cell>
        </row>
        <row r="200">
          <cell r="A200" t="str">
            <v>6137050</v>
          </cell>
          <cell r="B200" t="str">
            <v>IS</v>
          </cell>
          <cell r="C200" t="str">
            <v>2. Variable cost Labor</v>
          </cell>
          <cell r="E200" t="str">
            <v>Pixelle</v>
          </cell>
          <cell r="F200" t="str">
            <v>Pixelle</v>
          </cell>
          <cell r="G200">
            <v>61370</v>
          </cell>
          <cell r="H200">
            <v>50</v>
          </cell>
          <cell r="I200" t="str">
            <v>HEALTH INSURANCE PROD</v>
          </cell>
          <cell r="J200" t="str">
            <v>P</v>
          </cell>
          <cell r="K200" t="str">
            <v/>
          </cell>
          <cell r="L200">
            <v>0</v>
          </cell>
          <cell r="M200">
            <v>71229.179999999993</v>
          </cell>
        </row>
        <row r="201">
          <cell r="A201" t="str">
            <v>6137099</v>
          </cell>
          <cell r="B201" t="str">
            <v>IS</v>
          </cell>
          <cell r="C201" t="str">
            <v>8. Admin</v>
          </cell>
          <cell r="E201" t="str">
            <v>Hillsboro</v>
          </cell>
          <cell r="F201" t="str">
            <v>Corp</v>
          </cell>
          <cell r="G201">
            <v>61370</v>
          </cell>
          <cell r="H201">
            <v>99</v>
          </cell>
          <cell r="I201" t="str">
            <v>HEALTH INSURANCE PROD</v>
          </cell>
          <cell r="J201" t="str">
            <v>P</v>
          </cell>
          <cell r="K201" t="str">
            <v/>
          </cell>
          <cell r="L201">
            <v>0</v>
          </cell>
          <cell r="M201">
            <v>30253.87</v>
          </cell>
        </row>
        <row r="202">
          <cell r="A202" t="str">
            <v>6140099</v>
          </cell>
          <cell r="B202" t="str">
            <v>IS</v>
          </cell>
          <cell r="C202" t="str">
            <v>8. Admin</v>
          </cell>
          <cell r="E202" t="str">
            <v>Hillsboro</v>
          </cell>
          <cell r="F202" t="str">
            <v>Corp</v>
          </cell>
          <cell r="G202">
            <v>61400</v>
          </cell>
          <cell r="H202">
            <v>99</v>
          </cell>
          <cell r="I202" t="str">
            <v>401K EXPENSE-ADMIN</v>
          </cell>
          <cell r="J202" t="str">
            <v>P</v>
          </cell>
          <cell r="K202" t="str">
            <v/>
          </cell>
          <cell r="L202">
            <v>0</v>
          </cell>
          <cell r="M202">
            <v>21535.95</v>
          </cell>
        </row>
        <row r="203">
          <cell r="A203" t="str">
            <v>621001</v>
          </cell>
          <cell r="B203" t="str">
            <v>IS</v>
          </cell>
          <cell r="C203" t="str">
            <v>4. Mfg OVHD</v>
          </cell>
          <cell r="E203" t="str">
            <v>Hillsboro</v>
          </cell>
          <cell r="F203" t="str">
            <v>Hillsboro</v>
          </cell>
          <cell r="G203">
            <v>62100</v>
          </cell>
          <cell r="H203">
            <v>1</v>
          </cell>
          <cell r="I203" t="str">
            <v>DEPRECIATION-MACH.&amp; EQ.</v>
          </cell>
          <cell r="J203" t="str">
            <v>P</v>
          </cell>
          <cell r="K203" t="str">
            <v/>
          </cell>
          <cell r="L203">
            <v>0</v>
          </cell>
          <cell r="M203">
            <v>90189</v>
          </cell>
        </row>
        <row r="204">
          <cell r="A204" t="str">
            <v>621002</v>
          </cell>
          <cell r="B204" t="str">
            <v>IS</v>
          </cell>
          <cell r="C204" t="str">
            <v>4. Mfg OVHD</v>
          </cell>
          <cell r="E204" t="str">
            <v>Angola</v>
          </cell>
          <cell r="F204" t="str">
            <v>Angola</v>
          </cell>
          <cell r="G204">
            <v>62100</v>
          </cell>
          <cell r="H204">
            <v>2</v>
          </cell>
          <cell r="I204" t="str">
            <v>DEPRECIATION-MACH.&amp; EQ.</v>
          </cell>
          <cell r="J204" t="str">
            <v>P</v>
          </cell>
          <cell r="K204" t="str">
            <v/>
          </cell>
          <cell r="L204">
            <v>0</v>
          </cell>
          <cell r="M204">
            <v>65112.34</v>
          </cell>
        </row>
        <row r="205">
          <cell r="A205" t="str">
            <v>6210050</v>
          </cell>
          <cell r="B205" t="str">
            <v>IS</v>
          </cell>
          <cell r="C205" t="str">
            <v>4. Mfg OVHD</v>
          </cell>
          <cell r="E205" t="str">
            <v>Pixelle</v>
          </cell>
          <cell r="F205" t="str">
            <v>Pixelle</v>
          </cell>
          <cell r="G205">
            <v>62100</v>
          </cell>
          <cell r="H205">
            <v>50</v>
          </cell>
          <cell r="I205" t="str">
            <v>DEPRECIATION-MACH.&amp; EQ.</v>
          </cell>
          <cell r="J205" t="str">
            <v>P</v>
          </cell>
          <cell r="K205" t="str">
            <v/>
          </cell>
          <cell r="L205">
            <v>0</v>
          </cell>
          <cell r="M205">
            <v>5420.79</v>
          </cell>
        </row>
        <row r="206">
          <cell r="A206" t="str">
            <v>622001</v>
          </cell>
          <cell r="B206" t="str">
            <v>IS</v>
          </cell>
          <cell r="C206" t="str">
            <v>8. Admin</v>
          </cell>
          <cell r="D206"/>
          <cell r="E206" t="str">
            <v>Hillsboro</v>
          </cell>
          <cell r="F206" t="str">
            <v>Hillsboro</v>
          </cell>
          <cell r="G206">
            <v>62200</v>
          </cell>
          <cell r="H206">
            <v>1</v>
          </cell>
          <cell r="I206" t="str">
            <v>DEPRECIATION-BUILDING</v>
          </cell>
          <cell r="J206" t="str">
            <v>P</v>
          </cell>
          <cell r="K206" t="str">
            <v/>
          </cell>
          <cell r="L206">
            <v>0</v>
          </cell>
          <cell r="M206">
            <v>12500</v>
          </cell>
        </row>
        <row r="207">
          <cell r="A207" t="str">
            <v>630001</v>
          </cell>
          <cell r="B207" t="str">
            <v>IS</v>
          </cell>
          <cell r="C207" t="str">
            <v>8. Admin</v>
          </cell>
          <cell r="D207"/>
          <cell r="E207" t="str">
            <v>Hillsboro</v>
          </cell>
          <cell r="F207" t="str">
            <v>Hillsboro</v>
          </cell>
          <cell r="G207">
            <v>63000</v>
          </cell>
          <cell r="H207">
            <v>1</v>
          </cell>
          <cell r="I207" t="str">
            <v>DEPRECIATION-LEASEHOLD</v>
          </cell>
          <cell r="J207" t="str">
            <v>P</v>
          </cell>
          <cell r="K207" t="str">
            <v/>
          </cell>
          <cell r="L207">
            <v>0</v>
          </cell>
          <cell r="M207">
            <v>38051.949999999997</v>
          </cell>
        </row>
        <row r="208">
          <cell r="A208" t="str">
            <v>630002</v>
          </cell>
          <cell r="B208" t="str">
            <v>IS</v>
          </cell>
          <cell r="C208" t="str">
            <v>8. Admin</v>
          </cell>
          <cell r="D208"/>
          <cell r="E208" t="str">
            <v>Angola</v>
          </cell>
          <cell r="F208" t="str">
            <v>Angola</v>
          </cell>
          <cell r="G208">
            <v>63000</v>
          </cell>
          <cell r="H208">
            <v>2</v>
          </cell>
          <cell r="I208" t="str">
            <v>DEPRECIATION-LEASEHOLD</v>
          </cell>
          <cell r="J208" t="str">
            <v>P</v>
          </cell>
          <cell r="K208" t="str">
            <v/>
          </cell>
          <cell r="L208">
            <v>0</v>
          </cell>
          <cell r="M208">
            <v>3303.04</v>
          </cell>
        </row>
        <row r="209">
          <cell r="A209" t="str">
            <v>6300050</v>
          </cell>
          <cell r="B209" t="str">
            <v>IS</v>
          </cell>
          <cell r="C209" t="str">
            <v>8. Admin</v>
          </cell>
          <cell r="D209"/>
          <cell r="E209" t="str">
            <v>Pixelle</v>
          </cell>
          <cell r="F209" t="str">
            <v>Pixelle</v>
          </cell>
          <cell r="G209">
            <v>63000</v>
          </cell>
          <cell r="H209">
            <v>50</v>
          </cell>
          <cell r="I209" t="str">
            <v>DEPRECIATION-LEASEHOLD</v>
          </cell>
          <cell r="J209" t="str">
            <v>P</v>
          </cell>
          <cell r="K209" t="str">
            <v/>
          </cell>
          <cell r="L209">
            <v>0</v>
          </cell>
          <cell r="M209">
            <v>9106.9699999999993</v>
          </cell>
        </row>
        <row r="210">
          <cell r="A210" t="str">
            <v>632001</v>
          </cell>
          <cell r="B210" t="str">
            <v>IS</v>
          </cell>
          <cell r="C210" t="str">
            <v>4. Mfg OVHD</v>
          </cell>
          <cell r="E210" t="str">
            <v>Hillsboro</v>
          </cell>
          <cell r="F210" t="str">
            <v>Hillsboro</v>
          </cell>
          <cell r="G210">
            <v>63200</v>
          </cell>
          <cell r="H210">
            <v>1</v>
          </cell>
          <cell r="I210" t="str">
            <v>DEPRECIATION-VEHICLES</v>
          </cell>
          <cell r="J210" t="str">
            <v>P</v>
          </cell>
          <cell r="K210" t="str">
            <v/>
          </cell>
          <cell r="L210">
            <v>0</v>
          </cell>
          <cell r="M210">
            <v>4385.1400000000003</v>
          </cell>
        </row>
        <row r="211">
          <cell r="A211" t="str">
            <v>640001</v>
          </cell>
          <cell r="B211" t="str">
            <v>IS</v>
          </cell>
          <cell r="C211" t="str">
            <v>8. Admin</v>
          </cell>
          <cell r="D211"/>
          <cell r="E211" t="str">
            <v>Hillsboro</v>
          </cell>
          <cell r="F211" t="str">
            <v>Hillsboro</v>
          </cell>
          <cell r="G211">
            <v>64000</v>
          </cell>
          <cell r="H211">
            <v>1</v>
          </cell>
          <cell r="I211" t="str">
            <v>DEPRECIATION-COMPUTER</v>
          </cell>
          <cell r="J211" t="str">
            <v>P</v>
          </cell>
          <cell r="K211" t="str">
            <v/>
          </cell>
          <cell r="L211">
            <v>0</v>
          </cell>
          <cell r="M211">
            <v>4718.33</v>
          </cell>
        </row>
        <row r="212">
          <cell r="A212" t="str">
            <v>640002</v>
          </cell>
          <cell r="B212" t="str">
            <v>IS</v>
          </cell>
          <cell r="C212" t="str">
            <v>8. Admin</v>
          </cell>
          <cell r="D212"/>
          <cell r="E212" t="str">
            <v>Angola</v>
          </cell>
          <cell r="F212" t="str">
            <v>Angola</v>
          </cell>
          <cell r="G212">
            <v>64000</v>
          </cell>
          <cell r="H212">
            <v>2</v>
          </cell>
          <cell r="I212" t="str">
            <v>DEPRECIATION-COMPUTER</v>
          </cell>
          <cell r="J212" t="str">
            <v>P</v>
          </cell>
          <cell r="K212" t="str">
            <v/>
          </cell>
          <cell r="L212">
            <v>0</v>
          </cell>
          <cell r="M212">
            <v>2786.71</v>
          </cell>
        </row>
        <row r="213">
          <cell r="A213" t="str">
            <v>650001</v>
          </cell>
          <cell r="B213" t="str">
            <v>IS</v>
          </cell>
          <cell r="C213" t="str">
            <v>4. Mfg OVHD</v>
          </cell>
          <cell r="E213" t="str">
            <v>Hillsboro</v>
          </cell>
          <cell r="F213" t="str">
            <v>Hillsboro</v>
          </cell>
          <cell r="G213">
            <v>65000</v>
          </cell>
          <cell r="H213">
            <v>1</v>
          </cell>
          <cell r="I213" t="str">
            <v>UTILITIES</v>
          </cell>
          <cell r="J213" t="str">
            <v>P</v>
          </cell>
          <cell r="K213" t="str">
            <v/>
          </cell>
          <cell r="L213">
            <v>0</v>
          </cell>
          <cell r="M213">
            <v>136976.06</v>
          </cell>
        </row>
        <row r="214">
          <cell r="A214" t="str">
            <v>650002</v>
          </cell>
          <cell r="B214" t="str">
            <v>IS</v>
          </cell>
          <cell r="C214" t="str">
            <v>4. Mfg OVHD</v>
          </cell>
          <cell r="E214" t="str">
            <v>Angola</v>
          </cell>
          <cell r="F214" t="str">
            <v>Angola</v>
          </cell>
          <cell r="G214">
            <v>65000</v>
          </cell>
          <cell r="H214">
            <v>2</v>
          </cell>
          <cell r="I214" t="str">
            <v>UTILITIES</v>
          </cell>
          <cell r="J214" t="str">
            <v>P</v>
          </cell>
          <cell r="K214" t="str">
            <v/>
          </cell>
          <cell r="L214">
            <v>0</v>
          </cell>
          <cell r="M214">
            <v>125662.27</v>
          </cell>
        </row>
        <row r="215">
          <cell r="A215" t="str">
            <v>6500050</v>
          </cell>
          <cell r="B215" t="str">
            <v>IS</v>
          </cell>
          <cell r="C215" t="str">
            <v>4. Mfg OVHD</v>
          </cell>
          <cell r="E215" t="str">
            <v>Pixelle</v>
          </cell>
          <cell r="F215" t="str">
            <v>Pixelle</v>
          </cell>
          <cell r="G215">
            <v>65000</v>
          </cell>
          <cell r="H215">
            <v>50</v>
          </cell>
          <cell r="I215" t="str">
            <v>UTILITIES</v>
          </cell>
          <cell r="J215" t="str">
            <v>P</v>
          </cell>
          <cell r="K215" t="str">
            <v/>
          </cell>
          <cell r="L215">
            <v>0</v>
          </cell>
          <cell r="M215">
            <v>27230.44</v>
          </cell>
        </row>
        <row r="216">
          <cell r="A216" t="str">
            <v>6600099</v>
          </cell>
          <cell r="B216" t="str">
            <v>IS</v>
          </cell>
          <cell r="C216" t="str">
            <v>7. Selling</v>
          </cell>
          <cell r="E216" t="str">
            <v>Hillsboro</v>
          </cell>
          <cell r="F216" t="str">
            <v>Corp</v>
          </cell>
          <cell r="G216">
            <v>66000</v>
          </cell>
          <cell r="H216">
            <v>99</v>
          </cell>
          <cell r="I216" t="str">
            <v>ADVERTISING</v>
          </cell>
          <cell r="J216" t="str">
            <v>P</v>
          </cell>
          <cell r="K216" t="str">
            <v/>
          </cell>
          <cell r="L216">
            <v>0</v>
          </cell>
          <cell r="M216">
            <v>7823.42</v>
          </cell>
        </row>
        <row r="217">
          <cell r="A217" t="str">
            <v>6610099</v>
          </cell>
          <cell r="B217" t="str">
            <v>IS</v>
          </cell>
          <cell r="C217" t="str">
            <v>7. Selling</v>
          </cell>
          <cell r="E217" t="str">
            <v>Hillsboro</v>
          </cell>
          <cell r="F217" t="str">
            <v>Corp</v>
          </cell>
          <cell r="G217">
            <v>66100</v>
          </cell>
          <cell r="H217">
            <v>99</v>
          </cell>
          <cell r="I217" t="str">
            <v>BAD DEBT EXPENSE</v>
          </cell>
          <cell r="J217" t="str">
            <v>P</v>
          </cell>
          <cell r="K217" t="str">
            <v/>
          </cell>
          <cell r="L217">
            <v>0</v>
          </cell>
          <cell r="M217">
            <v>6597.36</v>
          </cell>
        </row>
        <row r="218">
          <cell r="A218" t="str">
            <v>6620099</v>
          </cell>
          <cell r="B218" t="str">
            <v>IS</v>
          </cell>
          <cell r="C218" t="str">
            <v>8. Admin</v>
          </cell>
          <cell r="E218" t="str">
            <v>Hillsboro</v>
          </cell>
          <cell r="F218" t="str">
            <v>Corp</v>
          </cell>
          <cell r="G218">
            <v>66200</v>
          </cell>
          <cell r="H218">
            <v>99</v>
          </cell>
          <cell r="I218" t="str">
            <v>PAYROLL SERVICE CHARGES</v>
          </cell>
          <cell r="J218" t="str">
            <v>P</v>
          </cell>
          <cell r="K218" t="str">
            <v/>
          </cell>
          <cell r="L218">
            <v>0</v>
          </cell>
          <cell r="M218">
            <v>15895.29</v>
          </cell>
        </row>
        <row r="219">
          <cell r="A219" t="str">
            <v>6624099</v>
          </cell>
          <cell r="B219" t="str">
            <v>IS</v>
          </cell>
          <cell r="C219" t="str">
            <v>8. Admin</v>
          </cell>
          <cell r="E219" t="str">
            <v>Hillsboro</v>
          </cell>
          <cell r="F219" t="str">
            <v>Corp</v>
          </cell>
          <cell r="G219">
            <v>66240</v>
          </cell>
          <cell r="H219">
            <v>99</v>
          </cell>
          <cell r="I219" t="str">
            <v>BANK CHARGES -SERVICE &amp; FEES</v>
          </cell>
          <cell r="J219" t="str">
            <v>P</v>
          </cell>
          <cell r="K219" t="str">
            <v>BANK CHARGES -SERVICE &amp; FEES</v>
          </cell>
          <cell r="L219">
            <v>0</v>
          </cell>
          <cell r="M219">
            <v>27407.83</v>
          </cell>
        </row>
        <row r="220">
          <cell r="A220" t="str">
            <v>6625099</v>
          </cell>
          <cell r="B220" t="str">
            <v>IS</v>
          </cell>
          <cell r="C220" t="str">
            <v>8. Admin</v>
          </cell>
          <cell r="E220" t="str">
            <v>Hillsboro</v>
          </cell>
          <cell r="F220" t="str">
            <v>Corp</v>
          </cell>
          <cell r="G220">
            <v>66250</v>
          </cell>
          <cell r="H220">
            <v>99</v>
          </cell>
          <cell r="I220" t="str">
            <v>RENT-ADMINISTRATION</v>
          </cell>
          <cell r="J220" t="str">
            <v>P</v>
          </cell>
          <cell r="K220" t="str">
            <v/>
          </cell>
          <cell r="L220">
            <v>0</v>
          </cell>
          <cell r="M220">
            <v>-1322.97</v>
          </cell>
        </row>
        <row r="221">
          <cell r="A221" t="str">
            <v>663001</v>
          </cell>
          <cell r="B221" t="str">
            <v>IS</v>
          </cell>
          <cell r="C221" t="str">
            <v>8. Admin</v>
          </cell>
          <cell r="E221" t="str">
            <v>Hillsboro</v>
          </cell>
          <cell r="F221" t="str">
            <v>Hillsboro</v>
          </cell>
          <cell r="G221">
            <v>66300</v>
          </cell>
          <cell r="H221">
            <v>1</v>
          </cell>
          <cell r="I221" t="str">
            <v>CARETAKING-ADMINISTRATIVE</v>
          </cell>
          <cell r="J221" t="str">
            <v>P</v>
          </cell>
          <cell r="K221" t="str">
            <v/>
          </cell>
          <cell r="L221">
            <v>0</v>
          </cell>
          <cell r="M221">
            <v>11302.53</v>
          </cell>
        </row>
        <row r="222">
          <cell r="A222" t="str">
            <v>663002</v>
          </cell>
          <cell r="B222" t="str">
            <v>IS</v>
          </cell>
          <cell r="C222" t="str">
            <v>8. Admin</v>
          </cell>
          <cell r="E222" t="str">
            <v>Angola</v>
          </cell>
          <cell r="F222" t="str">
            <v>Angola</v>
          </cell>
          <cell r="G222">
            <v>66300</v>
          </cell>
          <cell r="H222">
            <v>2</v>
          </cell>
          <cell r="I222" t="str">
            <v>CARETAKING-ADMINISTRATIVE</v>
          </cell>
          <cell r="J222" t="str">
            <v>P</v>
          </cell>
          <cell r="K222" t="str">
            <v/>
          </cell>
          <cell r="L222">
            <v>0</v>
          </cell>
          <cell r="M222">
            <v>4933.84</v>
          </cell>
        </row>
        <row r="223">
          <cell r="A223" t="str">
            <v>6630050</v>
          </cell>
          <cell r="B223" t="str">
            <v>IS</v>
          </cell>
          <cell r="C223" t="str">
            <v>8. Admin</v>
          </cell>
          <cell r="E223" t="str">
            <v>Pixelle</v>
          </cell>
          <cell r="F223" t="str">
            <v>Pixelle</v>
          </cell>
          <cell r="G223">
            <v>66300</v>
          </cell>
          <cell r="H223">
            <v>50</v>
          </cell>
          <cell r="I223" t="str">
            <v>CARETAKING-ADMINISTRATIVE</v>
          </cell>
          <cell r="J223" t="str">
            <v>P</v>
          </cell>
          <cell r="K223" t="str">
            <v/>
          </cell>
          <cell r="L223">
            <v>0</v>
          </cell>
          <cell r="M223">
            <v>12185.3</v>
          </cell>
        </row>
        <row r="224">
          <cell r="A224" t="str">
            <v>664001</v>
          </cell>
          <cell r="B224" t="str">
            <v>IS</v>
          </cell>
          <cell r="C224" t="str">
            <v>8. Admin</v>
          </cell>
          <cell r="E224" t="str">
            <v>Hillsboro</v>
          </cell>
          <cell r="F224" t="str">
            <v>Hillsboro</v>
          </cell>
          <cell r="G224">
            <v>66400</v>
          </cell>
          <cell r="H224">
            <v>1</v>
          </cell>
          <cell r="I224" t="str">
            <v>DONATIONS</v>
          </cell>
          <cell r="J224" t="str">
            <v>P</v>
          </cell>
          <cell r="K224" t="str">
            <v/>
          </cell>
          <cell r="L224">
            <v>0</v>
          </cell>
          <cell r="M224">
            <v>500</v>
          </cell>
        </row>
        <row r="225">
          <cell r="A225" t="str">
            <v>664002</v>
          </cell>
          <cell r="B225" t="str">
            <v>IS</v>
          </cell>
          <cell r="C225" t="str">
            <v>8. Admin</v>
          </cell>
          <cell r="E225" t="str">
            <v>Angola</v>
          </cell>
          <cell r="F225" t="str">
            <v>Angola</v>
          </cell>
          <cell r="G225">
            <v>66400</v>
          </cell>
          <cell r="H225">
            <v>2</v>
          </cell>
          <cell r="I225" t="str">
            <v>DONATIONS</v>
          </cell>
          <cell r="J225" t="str">
            <v>P</v>
          </cell>
          <cell r="K225" t="str">
            <v/>
          </cell>
          <cell r="L225">
            <v>0</v>
          </cell>
          <cell r="M225">
            <v>500</v>
          </cell>
        </row>
        <row r="226">
          <cell r="A226" t="str">
            <v>665001</v>
          </cell>
          <cell r="B226" t="str">
            <v>IS</v>
          </cell>
          <cell r="C226" t="str">
            <v>7. Selling</v>
          </cell>
          <cell r="E226" t="str">
            <v>Hillsboro</v>
          </cell>
          <cell r="F226" t="str">
            <v>Hillsboro</v>
          </cell>
          <cell r="G226">
            <v>66500</v>
          </cell>
          <cell r="H226">
            <v>1</v>
          </cell>
          <cell r="I226" t="str">
            <v>SELLING EXPENSE</v>
          </cell>
          <cell r="J226" t="str">
            <v>P</v>
          </cell>
          <cell r="K226" t="str">
            <v/>
          </cell>
          <cell r="L226">
            <v>0</v>
          </cell>
          <cell r="M226">
            <v>136.76</v>
          </cell>
        </row>
        <row r="227">
          <cell r="A227" t="str">
            <v>665002</v>
          </cell>
          <cell r="B227" t="str">
            <v>IS</v>
          </cell>
          <cell r="C227" t="str">
            <v>7. Selling</v>
          </cell>
          <cell r="E227" t="str">
            <v>Angola</v>
          </cell>
          <cell r="F227" t="str">
            <v>Angola</v>
          </cell>
          <cell r="G227">
            <v>66500</v>
          </cell>
          <cell r="H227">
            <v>2</v>
          </cell>
          <cell r="I227" t="str">
            <v>SELLING EXPENSE</v>
          </cell>
          <cell r="J227" t="str">
            <v>P</v>
          </cell>
          <cell r="K227" t="str">
            <v/>
          </cell>
          <cell r="L227">
            <v>0</v>
          </cell>
          <cell r="M227">
            <v>326.5</v>
          </cell>
        </row>
        <row r="228">
          <cell r="A228" t="str">
            <v>6650099</v>
          </cell>
          <cell r="B228" t="str">
            <v>IS</v>
          </cell>
          <cell r="C228" t="str">
            <v>7. Selling</v>
          </cell>
          <cell r="E228" t="str">
            <v>Hillsboro</v>
          </cell>
          <cell r="F228" t="str">
            <v>Corp</v>
          </cell>
          <cell r="G228">
            <v>66500</v>
          </cell>
          <cell r="H228">
            <v>99</v>
          </cell>
          <cell r="I228" t="str">
            <v>SELLING EXPENSE</v>
          </cell>
          <cell r="J228" t="str">
            <v>P</v>
          </cell>
          <cell r="K228" t="str">
            <v/>
          </cell>
          <cell r="L228">
            <v>0</v>
          </cell>
          <cell r="M228">
            <v>41.2</v>
          </cell>
        </row>
        <row r="229">
          <cell r="A229" t="str">
            <v>6651099</v>
          </cell>
          <cell r="B229" t="str">
            <v>IS</v>
          </cell>
          <cell r="C229" t="str">
            <v>7. Selling</v>
          </cell>
          <cell r="E229" t="str">
            <v>Hillsboro</v>
          </cell>
          <cell r="F229" t="str">
            <v>Corp</v>
          </cell>
          <cell r="G229">
            <v>66510</v>
          </cell>
          <cell r="H229">
            <v>99</v>
          </cell>
          <cell r="I229" t="str">
            <v>TRAINING &amp; EDUCATION -SALES</v>
          </cell>
          <cell r="J229" t="str">
            <v>P</v>
          </cell>
          <cell r="K229" t="str">
            <v/>
          </cell>
          <cell r="L229">
            <v>0</v>
          </cell>
          <cell r="M229">
            <v>1070</v>
          </cell>
        </row>
        <row r="230">
          <cell r="A230" t="str">
            <v>6660099</v>
          </cell>
          <cell r="B230" t="str">
            <v>IS</v>
          </cell>
          <cell r="C230" t="str">
            <v>7. Selling</v>
          </cell>
          <cell r="E230" t="str">
            <v>Hillsboro</v>
          </cell>
          <cell r="F230" t="str">
            <v>Corp</v>
          </cell>
          <cell r="G230">
            <v>66600</v>
          </cell>
          <cell r="H230">
            <v>99</v>
          </cell>
          <cell r="I230" t="str">
            <v>DUES &amp; SUBSCRIPTIONS</v>
          </cell>
          <cell r="J230" t="str">
            <v>P</v>
          </cell>
          <cell r="K230" t="str">
            <v/>
          </cell>
          <cell r="L230">
            <v>0</v>
          </cell>
          <cell r="M230">
            <v>8.1999999999999993</v>
          </cell>
        </row>
        <row r="231">
          <cell r="A231" t="str">
            <v>667009</v>
          </cell>
          <cell r="B231" t="str">
            <v>IS</v>
          </cell>
          <cell r="C231" t="str">
            <v>8. Admin</v>
          </cell>
          <cell r="E231" t="str">
            <v>Hillsboro</v>
          </cell>
          <cell r="F231" t="str">
            <v>Corp</v>
          </cell>
          <cell r="G231">
            <v>66700</v>
          </cell>
          <cell r="H231">
            <v>9</v>
          </cell>
          <cell r="I231" t="str">
            <v>OFFICERS' LIFE INS.</v>
          </cell>
          <cell r="J231" t="str">
            <v>P</v>
          </cell>
          <cell r="K231" t="str">
            <v/>
          </cell>
          <cell r="L231">
            <v>0</v>
          </cell>
          <cell r="M231">
            <v>0</v>
          </cell>
        </row>
        <row r="232">
          <cell r="A232" t="str">
            <v>6670099</v>
          </cell>
          <cell r="B232" t="str">
            <v>IS</v>
          </cell>
          <cell r="C232" t="str">
            <v>8. Admin</v>
          </cell>
          <cell r="E232" t="str">
            <v>Hillsboro</v>
          </cell>
          <cell r="F232" t="str">
            <v>Corp</v>
          </cell>
          <cell r="G232">
            <v>66700</v>
          </cell>
          <cell r="H232">
            <v>99</v>
          </cell>
          <cell r="I232" t="str">
            <v>OFFICERS' LIFE INS.</v>
          </cell>
          <cell r="J232" t="str">
            <v>P</v>
          </cell>
          <cell r="K232" t="str">
            <v/>
          </cell>
          <cell r="L232">
            <v>0</v>
          </cell>
          <cell r="M232">
            <v>12174.84</v>
          </cell>
        </row>
        <row r="233">
          <cell r="A233" t="str">
            <v>668001</v>
          </cell>
          <cell r="B233" t="str">
            <v>IS</v>
          </cell>
          <cell r="C233" t="str">
            <v>4. Mfg OVHD</v>
          </cell>
          <cell r="D233"/>
          <cell r="E233" t="str">
            <v>Hillsboro</v>
          </cell>
          <cell r="F233" t="str">
            <v>Hillsboro</v>
          </cell>
          <cell r="G233">
            <v>66800</v>
          </cell>
          <cell r="H233">
            <v>1</v>
          </cell>
          <cell r="I233" t="str">
            <v>GENERAL INSURANCE</v>
          </cell>
          <cell r="J233" t="str">
            <v>P</v>
          </cell>
          <cell r="K233" t="str">
            <v/>
          </cell>
          <cell r="L233">
            <v>0</v>
          </cell>
          <cell r="M233">
            <v>29643.09</v>
          </cell>
        </row>
        <row r="234">
          <cell r="A234" t="str">
            <v>668002</v>
          </cell>
          <cell r="B234" t="str">
            <v>IS</v>
          </cell>
          <cell r="C234" t="str">
            <v>4. Mfg OVHD</v>
          </cell>
          <cell r="D234"/>
          <cell r="E234" t="str">
            <v>Angola</v>
          </cell>
          <cell r="F234" t="str">
            <v>Angola</v>
          </cell>
          <cell r="G234">
            <v>66800</v>
          </cell>
          <cell r="H234">
            <v>2</v>
          </cell>
          <cell r="I234" t="str">
            <v>GENERAL INSURANCE</v>
          </cell>
          <cell r="J234" t="str">
            <v>P</v>
          </cell>
          <cell r="K234" t="str">
            <v/>
          </cell>
          <cell r="L234">
            <v>0</v>
          </cell>
          <cell r="M234">
            <v>23706.11</v>
          </cell>
        </row>
        <row r="235">
          <cell r="A235" t="str">
            <v>6680050</v>
          </cell>
          <cell r="B235" t="str">
            <v>IS</v>
          </cell>
          <cell r="C235" t="str">
            <v>4. Mfg OVHD</v>
          </cell>
          <cell r="D235"/>
          <cell r="E235" t="str">
            <v>Pixelle</v>
          </cell>
          <cell r="F235" t="str">
            <v>Pixelle</v>
          </cell>
          <cell r="G235">
            <v>66800</v>
          </cell>
          <cell r="H235">
            <v>50</v>
          </cell>
          <cell r="I235" t="str">
            <v>GENERAL INSURANCE</v>
          </cell>
          <cell r="J235" t="str">
            <v>P</v>
          </cell>
          <cell r="K235" t="str">
            <v/>
          </cell>
          <cell r="L235">
            <v>0</v>
          </cell>
          <cell r="M235">
            <v>5760.8</v>
          </cell>
        </row>
        <row r="236">
          <cell r="A236" t="str">
            <v>669001</v>
          </cell>
          <cell r="B236" t="str">
            <v>IS</v>
          </cell>
          <cell r="C236" t="str">
            <v>8. Admin</v>
          </cell>
          <cell r="E236" t="str">
            <v>Hillsboro</v>
          </cell>
          <cell r="F236" t="str">
            <v>Hillsboro</v>
          </cell>
          <cell r="G236">
            <v>66900</v>
          </cell>
          <cell r="H236">
            <v>1</v>
          </cell>
          <cell r="I236" t="str">
            <v>OFFICE REPAIRS &amp; MAINTENANCE</v>
          </cell>
          <cell r="J236" t="str">
            <v>P</v>
          </cell>
          <cell r="K236" t="str">
            <v/>
          </cell>
          <cell r="L236">
            <v>0</v>
          </cell>
          <cell r="M236">
            <v>1212.5</v>
          </cell>
        </row>
        <row r="237">
          <cell r="A237" t="str">
            <v>669002</v>
          </cell>
          <cell r="B237" t="str">
            <v>IS</v>
          </cell>
          <cell r="C237" t="str">
            <v>8. Admin</v>
          </cell>
          <cell r="E237" t="str">
            <v>Angola</v>
          </cell>
          <cell r="F237" t="str">
            <v>Angola</v>
          </cell>
          <cell r="G237">
            <v>66900</v>
          </cell>
          <cell r="H237">
            <v>2</v>
          </cell>
          <cell r="I237" t="str">
            <v>OFFICE REPAIRS &amp; MAINTENANCE</v>
          </cell>
          <cell r="J237" t="str">
            <v>P</v>
          </cell>
          <cell r="K237" t="str">
            <v/>
          </cell>
          <cell r="L237">
            <v>0</v>
          </cell>
          <cell r="M237">
            <v>2695.02</v>
          </cell>
        </row>
        <row r="238">
          <cell r="A238" t="str">
            <v>6690050</v>
          </cell>
          <cell r="B238" t="str">
            <v>IS</v>
          </cell>
          <cell r="C238" t="str">
            <v>8. Admin</v>
          </cell>
          <cell r="E238" t="str">
            <v>Pixelle</v>
          </cell>
          <cell r="F238" t="str">
            <v>Pixelle</v>
          </cell>
          <cell r="G238">
            <v>66900</v>
          </cell>
          <cell r="H238">
            <v>50</v>
          </cell>
          <cell r="I238" t="str">
            <v>OFFICE REPAIRS &amp; MAINTENANCE</v>
          </cell>
          <cell r="J238" t="str">
            <v>P</v>
          </cell>
          <cell r="K238" t="str">
            <v/>
          </cell>
          <cell r="L238">
            <v>0</v>
          </cell>
          <cell r="M238">
            <v>1212.5</v>
          </cell>
        </row>
        <row r="239">
          <cell r="A239" t="str">
            <v>6690099</v>
          </cell>
          <cell r="B239" t="str">
            <v>IS</v>
          </cell>
          <cell r="C239" t="str">
            <v>8. Admin</v>
          </cell>
          <cell r="E239" t="str">
            <v>Hillsboro</v>
          </cell>
          <cell r="F239" t="str">
            <v>Corp</v>
          </cell>
          <cell r="G239">
            <v>66900</v>
          </cell>
          <cell r="H239">
            <v>99</v>
          </cell>
          <cell r="I239" t="str">
            <v>OFFICE REPAIRS &amp; MAINTENANCE</v>
          </cell>
          <cell r="J239" t="str">
            <v>P</v>
          </cell>
          <cell r="K239" t="str">
            <v/>
          </cell>
          <cell r="L239">
            <v>0</v>
          </cell>
          <cell r="M239">
            <v>24569.86</v>
          </cell>
        </row>
        <row r="240">
          <cell r="A240" t="str">
            <v>670001</v>
          </cell>
          <cell r="B240" t="str">
            <v>IS</v>
          </cell>
          <cell r="C240" t="str">
            <v>8. Admin</v>
          </cell>
          <cell r="E240" t="str">
            <v>Hillsboro</v>
          </cell>
          <cell r="F240" t="str">
            <v>Hillsboro</v>
          </cell>
          <cell r="G240">
            <v>67000</v>
          </cell>
          <cell r="H240">
            <v>1</v>
          </cell>
          <cell r="I240" t="str">
            <v>LEGAL &amp; PROFESSIONAL</v>
          </cell>
          <cell r="J240" t="str">
            <v>P</v>
          </cell>
          <cell r="K240" t="str">
            <v/>
          </cell>
          <cell r="L240">
            <v>0</v>
          </cell>
          <cell r="M240">
            <v>105.05</v>
          </cell>
        </row>
        <row r="241">
          <cell r="A241" t="str">
            <v>670002</v>
          </cell>
          <cell r="B241" t="str">
            <v>IS</v>
          </cell>
          <cell r="C241" t="str">
            <v>8. Admin</v>
          </cell>
          <cell r="E241" t="str">
            <v>Angola</v>
          </cell>
          <cell r="F241" t="str">
            <v>Angola</v>
          </cell>
          <cell r="G241">
            <v>67000</v>
          </cell>
          <cell r="H241">
            <v>2</v>
          </cell>
          <cell r="I241" t="str">
            <v>LEGAL &amp; PROFESSIONAL</v>
          </cell>
          <cell r="J241" t="str">
            <v>P</v>
          </cell>
          <cell r="K241" t="str">
            <v/>
          </cell>
          <cell r="L241">
            <v>0</v>
          </cell>
          <cell r="M241">
            <v>136.81</v>
          </cell>
        </row>
        <row r="242">
          <cell r="A242" t="str">
            <v>6700099</v>
          </cell>
          <cell r="B242" t="str">
            <v>IS</v>
          </cell>
          <cell r="C242" t="str">
            <v>8. Admin</v>
          </cell>
          <cell r="E242" t="str">
            <v>Hillsboro</v>
          </cell>
          <cell r="F242" t="str">
            <v>Corp</v>
          </cell>
          <cell r="G242">
            <v>67000</v>
          </cell>
          <cell r="H242">
            <v>99</v>
          </cell>
          <cell r="I242" t="str">
            <v>LEGAL &amp; PROFESSIONAL</v>
          </cell>
          <cell r="J242" t="str">
            <v>P</v>
          </cell>
          <cell r="K242" t="str">
            <v/>
          </cell>
          <cell r="L242">
            <v>0</v>
          </cell>
          <cell r="M242">
            <v>85350.21</v>
          </cell>
        </row>
        <row r="243">
          <cell r="A243" t="str">
            <v>671001</v>
          </cell>
          <cell r="B243" t="str">
            <v>IS</v>
          </cell>
          <cell r="C243" t="str">
            <v>4. Mfg OVHD</v>
          </cell>
          <cell r="D243"/>
          <cell r="E243" t="str">
            <v>Hillsboro</v>
          </cell>
          <cell r="F243" t="str">
            <v>Hillsboro</v>
          </cell>
          <cell r="G243">
            <v>67100</v>
          </cell>
          <cell r="H243">
            <v>1</v>
          </cell>
          <cell r="I243" t="str">
            <v>TRAINING &amp; SAFETY</v>
          </cell>
          <cell r="J243" t="str">
            <v>P</v>
          </cell>
          <cell r="K243" t="str">
            <v/>
          </cell>
          <cell r="L243">
            <v>0</v>
          </cell>
          <cell r="M243">
            <v>405</v>
          </cell>
        </row>
        <row r="244">
          <cell r="A244" t="str">
            <v>6710050</v>
          </cell>
          <cell r="B244" t="str">
            <v>IS</v>
          </cell>
          <cell r="C244" t="str">
            <v>4. Mfg OVHD</v>
          </cell>
          <cell r="D244"/>
          <cell r="E244" t="str">
            <v>Pixelle</v>
          </cell>
          <cell r="F244" t="str">
            <v>Pixelle</v>
          </cell>
          <cell r="G244">
            <v>67100</v>
          </cell>
          <cell r="H244">
            <v>50</v>
          </cell>
          <cell r="I244" t="str">
            <v>TRAINING &amp; SAFETY</v>
          </cell>
          <cell r="J244" t="str">
            <v>P</v>
          </cell>
          <cell r="K244" t="str">
            <v/>
          </cell>
          <cell r="L244">
            <v>0</v>
          </cell>
          <cell r="M244">
            <v>2815</v>
          </cell>
        </row>
        <row r="245">
          <cell r="A245" t="str">
            <v>672001</v>
          </cell>
          <cell r="B245" t="str">
            <v>IS</v>
          </cell>
          <cell r="C245" t="str">
            <v>8. Admin</v>
          </cell>
          <cell r="E245" t="str">
            <v>Hillsboro</v>
          </cell>
          <cell r="F245" t="str">
            <v>Hillsboro</v>
          </cell>
          <cell r="G245">
            <v>67200</v>
          </cell>
          <cell r="H245">
            <v>1</v>
          </cell>
          <cell r="I245" t="str">
            <v>OFFICE SUPPLIES</v>
          </cell>
          <cell r="J245" t="str">
            <v>P</v>
          </cell>
          <cell r="K245" t="str">
            <v/>
          </cell>
          <cell r="L245">
            <v>0</v>
          </cell>
          <cell r="M245">
            <v>4074.79</v>
          </cell>
        </row>
        <row r="246">
          <cell r="A246" t="str">
            <v>672002</v>
          </cell>
          <cell r="B246" t="str">
            <v>IS</v>
          </cell>
          <cell r="C246" t="str">
            <v>8. Admin</v>
          </cell>
          <cell r="E246" t="str">
            <v>Angola</v>
          </cell>
          <cell r="F246" t="str">
            <v>Angola</v>
          </cell>
          <cell r="G246">
            <v>67200</v>
          </cell>
          <cell r="H246">
            <v>2</v>
          </cell>
          <cell r="I246" t="str">
            <v>OFFICE SUPPLIES</v>
          </cell>
          <cell r="J246" t="str">
            <v>P</v>
          </cell>
          <cell r="K246" t="str">
            <v/>
          </cell>
          <cell r="L246">
            <v>0</v>
          </cell>
          <cell r="M246">
            <v>6071.13</v>
          </cell>
        </row>
        <row r="247">
          <cell r="A247" t="str">
            <v>6720050</v>
          </cell>
          <cell r="B247" t="str">
            <v>IS</v>
          </cell>
          <cell r="C247" t="str">
            <v>8. Admin</v>
          </cell>
          <cell r="E247" t="str">
            <v>Pixelle</v>
          </cell>
          <cell r="F247" t="str">
            <v>Pixelle</v>
          </cell>
          <cell r="G247">
            <v>67200</v>
          </cell>
          <cell r="H247">
            <v>50</v>
          </cell>
          <cell r="I247" t="str">
            <v>OFFICE SUPPLIES</v>
          </cell>
          <cell r="J247" t="str">
            <v>P</v>
          </cell>
          <cell r="K247" t="str">
            <v/>
          </cell>
          <cell r="L247">
            <v>0</v>
          </cell>
          <cell r="M247">
            <v>1869.01</v>
          </cell>
        </row>
        <row r="248">
          <cell r="A248" t="str">
            <v>6720099</v>
          </cell>
          <cell r="B248" t="str">
            <v>IS</v>
          </cell>
          <cell r="C248" t="str">
            <v>8. Admin</v>
          </cell>
          <cell r="E248" t="str">
            <v>Hillsboro</v>
          </cell>
          <cell r="F248" t="str">
            <v>Corp</v>
          </cell>
          <cell r="G248">
            <v>67200</v>
          </cell>
          <cell r="H248">
            <v>99</v>
          </cell>
          <cell r="I248" t="str">
            <v>OFFICE SUPPLIES</v>
          </cell>
          <cell r="J248" t="str">
            <v>P</v>
          </cell>
          <cell r="K248" t="str">
            <v/>
          </cell>
          <cell r="L248">
            <v>0</v>
          </cell>
          <cell r="M248">
            <v>8992.16</v>
          </cell>
        </row>
        <row r="249">
          <cell r="A249" t="str">
            <v>673001</v>
          </cell>
          <cell r="B249" t="str">
            <v>IS</v>
          </cell>
          <cell r="C249" t="str">
            <v>8. Admin</v>
          </cell>
          <cell r="E249" t="str">
            <v>Hillsboro</v>
          </cell>
          <cell r="F249" t="str">
            <v>Hillsboro</v>
          </cell>
          <cell r="G249">
            <v>67300</v>
          </cell>
          <cell r="H249">
            <v>1</v>
          </cell>
          <cell r="I249" t="str">
            <v>POSTAGE</v>
          </cell>
          <cell r="J249" t="str">
            <v>P</v>
          </cell>
          <cell r="K249" t="str">
            <v/>
          </cell>
          <cell r="L249">
            <v>0</v>
          </cell>
          <cell r="M249">
            <v>10.1</v>
          </cell>
        </row>
        <row r="250">
          <cell r="A250" t="str">
            <v>673002</v>
          </cell>
          <cell r="B250" t="str">
            <v>IS</v>
          </cell>
          <cell r="C250" t="str">
            <v>8. Admin</v>
          </cell>
          <cell r="E250" t="str">
            <v>Angola</v>
          </cell>
          <cell r="F250" t="str">
            <v>Angola</v>
          </cell>
          <cell r="G250">
            <v>67300</v>
          </cell>
          <cell r="H250">
            <v>2</v>
          </cell>
          <cell r="I250" t="str">
            <v>POSTAGE</v>
          </cell>
          <cell r="J250" t="str">
            <v>P</v>
          </cell>
          <cell r="K250" t="str">
            <v/>
          </cell>
          <cell r="L250">
            <v>0</v>
          </cell>
          <cell r="M250">
            <v>615.23</v>
          </cell>
        </row>
        <row r="251">
          <cell r="A251" t="str">
            <v>6730099</v>
          </cell>
          <cell r="B251" t="str">
            <v>IS</v>
          </cell>
          <cell r="C251" t="str">
            <v>8. Admin</v>
          </cell>
          <cell r="E251" t="str">
            <v>Hillsboro</v>
          </cell>
          <cell r="F251" t="str">
            <v>Corp</v>
          </cell>
          <cell r="G251">
            <v>67300</v>
          </cell>
          <cell r="H251">
            <v>99</v>
          </cell>
          <cell r="I251" t="str">
            <v>POSTAGE</v>
          </cell>
          <cell r="J251" t="str">
            <v>P</v>
          </cell>
          <cell r="K251" t="str">
            <v/>
          </cell>
          <cell r="L251">
            <v>0</v>
          </cell>
          <cell r="M251">
            <v>2780.06</v>
          </cell>
        </row>
        <row r="252">
          <cell r="A252" t="str">
            <v>6734099</v>
          </cell>
          <cell r="B252" t="str">
            <v>IS</v>
          </cell>
          <cell r="C252" t="str">
            <v>7. Selling</v>
          </cell>
          <cell r="E252" t="str">
            <v>Hillsboro</v>
          </cell>
          <cell r="F252" t="str">
            <v>Corp</v>
          </cell>
          <cell r="G252">
            <v>67340</v>
          </cell>
          <cell r="H252">
            <v>99</v>
          </cell>
          <cell r="I252" t="str">
            <v>OUTSIDE SALES WAGES</v>
          </cell>
          <cell r="J252" t="str">
            <v>P</v>
          </cell>
          <cell r="K252" t="str">
            <v>OUTSIDE SALES WAGES</v>
          </cell>
          <cell r="L252">
            <v>0</v>
          </cell>
          <cell r="M252">
            <v>125207.96</v>
          </cell>
        </row>
        <row r="253">
          <cell r="A253" t="str">
            <v>674002</v>
          </cell>
          <cell r="B253" t="str">
            <v>IS</v>
          </cell>
          <cell r="C253" t="str">
            <v>7. Selling</v>
          </cell>
          <cell r="E253" t="str">
            <v>Angola</v>
          </cell>
          <cell r="F253" t="str">
            <v>Angola</v>
          </cell>
          <cell r="G253">
            <v>67400</v>
          </cell>
          <cell r="H253">
            <v>2</v>
          </cell>
          <cell r="I253" t="str">
            <v>SALES SERVICE WAGES</v>
          </cell>
          <cell r="J253" t="str">
            <v>P</v>
          </cell>
          <cell r="K253" t="str">
            <v/>
          </cell>
          <cell r="L253">
            <v>0</v>
          </cell>
          <cell r="M253">
            <v>73390.59</v>
          </cell>
        </row>
        <row r="254">
          <cell r="A254" t="str">
            <v>6740099</v>
          </cell>
          <cell r="B254" t="str">
            <v>IS</v>
          </cell>
          <cell r="C254" t="str">
            <v>7. Selling</v>
          </cell>
          <cell r="E254" t="str">
            <v>Hillsboro</v>
          </cell>
          <cell r="F254" t="str">
            <v>Corp</v>
          </cell>
          <cell r="G254">
            <v>67400</v>
          </cell>
          <cell r="H254">
            <v>99</v>
          </cell>
          <cell r="I254" t="str">
            <v>SALES SERVICE WAGES</v>
          </cell>
          <cell r="J254" t="str">
            <v>P</v>
          </cell>
          <cell r="K254" t="str">
            <v/>
          </cell>
          <cell r="L254">
            <v>0</v>
          </cell>
          <cell r="M254">
            <v>212746.64</v>
          </cell>
        </row>
        <row r="255">
          <cell r="A255" t="str">
            <v>6741099</v>
          </cell>
          <cell r="B255" t="str">
            <v>IS</v>
          </cell>
          <cell r="C255" t="str">
            <v>7. Selling</v>
          </cell>
          <cell r="E255" t="str">
            <v>Hillsboro</v>
          </cell>
          <cell r="F255" t="str">
            <v>Corp</v>
          </cell>
          <cell r="G255">
            <v>67410</v>
          </cell>
          <cell r="H255">
            <v>99</v>
          </cell>
          <cell r="I255" t="str">
            <v>SALES SERVICE WAGES-OVERTIME</v>
          </cell>
          <cell r="J255" t="str">
            <v>P</v>
          </cell>
          <cell r="K255" t="str">
            <v/>
          </cell>
          <cell r="L255">
            <v>0</v>
          </cell>
          <cell r="M255">
            <v>195.35</v>
          </cell>
        </row>
        <row r="256">
          <cell r="A256" t="str">
            <v>6742099</v>
          </cell>
          <cell r="B256" t="str">
            <v>IS</v>
          </cell>
          <cell r="C256" t="str">
            <v>7. Selling</v>
          </cell>
          <cell r="E256" t="str">
            <v>Hillsboro</v>
          </cell>
          <cell r="F256" t="str">
            <v>Corp</v>
          </cell>
          <cell r="G256">
            <v>67420</v>
          </cell>
          <cell r="H256">
            <v>99</v>
          </cell>
          <cell r="I256" t="str">
            <v>SALES SERVICE WAGES-VACATION</v>
          </cell>
          <cell r="J256" t="str">
            <v>P</v>
          </cell>
          <cell r="K256" t="str">
            <v/>
          </cell>
          <cell r="L256">
            <v>0</v>
          </cell>
          <cell r="M256">
            <v>18958.21</v>
          </cell>
        </row>
        <row r="257">
          <cell r="A257" t="str">
            <v>6743099</v>
          </cell>
          <cell r="B257" t="str">
            <v>IS</v>
          </cell>
          <cell r="C257" t="str">
            <v>7. Selling</v>
          </cell>
          <cell r="E257" t="str">
            <v>Hillsboro</v>
          </cell>
          <cell r="F257" t="str">
            <v>Corp</v>
          </cell>
          <cell r="G257">
            <v>67430</v>
          </cell>
          <cell r="H257">
            <v>99</v>
          </cell>
          <cell r="I257" t="str">
            <v>SALES SERVICE WAGES-HOLIDAY</v>
          </cell>
          <cell r="J257" t="str">
            <v>P</v>
          </cell>
          <cell r="K257" t="str">
            <v/>
          </cell>
          <cell r="L257">
            <v>0</v>
          </cell>
          <cell r="M257">
            <v>8232</v>
          </cell>
        </row>
        <row r="258">
          <cell r="A258" t="str">
            <v>6750099</v>
          </cell>
          <cell r="B258" t="str">
            <v>IS</v>
          </cell>
          <cell r="C258" t="str">
            <v>8. Admin</v>
          </cell>
          <cell r="E258" t="str">
            <v>Hillsboro</v>
          </cell>
          <cell r="F258" t="str">
            <v>Corp</v>
          </cell>
          <cell r="G258">
            <v>67500</v>
          </cell>
          <cell r="H258">
            <v>99</v>
          </cell>
          <cell r="I258" t="str">
            <v>ADMINISTRATIVE WAGES</v>
          </cell>
          <cell r="J258" t="str">
            <v>P</v>
          </cell>
          <cell r="K258" t="str">
            <v/>
          </cell>
          <cell r="L258">
            <v>0</v>
          </cell>
          <cell r="M258">
            <v>129210.54</v>
          </cell>
        </row>
        <row r="259">
          <cell r="A259" t="str">
            <v>677001</v>
          </cell>
          <cell r="B259" t="str">
            <v>IS</v>
          </cell>
          <cell r="C259" t="str">
            <v>8. Admin</v>
          </cell>
          <cell r="E259" t="str">
            <v>Hillsboro</v>
          </cell>
          <cell r="F259" t="str">
            <v>Hillsboro</v>
          </cell>
          <cell r="G259">
            <v>67700</v>
          </cell>
          <cell r="H259">
            <v>1</v>
          </cell>
          <cell r="I259" t="str">
            <v>EMPLOYEE BONUSES</v>
          </cell>
          <cell r="J259" t="str">
            <v>P</v>
          </cell>
          <cell r="K259" t="str">
            <v/>
          </cell>
          <cell r="L259">
            <v>0</v>
          </cell>
          <cell r="M259">
            <v>23941.599999999999</v>
          </cell>
        </row>
        <row r="260">
          <cell r="A260" t="str">
            <v>677002</v>
          </cell>
          <cell r="B260" t="str">
            <v>IS</v>
          </cell>
          <cell r="C260" t="str">
            <v>8. Admin</v>
          </cell>
          <cell r="E260" t="str">
            <v>Angola</v>
          </cell>
          <cell r="F260" t="str">
            <v>Angola</v>
          </cell>
          <cell r="G260">
            <v>67700</v>
          </cell>
          <cell r="H260">
            <v>2</v>
          </cell>
          <cell r="I260" t="str">
            <v>EMPLOYEE BONUSES</v>
          </cell>
          <cell r="J260" t="str">
            <v>P</v>
          </cell>
          <cell r="K260" t="str">
            <v/>
          </cell>
          <cell r="L260">
            <v>0</v>
          </cell>
          <cell r="M260">
            <v>64621.760000000002</v>
          </cell>
        </row>
        <row r="261">
          <cell r="A261" t="str">
            <v>6770050</v>
          </cell>
          <cell r="B261" t="str">
            <v>IS</v>
          </cell>
          <cell r="C261" t="str">
            <v>8. Admin</v>
          </cell>
          <cell r="E261" t="str">
            <v>Pixelle</v>
          </cell>
          <cell r="F261" t="str">
            <v>Pixelle</v>
          </cell>
          <cell r="G261">
            <v>67700</v>
          </cell>
          <cell r="H261">
            <v>50</v>
          </cell>
          <cell r="I261" t="str">
            <v>EMPLOYEE BONUSES</v>
          </cell>
          <cell r="J261" t="str">
            <v>P</v>
          </cell>
          <cell r="K261" t="str">
            <v/>
          </cell>
          <cell r="L261">
            <v>0</v>
          </cell>
          <cell r="M261">
            <v>8012.59</v>
          </cell>
        </row>
        <row r="262">
          <cell r="A262" t="str">
            <v>6770099</v>
          </cell>
          <cell r="B262" t="str">
            <v>IS</v>
          </cell>
          <cell r="C262" t="str">
            <v>8. Admin</v>
          </cell>
          <cell r="E262" t="str">
            <v>Hillsboro</v>
          </cell>
          <cell r="F262" t="str">
            <v>Corp</v>
          </cell>
          <cell r="G262">
            <v>67700</v>
          </cell>
          <cell r="H262">
            <v>99</v>
          </cell>
          <cell r="I262" t="str">
            <v>EMPLOYEE BONUSES</v>
          </cell>
          <cell r="J262" t="str">
            <v>P</v>
          </cell>
          <cell r="K262" t="str">
            <v/>
          </cell>
          <cell r="L262">
            <v>0</v>
          </cell>
          <cell r="M262">
            <v>147612.53</v>
          </cell>
        </row>
        <row r="263">
          <cell r="A263" t="str">
            <v>679001</v>
          </cell>
          <cell r="B263" t="str">
            <v>IS</v>
          </cell>
          <cell r="C263" t="str">
            <v>8. Admin</v>
          </cell>
          <cell r="E263" t="str">
            <v>Hillsboro</v>
          </cell>
          <cell r="F263" t="str">
            <v>Hillsboro</v>
          </cell>
          <cell r="G263">
            <v>67900</v>
          </cell>
          <cell r="H263">
            <v>1</v>
          </cell>
          <cell r="I263" t="str">
            <v>EMPLOYEE RELATIONS</v>
          </cell>
          <cell r="J263" t="str">
            <v>P</v>
          </cell>
          <cell r="K263" t="str">
            <v/>
          </cell>
          <cell r="L263">
            <v>0</v>
          </cell>
          <cell r="M263">
            <v>2323.3200000000002</v>
          </cell>
        </row>
        <row r="264">
          <cell r="A264" t="str">
            <v>679002</v>
          </cell>
          <cell r="B264" t="str">
            <v>IS</v>
          </cell>
          <cell r="C264" t="str">
            <v>8. Admin</v>
          </cell>
          <cell r="E264" t="str">
            <v>Angola</v>
          </cell>
          <cell r="F264" t="str">
            <v>Angola</v>
          </cell>
          <cell r="G264">
            <v>67900</v>
          </cell>
          <cell r="H264">
            <v>2</v>
          </cell>
          <cell r="I264" t="str">
            <v>EMPLOYEE RELATIONS</v>
          </cell>
          <cell r="J264" t="str">
            <v>P</v>
          </cell>
          <cell r="K264" t="str">
            <v/>
          </cell>
          <cell r="L264">
            <v>0</v>
          </cell>
          <cell r="M264">
            <v>1215.56</v>
          </cell>
        </row>
        <row r="265">
          <cell r="A265" t="str">
            <v>6790050</v>
          </cell>
          <cell r="B265" t="str">
            <v>IS</v>
          </cell>
          <cell r="C265" t="str">
            <v>8. Admin</v>
          </cell>
          <cell r="E265" t="str">
            <v>Pixelle</v>
          </cell>
          <cell r="F265" t="str">
            <v>Pixelle</v>
          </cell>
          <cell r="G265">
            <v>67900</v>
          </cell>
          <cell r="H265">
            <v>50</v>
          </cell>
          <cell r="I265" t="str">
            <v>EMPLOYEE RELATIONS</v>
          </cell>
          <cell r="J265" t="str">
            <v>P</v>
          </cell>
          <cell r="K265" t="str">
            <v/>
          </cell>
          <cell r="L265">
            <v>0</v>
          </cell>
          <cell r="M265">
            <v>301.07</v>
          </cell>
        </row>
        <row r="266">
          <cell r="A266" t="str">
            <v>6790099</v>
          </cell>
          <cell r="B266" t="str">
            <v>IS</v>
          </cell>
          <cell r="C266" t="str">
            <v>8. Admin</v>
          </cell>
          <cell r="E266" t="str">
            <v>Hillsboro</v>
          </cell>
          <cell r="F266" t="str">
            <v>Corp</v>
          </cell>
          <cell r="G266">
            <v>67900</v>
          </cell>
          <cell r="H266">
            <v>99</v>
          </cell>
          <cell r="I266" t="str">
            <v>EMPLOYEE RELATIONS</v>
          </cell>
          <cell r="J266" t="str">
            <v>P</v>
          </cell>
          <cell r="K266" t="str">
            <v/>
          </cell>
          <cell r="L266">
            <v>0</v>
          </cell>
          <cell r="M266">
            <v>1590.13</v>
          </cell>
        </row>
        <row r="267">
          <cell r="A267" t="str">
            <v>680001</v>
          </cell>
          <cell r="B267" t="str">
            <v>IS</v>
          </cell>
          <cell r="C267" t="str">
            <v>4. Mfg OVHD</v>
          </cell>
          <cell r="D267"/>
          <cell r="E267" t="str">
            <v>Hillsboro</v>
          </cell>
          <cell r="F267" t="str">
            <v>Hillsboro</v>
          </cell>
          <cell r="G267">
            <v>68000</v>
          </cell>
          <cell r="H267">
            <v>1</v>
          </cell>
          <cell r="I267" t="str">
            <v>GENERAL TAXES</v>
          </cell>
          <cell r="J267" t="str">
            <v>P</v>
          </cell>
          <cell r="K267" t="str">
            <v/>
          </cell>
          <cell r="L267">
            <v>0</v>
          </cell>
          <cell r="M267">
            <v>21469.88</v>
          </cell>
        </row>
        <row r="268">
          <cell r="A268" t="str">
            <v>680002</v>
          </cell>
          <cell r="B268" t="str">
            <v>IS</v>
          </cell>
          <cell r="C268" t="str">
            <v>4. Mfg OVHD</v>
          </cell>
          <cell r="D268"/>
          <cell r="E268" t="str">
            <v>Angola</v>
          </cell>
          <cell r="F268" t="str">
            <v>Angola</v>
          </cell>
          <cell r="G268">
            <v>68000</v>
          </cell>
          <cell r="H268">
            <v>2</v>
          </cell>
          <cell r="I268" t="str">
            <v>GENERAL TAXES</v>
          </cell>
          <cell r="J268" t="str">
            <v>P</v>
          </cell>
          <cell r="K268" t="str">
            <v/>
          </cell>
          <cell r="L268">
            <v>0</v>
          </cell>
          <cell r="M268">
            <v>21979.42</v>
          </cell>
        </row>
        <row r="269">
          <cell r="A269" t="str">
            <v>6800050</v>
          </cell>
          <cell r="B269" t="str">
            <v>IS</v>
          </cell>
          <cell r="C269" t="str">
            <v>4. Mfg OVHD</v>
          </cell>
          <cell r="D269"/>
          <cell r="E269" t="str">
            <v>Pixelle</v>
          </cell>
          <cell r="F269" t="str">
            <v>Pixelle</v>
          </cell>
          <cell r="G269">
            <v>68000</v>
          </cell>
          <cell r="H269">
            <v>50</v>
          </cell>
          <cell r="I269" t="str">
            <v>GENERAL TAXES</v>
          </cell>
          <cell r="J269" t="str">
            <v>P</v>
          </cell>
          <cell r="K269" t="str">
            <v/>
          </cell>
          <cell r="L269">
            <v>0</v>
          </cell>
          <cell r="M269">
            <v>10218.959999999999</v>
          </cell>
        </row>
        <row r="270">
          <cell r="A270" t="str">
            <v>6800099</v>
          </cell>
          <cell r="B270" t="str">
            <v>IS</v>
          </cell>
          <cell r="C270" t="str">
            <v>4. Mfg OVHD</v>
          </cell>
          <cell r="D270"/>
          <cell r="E270" t="str">
            <v>Hillsboro</v>
          </cell>
          <cell r="F270" t="str">
            <v>Corp</v>
          </cell>
          <cell r="G270">
            <v>68000</v>
          </cell>
          <cell r="H270">
            <v>99</v>
          </cell>
          <cell r="I270" t="str">
            <v>GENERAL TAXES</v>
          </cell>
          <cell r="J270" t="str">
            <v>P</v>
          </cell>
          <cell r="K270" t="str">
            <v/>
          </cell>
          <cell r="L270">
            <v>0</v>
          </cell>
          <cell r="M270">
            <v>1166.92</v>
          </cell>
        </row>
        <row r="271">
          <cell r="A271" t="str">
            <v>6810099</v>
          </cell>
          <cell r="B271" t="str">
            <v>IS</v>
          </cell>
          <cell r="C271" t="str">
            <v>8. Admin</v>
          </cell>
          <cell r="E271" t="str">
            <v>Hillsboro</v>
          </cell>
          <cell r="F271" t="str">
            <v>Corp</v>
          </cell>
          <cell r="G271">
            <v>68100</v>
          </cell>
          <cell r="H271">
            <v>99</v>
          </cell>
          <cell r="I271" t="str">
            <v>FICA TAX</v>
          </cell>
          <cell r="J271" t="str">
            <v>P</v>
          </cell>
          <cell r="K271" t="str">
            <v/>
          </cell>
          <cell r="L271">
            <v>0</v>
          </cell>
          <cell r="M271">
            <v>36908.74</v>
          </cell>
        </row>
        <row r="272">
          <cell r="A272" t="str">
            <v>6850099</v>
          </cell>
          <cell r="B272" t="str">
            <v>IS</v>
          </cell>
          <cell r="C272" t="str">
            <v>8. Admin</v>
          </cell>
          <cell r="E272" t="str">
            <v>Hillsboro</v>
          </cell>
          <cell r="F272" t="str">
            <v>Corp</v>
          </cell>
          <cell r="G272">
            <v>68500</v>
          </cell>
          <cell r="H272">
            <v>99</v>
          </cell>
          <cell r="I272" t="str">
            <v>O.B.E.S. TAX</v>
          </cell>
          <cell r="J272" t="str">
            <v>P</v>
          </cell>
          <cell r="K272" t="str">
            <v/>
          </cell>
          <cell r="L272">
            <v>0</v>
          </cell>
          <cell r="M272">
            <v>3274.82</v>
          </cell>
        </row>
        <row r="273">
          <cell r="A273" t="str">
            <v>6860099</v>
          </cell>
          <cell r="B273" t="str">
            <v>IS</v>
          </cell>
          <cell r="C273" t="str">
            <v>8. Admin</v>
          </cell>
          <cell r="E273" t="str">
            <v>Hillsboro</v>
          </cell>
          <cell r="F273" t="str">
            <v>Corp</v>
          </cell>
          <cell r="G273">
            <v>68600</v>
          </cell>
          <cell r="H273">
            <v>99</v>
          </cell>
          <cell r="I273" t="str">
            <v>FUTA TAX</v>
          </cell>
          <cell r="J273" t="str">
            <v>P</v>
          </cell>
          <cell r="K273" t="str">
            <v/>
          </cell>
          <cell r="L273">
            <v>0</v>
          </cell>
          <cell r="M273">
            <v>420</v>
          </cell>
        </row>
        <row r="274">
          <cell r="A274" t="str">
            <v>6870099</v>
          </cell>
          <cell r="B274" t="str">
            <v>IS</v>
          </cell>
          <cell r="C274" t="str">
            <v>8. Admin</v>
          </cell>
          <cell r="E274" t="str">
            <v>Hillsboro</v>
          </cell>
          <cell r="F274" t="str">
            <v>Corp</v>
          </cell>
          <cell r="G274">
            <v>68700</v>
          </cell>
          <cell r="H274">
            <v>99</v>
          </cell>
          <cell r="I274" t="str">
            <v>WORKERS' COMP. TAX</v>
          </cell>
          <cell r="J274" t="str">
            <v>P</v>
          </cell>
          <cell r="K274" t="str">
            <v/>
          </cell>
          <cell r="L274">
            <v>0</v>
          </cell>
          <cell r="M274">
            <v>560</v>
          </cell>
        </row>
        <row r="275">
          <cell r="A275" t="str">
            <v>690002</v>
          </cell>
          <cell r="B275" t="str">
            <v>IS</v>
          </cell>
          <cell r="C275" t="str">
            <v>8. Admin IT</v>
          </cell>
          <cell r="E275" t="str">
            <v>Angola</v>
          </cell>
          <cell r="F275" t="str">
            <v>Angola</v>
          </cell>
          <cell r="G275">
            <v>69000</v>
          </cell>
          <cell r="H275">
            <v>2</v>
          </cell>
          <cell r="I275" t="str">
            <v>TELEPHONE</v>
          </cell>
          <cell r="J275" t="str">
            <v>P</v>
          </cell>
          <cell r="K275" t="str">
            <v/>
          </cell>
          <cell r="L275">
            <v>0</v>
          </cell>
          <cell r="M275">
            <v>833.17</v>
          </cell>
        </row>
        <row r="276">
          <cell r="A276" t="str">
            <v>6900099</v>
          </cell>
          <cell r="B276" t="str">
            <v>IS</v>
          </cell>
          <cell r="C276" t="str">
            <v>8. Admin IT</v>
          </cell>
          <cell r="E276" t="str">
            <v>Hillsboro</v>
          </cell>
          <cell r="F276" t="str">
            <v>Corp</v>
          </cell>
          <cell r="G276">
            <v>69000</v>
          </cell>
          <cell r="H276">
            <v>99</v>
          </cell>
          <cell r="I276" t="str">
            <v>TELEPHONE</v>
          </cell>
          <cell r="J276" t="str">
            <v>P</v>
          </cell>
          <cell r="K276" t="str">
            <v/>
          </cell>
          <cell r="L276">
            <v>0</v>
          </cell>
          <cell r="M276">
            <v>8050.69</v>
          </cell>
        </row>
        <row r="277">
          <cell r="A277" t="str">
            <v>695001</v>
          </cell>
          <cell r="B277" t="str">
            <v>IS</v>
          </cell>
          <cell r="C277" t="str">
            <v>8. Admin IT</v>
          </cell>
          <cell r="E277" t="str">
            <v>Hillsboro</v>
          </cell>
          <cell r="F277" t="str">
            <v>Hillsboro</v>
          </cell>
          <cell r="G277">
            <v>69500</v>
          </cell>
          <cell r="H277">
            <v>1</v>
          </cell>
          <cell r="I277" t="str">
            <v>INTERNET SERVICE CHARGES</v>
          </cell>
          <cell r="J277" t="str">
            <v>P</v>
          </cell>
          <cell r="K277" t="str">
            <v>INTERNET SERVICE CHARGES</v>
          </cell>
          <cell r="L277">
            <v>0</v>
          </cell>
          <cell r="M277">
            <v>1309.8800000000001</v>
          </cell>
        </row>
        <row r="278">
          <cell r="A278" t="str">
            <v>695002</v>
          </cell>
          <cell r="B278" t="str">
            <v>IS</v>
          </cell>
          <cell r="C278" t="str">
            <v>8. Admin IT</v>
          </cell>
          <cell r="E278" t="str">
            <v>Angola</v>
          </cell>
          <cell r="F278" t="str">
            <v>Angola</v>
          </cell>
          <cell r="G278">
            <v>69500</v>
          </cell>
          <cell r="H278">
            <v>2</v>
          </cell>
          <cell r="I278" t="str">
            <v>INTERNET SERVICE CHARGES</v>
          </cell>
          <cell r="J278" t="str">
            <v>P</v>
          </cell>
          <cell r="K278" t="str">
            <v>INTERNET SERVICE CHARGES</v>
          </cell>
          <cell r="L278">
            <v>0</v>
          </cell>
          <cell r="M278">
            <v>1943.28</v>
          </cell>
        </row>
        <row r="279">
          <cell r="A279" t="str">
            <v>6950050</v>
          </cell>
          <cell r="B279" t="str">
            <v>IS</v>
          </cell>
          <cell r="C279" t="str">
            <v>8. Admin IT</v>
          </cell>
          <cell r="E279" t="str">
            <v>Pixelle</v>
          </cell>
          <cell r="F279" t="str">
            <v>Pixelle</v>
          </cell>
          <cell r="G279">
            <v>69500</v>
          </cell>
          <cell r="H279">
            <v>50</v>
          </cell>
          <cell r="I279" t="str">
            <v>INTERNET SERVICE CHARGES</v>
          </cell>
          <cell r="J279" t="str">
            <v>P</v>
          </cell>
          <cell r="K279" t="str">
            <v>INTERNET SERVICE CHARGES</v>
          </cell>
          <cell r="L279">
            <v>0</v>
          </cell>
          <cell r="M279">
            <v>1474.77</v>
          </cell>
        </row>
        <row r="280">
          <cell r="A280" t="str">
            <v>6950099</v>
          </cell>
          <cell r="B280" t="str">
            <v>IS</v>
          </cell>
          <cell r="C280" t="str">
            <v>8. Admin IT</v>
          </cell>
          <cell r="E280" t="str">
            <v>Hillsboro</v>
          </cell>
          <cell r="F280" t="str">
            <v>Corp</v>
          </cell>
          <cell r="G280">
            <v>69500</v>
          </cell>
          <cell r="H280">
            <v>99</v>
          </cell>
          <cell r="I280" t="str">
            <v>INTERNET SERVICE CHARGES</v>
          </cell>
          <cell r="J280" t="str">
            <v>P</v>
          </cell>
          <cell r="K280" t="str">
            <v>INTERNET SERVICE CHARGES</v>
          </cell>
          <cell r="L280">
            <v>0</v>
          </cell>
          <cell r="M280">
            <v>10716.41</v>
          </cell>
        </row>
        <row r="281">
          <cell r="A281" t="str">
            <v>700001</v>
          </cell>
          <cell r="B281" t="str">
            <v>IS</v>
          </cell>
          <cell r="C281" t="str">
            <v>8. Admin</v>
          </cell>
          <cell r="E281" t="str">
            <v>Hillsboro</v>
          </cell>
          <cell r="F281" t="str">
            <v>Hillsboro</v>
          </cell>
          <cell r="G281">
            <v>70000</v>
          </cell>
          <cell r="H281">
            <v>1</v>
          </cell>
          <cell r="I281" t="str">
            <v>TRAVEL</v>
          </cell>
          <cell r="J281" t="str">
            <v>P</v>
          </cell>
          <cell r="K281" t="str">
            <v/>
          </cell>
          <cell r="L281">
            <v>0</v>
          </cell>
          <cell r="M281">
            <v>2645.65</v>
          </cell>
        </row>
        <row r="282">
          <cell r="A282" t="str">
            <v>700002</v>
          </cell>
          <cell r="B282" t="str">
            <v>IS</v>
          </cell>
          <cell r="C282" t="str">
            <v>8. Admin</v>
          </cell>
          <cell r="E282" t="str">
            <v>Angola</v>
          </cell>
          <cell r="F282" t="str">
            <v>Angola</v>
          </cell>
          <cell r="G282">
            <v>70000</v>
          </cell>
          <cell r="H282">
            <v>2</v>
          </cell>
          <cell r="I282" t="str">
            <v>TRAVEL</v>
          </cell>
          <cell r="J282" t="str">
            <v>P</v>
          </cell>
          <cell r="K282" t="str">
            <v/>
          </cell>
          <cell r="L282">
            <v>0</v>
          </cell>
          <cell r="M282">
            <v>3574.39</v>
          </cell>
        </row>
        <row r="283">
          <cell r="A283" t="str">
            <v>7000050</v>
          </cell>
          <cell r="B283" t="str">
            <v>IS</v>
          </cell>
          <cell r="C283" t="str">
            <v>8. Admin</v>
          </cell>
          <cell r="E283" t="str">
            <v>Pixelle</v>
          </cell>
          <cell r="F283" t="str">
            <v>Pixelle</v>
          </cell>
          <cell r="G283">
            <v>70000</v>
          </cell>
          <cell r="H283">
            <v>50</v>
          </cell>
          <cell r="I283" t="str">
            <v>TRAVEL</v>
          </cell>
          <cell r="J283" t="str">
            <v>P</v>
          </cell>
          <cell r="K283" t="str">
            <v/>
          </cell>
          <cell r="L283">
            <v>0</v>
          </cell>
          <cell r="M283">
            <v>528.57000000000005</v>
          </cell>
        </row>
        <row r="284">
          <cell r="A284" t="str">
            <v>7000099</v>
          </cell>
          <cell r="B284" t="str">
            <v>IS</v>
          </cell>
          <cell r="C284" t="str">
            <v>8. Admin</v>
          </cell>
          <cell r="E284" t="str">
            <v>Hillsboro</v>
          </cell>
          <cell r="F284" t="str">
            <v>Corp</v>
          </cell>
          <cell r="G284">
            <v>70000</v>
          </cell>
          <cell r="H284">
            <v>99</v>
          </cell>
          <cell r="I284" t="str">
            <v>TRAVEL</v>
          </cell>
          <cell r="J284" t="str">
            <v>P</v>
          </cell>
          <cell r="K284" t="str">
            <v/>
          </cell>
          <cell r="L284">
            <v>0</v>
          </cell>
          <cell r="M284">
            <v>3327.86</v>
          </cell>
        </row>
        <row r="285">
          <cell r="A285" t="str">
            <v>710001</v>
          </cell>
          <cell r="B285" t="str">
            <v>IS</v>
          </cell>
          <cell r="C285" t="str">
            <v>8a. Frt Income</v>
          </cell>
          <cell r="E285" t="str">
            <v>Hillsboro</v>
          </cell>
          <cell r="F285" t="str">
            <v>Hillsboro</v>
          </cell>
          <cell r="G285">
            <v>71000</v>
          </cell>
          <cell r="H285">
            <v>1</v>
          </cell>
          <cell r="I285" t="str">
            <v>FREIGHT INCOME</v>
          </cell>
          <cell r="J285" t="str">
            <v>P</v>
          </cell>
          <cell r="K285" t="str">
            <v/>
          </cell>
          <cell r="L285">
            <v>0</v>
          </cell>
          <cell r="M285">
            <v>-276789.25</v>
          </cell>
        </row>
        <row r="286">
          <cell r="A286" t="str">
            <v>710002</v>
          </cell>
          <cell r="B286" t="str">
            <v>IS</v>
          </cell>
          <cell r="C286" t="str">
            <v>8a. Frt Income</v>
          </cell>
          <cell r="E286" t="str">
            <v>Angola</v>
          </cell>
          <cell r="F286" t="str">
            <v>Angola</v>
          </cell>
          <cell r="G286">
            <v>71000</v>
          </cell>
          <cell r="H286">
            <v>2</v>
          </cell>
          <cell r="I286" t="str">
            <v>FREIGHT INCOME</v>
          </cell>
          <cell r="J286" t="str">
            <v>P</v>
          </cell>
          <cell r="K286" t="str">
            <v/>
          </cell>
          <cell r="L286">
            <v>0</v>
          </cell>
          <cell r="M286">
            <v>-306624.57</v>
          </cell>
        </row>
        <row r="287">
          <cell r="A287" t="str">
            <v>715001</v>
          </cell>
          <cell r="B287" t="str">
            <v>IS</v>
          </cell>
          <cell r="C287" t="str">
            <v>8a. Frt Income</v>
          </cell>
          <cell r="E287" t="str">
            <v>Hillsboro</v>
          </cell>
          <cell r="F287" t="str">
            <v>Hillsboro</v>
          </cell>
          <cell r="G287">
            <v>71500</v>
          </cell>
          <cell r="H287">
            <v>1</v>
          </cell>
          <cell r="I287" t="str">
            <v>FREIGHT INCOME-OUR TRUCK</v>
          </cell>
          <cell r="J287" t="str">
            <v>P</v>
          </cell>
          <cell r="K287" t="str">
            <v>FREIGHT INCOME-OUR TRUCK</v>
          </cell>
          <cell r="L287">
            <v>0</v>
          </cell>
          <cell r="M287">
            <v>-3600</v>
          </cell>
        </row>
        <row r="288">
          <cell r="A288" t="str">
            <v>720001</v>
          </cell>
          <cell r="B288" t="str">
            <v>IS</v>
          </cell>
          <cell r="C288" t="str">
            <v>8b. Frt Exp</v>
          </cell>
          <cell r="E288" t="str">
            <v>Hillsboro</v>
          </cell>
          <cell r="F288" t="str">
            <v>Hillsboro</v>
          </cell>
          <cell r="G288">
            <v>72000</v>
          </cell>
          <cell r="H288">
            <v>1</v>
          </cell>
          <cell r="I288" t="str">
            <v>FREIGHT EXPENSE</v>
          </cell>
          <cell r="J288" t="str">
            <v>P</v>
          </cell>
          <cell r="K288" t="str">
            <v/>
          </cell>
          <cell r="L288">
            <v>0</v>
          </cell>
          <cell r="M288">
            <v>223598.98</v>
          </cell>
        </row>
        <row r="289">
          <cell r="A289" t="str">
            <v>720002</v>
          </cell>
          <cell r="B289" t="str">
            <v>IS</v>
          </cell>
          <cell r="C289" t="str">
            <v>8b. Frt Exp</v>
          </cell>
          <cell r="E289" t="str">
            <v>Angola</v>
          </cell>
          <cell r="F289" t="str">
            <v>Angola</v>
          </cell>
          <cell r="G289">
            <v>72000</v>
          </cell>
          <cell r="H289">
            <v>2</v>
          </cell>
          <cell r="I289" t="str">
            <v>FREIGHT EXPENSE</v>
          </cell>
          <cell r="J289" t="str">
            <v>P</v>
          </cell>
          <cell r="K289" t="str">
            <v/>
          </cell>
          <cell r="L289">
            <v>0</v>
          </cell>
          <cell r="M289">
            <v>246096.48</v>
          </cell>
        </row>
        <row r="290">
          <cell r="A290" t="str">
            <v>730001</v>
          </cell>
          <cell r="B290" t="str">
            <v>IS</v>
          </cell>
          <cell r="C290" t="str">
            <v>8c. Frt Exp</v>
          </cell>
          <cell r="D290"/>
          <cell r="E290" t="str">
            <v>Hillsboro</v>
          </cell>
          <cell r="F290" t="str">
            <v>Hillsboro</v>
          </cell>
          <cell r="G290">
            <v>73000</v>
          </cell>
          <cell r="H290">
            <v>1</v>
          </cell>
          <cell r="I290" t="str">
            <v>INTERCOMPANY FREIGHT</v>
          </cell>
          <cell r="J290" t="str">
            <v>P</v>
          </cell>
          <cell r="K290" t="str">
            <v/>
          </cell>
          <cell r="L290">
            <v>0</v>
          </cell>
          <cell r="M290">
            <v>5134.17</v>
          </cell>
        </row>
        <row r="291">
          <cell r="A291" t="str">
            <v>730002</v>
          </cell>
          <cell r="B291" t="str">
            <v>IS</v>
          </cell>
          <cell r="C291" t="str">
            <v>8c. Frt Exp</v>
          </cell>
          <cell r="D291"/>
          <cell r="E291" t="str">
            <v>Angola</v>
          </cell>
          <cell r="F291" t="str">
            <v>Angola</v>
          </cell>
          <cell r="G291">
            <v>73000</v>
          </cell>
          <cell r="H291">
            <v>2</v>
          </cell>
          <cell r="I291" t="str">
            <v>INTERCOMPANY FREIGHT</v>
          </cell>
          <cell r="J291" t="str">
            <v>P</v>
          </cell>
          <cell r="K291" t="str">
            <v/>
          </cell>
          <cell r="L291">
            <v>0</v>
          </cell>
          <cell r="M291">
            <v>5312.42</v>
          </cell>
        </row>
        <row r="292">
          <cell r="A292" t="str">
            <v>7300050</v>
          </cell>
          <cell r="B292" t="str">
            <v>IS</v>
          </cell>
          <cell r="C292" t="str">
            <v>8c. Frt Exp</v>
          </cell>
          <cell r="D292"/>
          <cell r="E292" t="str">
            <v>Pixelle</v>
          </cell>
          <cell r="F292" t="str">
            <v>Pixelle</v>
          </cell>
          <cell r="G292">
            <v>73000</v>
          </cell>
          <cell r="H292">
            <v>50</v>
          </cell>
          <cell r="I292" t="str">
            <v>INTERCOMPANY FREIGHT</v>
          </cell>
          <cell r="J292" t="str">
            <v>P</v>
          </cell>
          <cell r="K292" t="str">
            <v/>
          </cell>
          <cell r="L292">
            <v>0</v>
          </cell>
          <cell r="M292">
            <v>89.94</v>
          </cell>
        </row>
        <row r="293">
          <cell r="A293" t="str">
            <v>7300099</v>
          </cell>
          <cell r="B293" t="str">
            <v>IS</v>
          </cell>
          <cell r="C293" t="str">
            <v>8c. Frt Exp</v>
          </cell>
          <cell r="D293"/>
          <cell r="E293" t="str">
            <v>Hillsboro</v>
          </cell>
          <cell r="F293" t="str">
            <v>Corp</v>
          </cell>
          <cell r="G293">
            <v>73000</v>
          </cell>
          <cell r="H293">
            <v>99</v>
          </cell>
          <cell r="I293" t="str">
            <v>INTERCOMPANY FREIGHT</v>
          </cell>
          <cell r="J293" t="str">
            <v>P</v>
          </cell>
          <cell r="K293" t="str">
            <v/>
          </cell>
          <cell r="L293">
            <v>0</v>
          </cell>
          <cell r="M293">
            <v>39.82</v>
          </cell>
        </row>
        <row r="294">
          <cell r="A294" t="str">
            <v>740001</v>
          </cell>
          <cell r="B294" t="str">
            <v>IS</v>
          </cell>
          <cell r="C294" t="str">
            <v>8c. Frt Exp</v>
          </cell>
          <cell r="D294"/>
          <cell r="E294" t="str">
            <v>Hillsboro</v>
          </cell>
          <cell r="F294" t="str">
            <v>Hillsboro</v>
          </cell>
          <cell r="G294">
            <v>74000</v>
          </cell>
          <cell r="H294">
            <v>1</v>
          </cell>
          <cell r="I294" t="str">
            <v>UNRECONCILED FREIGHT</v>
          </cell>
          <cell r="J294" t="str">
            <v>P</v>
          </cell>
          <cell r="K294" t="str">
            <v/>
          </cell>
          <cell r="L294">
            <v>0</v>
          </cell>
          <cell r="M294">
            <v>9531.42</v>
          </cell>
        </row>
        <row r="295">
          <cell r="A295" t="str">
            <v>740002</v>
          </cell>
          <cell r="B295" t="str">
            <v>IS</v>
          </cell>
          <cell r="C295" t="str">
            <v>8c. Frt Exp</v>
          </cell>
          <cell r="D295"/>
          <cell r="E295" t="str">
            <v>Angola</v>
          </cell>
          <cell r="F295" t="str">
            <v>Angola</v>
          </cell>
          <cell r="G295">
            <v>74000</v>
          </cell>
          <cell r="H295">
            <v>2</v>
          </cell>
          <cell r="I295" t="str">
            <v>UNRECONCILED FREIGHT</v>
          </cell>
          <cell r="J295" t="str">
            <v>P</v>
          </cell>
          <cell r="K295" t="str">
            <v/>
          </cell>
          <cell r="L295">
            <v>0</v>
          </cell>
          <cell r="M295">
            <v>11345.81</v>
          </cell>
        </row>
        <row r="296">
          <cell r="A296" t="str">
            <v>745001</v>
          </cell>
          <cell r="B296" t="str">
            <v>IS</v>
          </cell>
          <cell r="C296" t="str">
            <v>2. Variable cost Mat</v>
          </cell>
          <cell r="E296" t="str">
            <v>Hillsboro</v>
          </cell>
          <cell r="F296" t="str">
            <v>Hillsboro</v>
          </cell>
          <cell r="G296">
            <v>74500</v>
          </cell>
          <cell r="H296">
            <v>1</v>
          </cell>
          <cell r="I296" t="str">
            <v>FREIGHT IN PRICE EXPENSES</v>
          </cell>
          <cell r="J296" t="str">
            <v>P</v>
          </cell>
          <cell r="K296" t="str">
            <v>FREIGHT IN PRICE EXPENSES</v>
          </cell>
          <cell r="L296">
            <v>0</v>
          </cell>
          <cell r="M296">
            <v>64270.37</v>
          </cell>
        </row>
        <row r="297">
          <cell r="A297" t="str">
            <v>745002</v>
          </cell>
          <cell r="B297" t="str">
            <v>IS</v>
          </cell>
          <cell r="C297" t="str">
            <v>2. Variable cost Mat</v>
          </cell>
          <cell r="E297" t="str">
            <v>Angola</v>
          </cell>
          <cell r="F297" t="str">
            <v>Angola</v>
          </cell>
          <cell r="G297">
            <v>74500</v>
          </cell>
          <cell r="H297">
            <v>2</v>
          </cell>
          <cell r="I297" t="str">
            <v>FREIGHT IN PRICE EXPENSES</v>
          </cell>
          <cell r="J297" t="str">
            <v>P</v>
          </cell>
          <cell r="K297" t="str">
            <v>FREIGHT IN PRICE EXPENSES</v>
          </cell>
          <cell r="L297">
            <v>0</v>
          </cell>
          <cell r="M297">
            <v>15712.23</v>
          </cell>
        </row>
        <row r="298">
          <cell r="A298" t="str">
            <v>800001</v>
          </cell>
          <cell r="B298" t="str">
            <v>IS</v>
          </cell>
          <cell r="C298" t="str">
            <v>9. Scrap &amp; Misc Inc</v>
          </cell>
          <cell r="D298"/>
          <cell r="E298" t="str">
            <v>Hillsboro</v>
          </cell>
          <cell r="F298" t="str">
            <v>Hillsboro</v>
          </cell>
          <cell r="G298">
            <v>80000</v>
          </cell>
          <cell r="H298">
            <v>1</v>
          </cell>
          <cell r="I298" t="str">
            <v>SALE OF SCRAP</v>
          </cell>
          <cell r="J298" t="str">
            <v>P</v>
          </cell>
          <cell r="K298" t="str">
            <v/>
          </cell>
          <cell r="L298">
            <v>0</v>
          </cell>
          <cell r="M298">
            <v>-79236.56</v>
          </cell>
        </row>
        <row r="299">
          <cell r="A299" t="str">
            <v>800002</v>
          </cell>
          <cell r="B299" t="str">
            <v>IS</v>
          </cell>
          <cell r="C299" t="str">
            <v>9. Scrap &amp; Misc Inc</v>
          </cell>
          <cell r="D299"/>
          <cell r="E299" t="str">
            <v>Angola</v>
          </cell>
          <cell r="F299" t="str">
            <v>Angola</v>
          </cell>
          <cell r="G299">
            <v>80000</v>
          </cell>
          <cell r="H299">
            <v>2</v>
          </cell>
          <cell r="I299" t="str">
            <v>SALE OF SCRAP</v>
          </cell>
          <cell r="J299" t="str">
            <v>P</v>
          </cell>
          <cell r="K299" t="str">
            <v/>
          </cell>
          <cell r="L299">
            <v>0</v>
          </cell>
          <cell r="M299">
            <v>-3258.38</v>
          </cell>
        </row>
        <row r="300">
          <cell r="A300" t="str">
            <v>8000050</v>
          </cell>
          <cell r="B300" t="str">
            <v>IS</v>
          </cell>
          <cell r="C300" t="str">
            <v>9. Scrap &amp; Misc Inc</v>
          </cell>
          <cell r="D300"/>
          <cell r="E300" t="str">
            <v>Pixelle</v>
          </cell>
          <cell r="F300" t="str">
            <v>Pixelle</v>
          </cell>
          <cell r="G300">
            <v>80000</v>
          </cell>
          <cell r="H300">
            <v>50</v>
          </cell>
          <cell r="I300" t="str">
            <v>SALE OF SCRAP</v>
          </cell>
          <cell r="J300" t="str">
            <v>P</v>
          </cell>
          <cell r="K300" t="str">
            <v/>
          </cell>
          <cell r="L300">
            <v>0</v>
          </cell>
          <cell r="M300">
            <v>-4309.5</v>
          </cell>
        </row>
        <row r="301">
          <cell r="A301" t="str">
            <v>810001</v>
          </cell>
          <cell r="B301" t="str">
            <v>IS</v>
          </cell>
          <cell r="C301" t="str">
            <v>9. Scrap &amp; Misc Inc</v>
          </cell>
          <cell r="D301"/>
          <cell r="E301" t="str">
            <v>Hillsboro</v>
          </cell>
          <cell r="F301" t="str">
            <v>Hillsboro</v>
          </cell>
          <cell r="G301">
            <v>81000</v>
          </cell>
          <cell r="H301">
            <v>1</v>
          </cell>
          <cell r="I301" t="str">
            <v>MISC. INCOME</v>
          </cell>
          <cell r="J301" t="str">
            <v>P</v>
          </cell>
          <cell r="K301" t="str">
            <v/>
          </cell>
          <cell r="L301">
            <v>0</v>
          </cell>
          <cell r="M301">
            <v>-1096</v>
          </cell>
        </row>
        <row r="302">
          <cell r="A302" t="str">
            <v>810002</v>
          </cell>
          <cell r="B302" t="str">
            <v>IS</v>
          </cell>
          <cell r="C302" t="str">
            <v>9. Scrap &amp; Misc Inc</v>
          </cell>
          <cell r="D302"/>
          <cell r="E302" t="str">
            <v>Angola</v>
          </cell>
          <cell r="F302" t="str">
            <v>Angola</v>
          </cell>
          <cell r="G302">
            <v>81000</v>
          </cell>
          <cell r="H302">
            <v>2</v>
          </cell>
          <cell r="I302" t="str">
            <v>MISC. INCOME</v>
          </cell>
          <cell r="J302" t="str">
            <v>P</v>
          </cell>
          <cell r="K302" t="str">
            <v/>
          </cell>
          <cell r="L302">
            <v>0</v>
          </cell>
          <cell r="M302">
            <v>-1223.52</v>
          </cell>
        </row>
        <row r="303">
          <cell r="A303" t="str">
            <v>8100099</v>
          </cell>
          <cell r="B303" t="str">
            <v>IS</v>
          </cell>
          <cell r="C303" t="str">
            <v>9. Scrap &amp; Misc Inc</v>
          </cell>
          <cell r="D303"/>
          <cell r="E303" t="str">
            <v>Hillsboro</v>
          </cell>
          <cell r="F303" t="str">
            <v>Corp</v>
          </cell>
          <cell r="G303">
            <v>81000</v>
          </cell>
          <cell r="H303">
            <v>99</v>
          </cell>
          <cell r="I303" t="str">
            <v>MISC. INCOME</v>
          </cell>
          <cell r="J303" t="str">
            <v>P</v>
          </cell>
          <cell r="K303" t="str">
            <v/>
          </cell>
          <cell r="L303">
            <v>0</v>
          </cell>
          <cell r="M303">
            <v>-35840.36</v>
          </cell>
        </row>
        <row r="304">
          <cell r="A304" t="str">
            <v>8200099</v>
          </cell>
          <cell r="B304" t="str">
            <v>IS</v>
          </cell>
          <cell r="C304" t="str">
            <v>2a. Variable cost Mat</v>
          </cell>
          <cell r="D304"/>
          <cell r="E304" t="str">
            <v>Hillsboro</v>
          </cell>
          <cell r="F304" t="str">
            <v>Corp</v>
          </cell>
          <cell r="G304">
            <v>82000</v>
          </cell>
          <cell r="H304">
            <v>99</v>
          </cell>
          <cell r="I304" t="str">
            <v>PURCHASE DISCOUNTS</v>
          </cell>
          <cell r="J304" t="str">
            <v>P</v>
          </cell>
          <cell r="K304" t="str">
            <v/>
          </cell>
          <cell r="L304">
            <v>0</v>
          </cell>
          <cell r="M304">
            <v>-52627.66</v>
          </cell>
        </row>
        <row r="305">
          <cell r="A305" t="str">
            <v>8300099</v>
          </cell>
          <cell r="B305" t="str">
            <v>IS</v>
          </cell>
          <cell r="C305" t="str">
            <v>91. Other Inc/Exp</v>
          </cell>
          <cell r="E305" t="str">
            <v>Hillsboro</v>
          </cell>
          <cell r="F305" t="str">
            <v>Corp</v>
          </cell>
          <cell r="G305">
            <v>83000</v>
          </cell>
          <cell r="H305">
            <v>99</v>
          </cell>
          <cell r="I305" t="str">
            <v>INTEREST INCOME</v>
          </cell>
          <cell r="J305" t="str">
            <v>P</v>
          </cell>
          <cell r="K305" t="str">
            <v/>
          </cell>
          <cell r="L305">
            <v>0</v>
          </cell>
          <cell r="M305">
            <v>-16552.849999999999</v>
          </cell>
        </row>
        <row r="306">
          <cell r="A306" t="str">
            <v>8500099</v>
          </cell>
          <cell r="B306" t="str">
            <v>IS</v>
          </cell>
          <cell r="C306" t="str">
            <v>91. Other Inc/Exp</v>
          </cell>
          <cell r="E306" t="str">
            <v>Hillsboro</v>
          </cell>
          <cell r="F306" t="str">
            <v>Corp</v>
          </cell>
          <cell r="G306">
            <v>85000</v>
          </cell>
          <cell r="H306">
            <v>99</v>
          </cell>
          <cell r="I306" t="str">
            <v>BAD DEBT RECOVERY</v>
          </cell>
          <cell r="J306" t="str">
            <v>P</v>
          </cell>
          <cell r="K306" t="str">
            <v/>
          </cell>
          <cell r="L306">
            <v>0</v>
          </cell>
          <cell r="M306">
            <v>-576.44000000000005</v>
          </cell>
        </row>
        <row r="307">
          <cell r="A307" t="str">
            <v>900002</v>
          </cell>
          <cell r="B307" t="str">
            <v>IS</v>
          </cell>
          <cell r="C307" t="str">
            <v>91. Other Inc/Exp</v>
          </cell>
          <cell r="E307" t="str">
            <v>Angola</v>
          </cell>
          <cell r="F307" t="str">
            <v>Angola</v>
          </cell>
          <cell r="G307">
            <v>90000</v>
          </cell>
          <cell r="H307">
            <v>2</v>
          </cell>
          <cell r="I307" t="str">
            <v>MISC. EXPENSE</v>
          </cell>
          <cell r="J307" t="str">
            <v>P</v>
          </cell>
          <cell r="K307" t="str">
            <v/>
          </cell>
          <cell r="L307">
            <v>0</v>
          </cell>
          <cell r="M307">
            <v>-1.64</v>
          </cell>
        </row>
        <row r="308">
          <cell r="A308" t="str">
            <v>9200099</v>
          </cell>
          <cell r="B308" t="str">
            <v>IS</v>
          </cell>
          <cell r="C308" t="str">
            <v>91. Other Inc/Exp</v>
          </cell>
          <cell r="E308" t="str">
            <v>Hillsboro</v>
          </cell>
          <cell r="F308" t="str">
            <v>Corp</v>
          </cell>
          <cell r="G308">
            <v>92000</v>
          </cell>
          <cell r="H308">
            <v>99</v>
          </cell>
          <cell r="I308" t="str">
            <v>INTEREST EXPENSE</v>
          </cell>
          <cell r="J308" t="str">
            <v>P</v>
          </cell>
          <cell r="K308" t="str">
            <v/>
          </cell>
          <cell r="L308">
            <v>0</v>
          </cell>
          <cell r="M308">
            <v>31883.66</v>
          </cell>
        </row>
        <row r="309">
          <cell r="A309" t="str">
            <v>998001</v>
          </cell>
          <cell r="B309" t="str">
            <v>IS</v>
          </cell>
          <cell r="C309" t="str">
            <v>99. Elim</v>
          </cell>
          <cell r="E309" t="str">
            <v>Hillsboro</v>
          </cell>
          <cell r="F309" t="str">
            <v>Hillsboro</v>
          </cell>
          <cell r="G309">
            <v>99800</v>
          </cell>
          <cell r="H309">
            <v>1</v>
          </cell>
          <cell r="I309" t="str">
            <v>PRODUCTION</v>
          </cell>
          <cell r="J309" t="str">
            <v>P</v>
          </cell>
          <cell r="K309" t="str">
            <v/>
          </cell>
          <cell r="L309">
            <v>0</v>
          </cell>
          <cell r="M309">
            <v>4260114.21</v>
          </cell>
        </row>
        <row r="310">
          <cell r="A310" t="str">
            <v>998002</v>
          </cell>
          <cell r="B310" t="str">
            <v>IS</v>
          </cell>
          <cell r="C310" t="str">
            <v>99. Elim</v>
          </cell>
          <cell r="E310" t="str">
            <v>Angola</v>
          </cell>
          <cell r="F310" t="str">
            <v>Angola</v>
          </cell>
          <cell r="G310">
            <v>99800</v>
          </cell>
          <cell r="H310">
            <v>2</v>
          </cell>
          <cell r="I310" t="str">
            <v>PRODUCTION</v>
          </cell>
          <cell r="J310" t="str">
            <v>P</v>
          </cell>
          <cell r="K310" t="str">
            <v/>
          </cell>
          <cell r="L310">
            <v>0</v>
          </cell>
          <cell r="M310">
            <v>3452100.62</v>
          </cell>
        </row>
        <row r="311">
          <cell r="A311" t="str">
            <v>9980050</v>
          </cell>
          <cell r="B311" t="str">
            <v>IS</v>
          </cell>
          <cell r="C311" t="str">
            <v>99. Elim</v>
          </cell>
          <cell r="E311" t="str">
            <v>Pixelle</v>
          </cell>
          <cell r="F311" t="str">
            <v>Pixelle</v>
          </cell>
          <cell r="G311">
            <v>99800</v>
          </cell>
          <cell r="H311">
            <v>50</v>
          </cell>
          <cell r="I311" t="str">
            <v>PRODUCTION</v>
          </cell>
          <cell r="J311" t="str">
            <v>P</v>
          </cell>
          <cell r="K311" t="str">
            <v/>
          </cell>
          <cell r="L311">
            <v>0</v>
          </cell>
          <cell r="M311">
            <v>853115</v>
          </cell>
        </row>
        <row r="312">
          <cell r="A312" t="str">
            <v>999001</v>
          </cell>
          <cell r="B312" t="str">
            <v>IS</v>
          </cell>
          <cell r="C312" t="str">
            <v>99. Elim</v>
          </cell>
          <cell r="E312" t="str">
            <v>Hillsboro</v>
          </cell>
          <cell r="F312" t="str">
            <v>Hillsboro</v>
          </cell>
          <cell r="G312">
            <v>99900</v>
          </cell>
          <cell r="H312">
            <v>1</v>
          </cell>
          <cell r="I312" t="str">
            <v>PRODUCTION OFFSET</v>
          </cell>
          <cell r="J312" t="str">
            <v>P</v>
          </cell>
          <cell r="K312" t="str">
            <v/>
          </cell>
          <cell r="L312">
            <v>0</v>
          </cell>
          <cell r="M312">
            <v>-4260114.21</v>
          </cell>
        </row>
        <row r="313">
          <cell r="A313" t="str">
            <v>999002</v>
          </cell>
          <cell r="B313" t="str">
            <v>IS</v>
          </cell>
          <cell r="C313" t="str">
            <v>99. Elim</v>
          </cell>
          <cell r="E313" t="str">
            <v>Angola</v>
          </cell>
          <cell r="F313" t="str">
            <v>Angola</v>
          </cell>
          <cell r="G313">
            <v>99900</v>
          </cell>
          <cell r="H313">
            <v>2</v>
          </cell>
          <cell r="I313" t="str">
            <v>PRODUCTION OFFSET</v>
          </cell>
          <cell r="J313" t="str">
            <v>P</v>
          </cell>
          <cell r="K313" t="str">
            <v/>
          </cell>
          <cell r="L313">
            <v>0</v>
          </cell>
          <cell r="M313">
            <v>-3452100.62</v>
          </cell>
        </row>
        <row r="314">
          <cell r="A314" t="str">
            <v>9990050</v>
          </cell>
          <cell r="B314" t="str">
            <v>IS</v>
          </cell>
          <cell r="C314" t="str">
            <v>99. Elim</v>
          </cell>
          <cell r="E314" t="str">
            <v>Pixelle</v>
          </cell>
          <cell r="F314" t="str">
            <v>Pixelle</v>
          </cell>
          <cell r="G314">
            <v>99900</v>
          </cell>
          <cell r="H314">
            <v>50</v>
          </cell>
          <cell r="I314" t="str">
            <v>PRODUCTION OFFSET</v>
          </cell>
          <cell r="J314" t="str">
            <v>P</v>
          </cell>
          <cell r="K314" t="str">
            <v/>
          </cell>
          <cell r="L314">
            <v>0</v>
          </cell>
          <cell r="M314">
            <v>-853115</v>
          </cell>
        </row>
      </sheetData>
      <sheetData sheetId="5"/>
      <sheetData sheetId="6">
        <row r="6">
          <cell r="E6">
            <v>860999.76</v>
          </cell>
        </row>
      </sheetData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-T5Y IS"/>
      <sheetName val="2-T5Y IS (Cont.)"/>
      <sheetName val="P&amp;L Assistant"/>
      <sheetName val="P&amp;L Assistant2"/>
      <sheetName val="3-Balance Sheet"/>
      <sheetName val="Offer"/>
      <sheetName val="4-EBITDA"/>
      <sheetName val="5-Working Cap"/>
      <sheetName val="5-Core NWC of HCF"/>
      <sheetName val="Questions"/>
      <sheetName val="Holly made Employee List"/>
      <sheetName val="Mfg. Costs"/>
      <sheetName val="2024&amp;2023"/>
      <sheetName val="2024&amp;2023-CPA Rev"/>
      <sheetName val="Sheet1"/>
      <sheetName val="Mfg. Costs2"/>
      <sheetName val="1-Plant Breakdown(FY24)"/>
      <sheetName val="1-Plant Breakdown(2024)"/>
      <sheetName val="1-Inc. Statements"/>
      <sheetName val="2-Mfg. Exp. Detail"/>
      <sheetName val="3-Operating Exp."/>
      <sheetName val="4-Balance Sheets"/>
      <sheetName val="5-Debt"/>
      <sheetName val="6-Comp to EBF"/>
    </sheetNames>
    <sheetDataSet>
      <sheetData sheetId="0"/>
      <sheetData sheetId="1">
        <row r="66">
          <cell r="D66">
            <v>133786</v>
          </cell>
        </row>
        <row r="70">
          <cell r="D70">
            <v>467828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xelle P&amp;L"/>
    </sheetNames>
    <sheetDataSet>
      <sheetData sheetId="0">
        <row r="29">
          <cell r="D29">
            <v>10185.940642794274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lly Martin" refreshedDate="46294.449124999999" createdVersion="8" refreshedVersion="8" minRefreshableVersion="3" recordCount="300" xr:uid="{0E2C529C-5B36-4725-9FD0-45770509EA07}">
  <cacheSource type="worksheet">
    <worksheetSource ref="B1:N1048576" sheet="SORTED B VS P"/>
  </cacheSource>
  <cacheFields count="13">
    <cacheField name="TYPE" numFmtId="0">
      <sharedItems containsBlank="1" count="3">
        <s v="BS"/>
        <s v="IS"/>
        <m/>
      </sharedItems>
    </cacheField>
    <cacheField name="Cat1" numFmtId="0">
      <sharedItems containsBlank="1" count="34">
        <s v="1. Cash"/>
        <s v="2. AR"/>
        <s v="3. Prepaid"/>
        <s v="4. Inv Paper"/>
        <s v="4. Inv Label Mat"/>
        <s v="4. Inv Carbon"/>
        <s v="4. Inv Cartons"/>
        <s v="4. Inv FGS"/>
        <s v="4. Inv Supplies"/>
        <s v="4. Inv TAMARACK &amp; HUNKELER"/>
        <s v="4. Inv Envelopes"/>
        <s v="5. M&amp;E"/>
        <s v="6. Intangible"/>
        <s v="7. AP"/>
        <s v="9. NP"/>
        <s v="8. Accr AP"/>
        <s v="9a. RE"/>
        <s v="2. Variable cost Mat"/>
        <s v="1. Sales"/>
        <s v="8. Admin"/>
        <s v="2a. Variable cost Mat Out/Env"/>
        <s v="4. Mfg OVHD"/>
        <s v="2. Variable cost Labor"/>
        <s v="3. Mfg IDL"/>
        <s v="7. Selling"/>
        <s v="8. Admin IT"/>
        <s v="8a. Frt Income"/>
        <s v="8b. Frt Exp"/>
        <s v="8c. Frt Exp"/>
        <s v="9. Scrap &amp; Misc Inc"/>
        <s v="2a. Variable cost Mat"/>
        <s v="91. Other Inc/Exp"/>
        <s v="99. Elim"/>
        <m/>
      </sharedItems>
    </cacheField>
    <cacheField name="Cat2" numFmtId="0">
      <sharedItems containsBlank="1"/>
    </cacheField>
    <cacheField name="Plant1" numFmtId="0">
      <sharedItems containsBlank="1" count="4">
        <s v="Hillsboro"/>
        <s v="Angola"/>
        <s v="Pixelle"/>
        <m/>
      </sharedItems>
    </cacheField>
    <cacheField name="Plant2" numFmtId="0">
      <sharedItems containsBlank="1" count="5">
        <s v="Hillsboro"/>
        <s v="Angola"/>
        <s v="Pixelle"/>
        <s v="Corp"/>
        <m/>
      </sharedItems>
    </cacheField>
    <cacheField name="ACCOUNT#" numFmtId="0">
      <sharedItems containsString="0" containsBlank="1" containsNumber="1" containsInteger="1" minValue="10010" maxValue="99900" count="158">
        <n v="10010"/>
        <n v="10020"/>
        <n v="10120"/>
        <n v="10130"/>
        <n v="11000"/>
        <n v="11100"/>
        <n v="12000"/>
        <n v="12100"/>
        <n v="12110"/>
        <n v="13100"/>
        <n v="13150"/>
        <n v="13200"/>
        <n v="13300"/>
        <n v="13400"/>
        <n v="13600"/>
        <n v="13650"/>
        <n v="13950"/>
        <n v="14000"/>
        <n v="14100"/>
        <n v="15000"/>
        <n v="15100"/>
        <n v="16000"/>
        <n v="16100"/>
        <n v="17000"/>
        <n v="17100"/>
        <n v="17500"/>
        <n v="18000"/>
        <n v="18100"/>
        <n v="19000"/>
        <n v="19100"/>
        <n v="20000"/>
        <n v="21500"/>
        <n v="21510"/>
        <n v="21860"/>
        <n v="21870"/>
        <n v="23000"/>
        <n v="23700"/>
        <n v="23900"/>
        <n v="23950"/>
        <n v="24000"/>
        <n v="24100"/>
        <n v="24300"/>
        <n v="30000"/>
        <n v="31000"/>
        <n v="31500"/>
        <n v="32000"/>
        <n v="13405"/>
        <n v="40000"/>
        <n v="40700"/>
        <n v="41000"/>
        <n v="41100"/>
        <n v="42000"/>
        <n v="51000"/>
        <n v="52000"/>
        <n v="53000"/>
        <n v="54000"/>
        <n v="55000"/>
        <n v="56000"/>
        <n v="56200"/>
        <n v="56500"/>
        <n v="59500"/>
        <n v="59550"/>
        <n v="60100"/>
        <n v="60400"/>
        <n v="60500"/>
        <n v="60600"/>
        <n v="60700"/>
        <n v="60710"/>
        <n v="60720"/>
        <n v="60730"/>
        <n v="60750"/>
        <n v="60751"/>
        <n v="60752"/>
        <n v="60753"/>
        <n v="60760"/>
        <n v="60761"/>
        <n v="60762"/>
        <n v="60763"/>
        <n v="60764"/>
        <n v="60766"/>
        <n v="60767"/>
        <n v="60770"/>
        <n v="60780"/>
        <n v="60781"/>
        <n v="60782"/>
        <n v="60783"/>
        <n v="60800"/>
        <n v="60810"/>
        <n v="60820"/>
        <n v="60830"/>
        <n v="60840"/>
        <n v="60841"/>
        <n v="60842"/>
        <n v="60843"/>
        <n v="60850"/>
        <n v="60900"/>
        <n v="60912"/>
        <n v="60913"/>
        <n v="61000"/>
        <n v="61100"/>
        <n v="61200"/>
        <n v="61300"/>
        <n v="61350"/>
        <n v="61370"/>
        <n v="61400"/>
        <n v="62100"/>
        <n v="62200"/>
        <n v="63000"/>
        <n v="63200"/>
        <n v="64000"/>
        <n v="65000"/>
        <n v="66000"/>
        <n v="66100"/>
        <n v="66200"/>
        <n v="66240"/>
        <n v="66300"/>
        <n v="66400"/>
        <n v="66500"/>
        <n v="66510"/>
        <n v="66700"/>
        <n v="66800"/>
        <n v="66900"/>
        <n v="67000"/>
        <n v="67100"/>
        <n v="67200"/>
        <n v="67300"/>
        <n v="67340"/>
        <n v="67400"/>
        <n v="67410"/>
        <n v="67420"/>
        <n v="67430"/>
        <n v="67500"/>
        <n v="67700"/>
        <n v="67900"/>
        <n v="68000"/>
        <n v="68100"/>
        <n v="68500"/>
        <n v="68600"/>
        <n v="68700"/>
        <n v="69000"/>
        <n v="69500"/>
        <n v="70000"/>
        <n v="71000"/>
        <n v="71500"/>
        <n v="72000"/>
        <n v="73000"/>
        <n v="74000"/>
        <n v="74500"/>
        <n v="80000"/>
        <n v="81000"/>
        <n v="82000"/>
        <n v="83000"/>
        <n v="84000"/>
        <n v="90000"/>
        <n v="92000"/>
        <n v="99800"/>
        <n v="99900"/>
        <m/>
      </sharedItems>
    </cacheField>
    <cacheField name="LEVEL1" numFmtId="0">
      <sharedItems containsString="0" containsBlank="1" containsNumber="1" containsInteger="1" minValue="1" maxValue="99"/>
    </cacheField>
    <cacheField name="DESCRIPTION" numFmtId="0">
      <sharedItems containsBlank="1" count="158">
        <s v="CASH - FIRST STATE BANK"/>
        <s v="PETTY CASH"/>
        <s v="CASH - HEALTH INS. ACCT"/>
        <s v="CASH - FSA HEALTH ACCT"/>
        <s v="ACCOUNTS RECEIVABLE"/>
        <s v="ACCOUNTS RECEIVABLE-OTHER"/>
        <s v="PREPAID EXPENSES"/>
        <s v="DEPOSITS"/>
        <s v="PREPAID INSURANCE"/>
        <s v="INVENTORY-BOND PAPER"/>
        <s v="INVENTORY-LABEL MATERIAL"/>
        <s v="INVENTORY-CARBON"/>
        <s v="INVENTORY-CARTONS"/>
        <s v="INVENTORY-F/G"/>
        <s v="INVENTORY-SUPPLIES"/>
        <s v="INVENTORY-TAMARACK &amp; HUNKELER"/>
        <s v="INVENTORY-ENVELOPES"/>
        <s v="MACHINERY &amp; EQUIPMENT"/>
        <s v="ACCUM.DEPR.-MACH.&amp; EQ."/>
        <s v="VEHICLES"/>
        <s v="ACCUM.DEPR.-VEHICLES"/>
        <s v="FURNITURE &amp; FIXTURES"/>
        <s v="ACCUM.DEPR.-FURN.&amp; FIX."/>
        <s v="LEASEHOLD IMPROVEMENTS"/>
        <s v="ACCUM.DEPR.-LEASEHOLD"/>
        <s v="GOODWILL"/>
        <s v="COMPUTER"/>
        <s v="ACCUM.DEPR.-COMPUTER"/>
        <s v="BUILDING AND LAND"/>
        <s v="ACCUM.DEPR.-BUILDING"/>
        <s v="ACCOUNTS PAYABLE"/>
        <s v="CUSTOMER PAYMENTS ACCOUNT"/>
        <s v="NOTE PAYABLE W &amp; J"/>
        <s v="NOTES PAYABLE-FSB 20YR ST"/>
        <s v="NOTES PAYABLE-FSB 20YR LT"/>
        <s v="ACCRUED TAXES-GENERAL"/>
        <s v="ACCRUED OHIO WORKER'S COM"/>
        <s v="ACCRUED FLEX PLAN-H"/>
        <s v="ACCRUED HEALTH INSURANCE"/>
        <s v="ACCRUED EXPENSES-OTHER"/>
        <s v="ACCRUED EMPLOYEE 401-K"/>
        <s v="ACCRUED WAGES"/>
        <s v="COMMON STOCK"/>
        <s v="RETAINED EARNINGS"/>
        <s v="PAID IN CAPITAL"/>
        <s v="DISTRIBUTION TO SHAREHOLD"/>
        <s v="FINISHED GOODS VARIBLE"/>
        <s v="SALES"/>
        <s v="SALES - MISC FLAT CHARGES"/>
        <s v="SALES DISCOUNTS"/>
        <s v="SALES REBATE DISCOUNTS"/>
        <s v="MEALS AND ENTERTAINMENT"/>
        <s v="COGS-PAPER"/>
        <s v="COGS-CARBON"/>
        <s v="COGS-CARTONS"/>
        <s v="COGS-INK"/>
        <s v="COGS-PLATES/COMP CHARGES"/>
        <s v="COGS-SUPPLIES"/>
        <s v="COGS-SUPPLIES-LABEL"/>
        <s v="COGS-INTEGRATED MATERIAL"/>
        <s v="ENVELOPES"/>
        <s v="ENVELOPE-IMPRINTING COST"/>
        <s v="HEALTH INSURANCE -ADMIN"/>
        <s v="CARETAKING-PRODUCTION"/>
        <s v="RENT"/>
        <s v="REPAIRS &amp; MAINTENANCE"/>
        <s v="PRODUCTION WAGES"/>
        <s v="PRODUCTION OVERTIME"/>
        <s v="PRODUCTION VACATION"/>
        <s v="PRODUCTION HOLIDAY"/>
        <s v="MAINT. WAGES"/>
        <s v="MAINT. O.T. WAGES"/>
        <s v="MAINT. VAC. WAGES"/>
        <s v="MAINT. HOLIDAY WAGES"/>
        <s v="GENERAL PLANT WAGES"/>
        <s v="GENERAL PLANT O.T."/>
        <s v="GENERAL PLANT VAC"/>
        <s v="GENERAL PLANT HOLIDAY"/>
        <s v="COMP DEPT WAGES"/>
        <s v="COMP DEPT VACATION"/>
        <s v="COMP DEPT HOLIDAY"/>
        <s v="PLANT SUPERVISION"/>
        <s v="BINDERY WAGES"/>
        <s v="BINDERY O.T. WAGES"/>
        <s v="BINDERY VAC WAGES"/>
        <s v="BINDERY HOLIDAY WAGES"/>
        <s v="MAT'L HANDLER WAGES"/>
        <s v="MAT'L HANDLER-OVERTIME"/>
        <s v="MAT'L HANDLER-VACATION"/>
        <s v="MAT'L HANDLER-HOLIDAY"/>
        <s v="SHIPPING WAGES"/>
        <s v="SHIPPING O.T. WAGES"/>
        <s v="SHIPPING VAC. WAGES"/>
        <s v="SHIPPING HOLIDAY WAGES"/>
        <s v="SUPERVISORY SALARIES"/>
        <s v="TRUCK EXPENSES"/>
        <s v="R &amp; M TRUCK #12"/>
        <s v="R &amp; M TRUCK #13"/>
        <s v="FICA EXPENSE MANUF."/>
        <s v="FUTA EXPENSE MANUF."/>
        <s v="STATE UNEMPLOYMENT"/>
        <s v="WORKERS COMPENSATION"/>
        <s v="401K EXPENSE MANUF."/>
        <s v="HEALTH INSURANCE PROD"/>
        <s v="401K EXPENSE-ADMIN"/>
        <s v="DEPRECIATION-MACH.&amp; EQ."/>
        <s v="DEPRECIATION-BUILDING"/>
        <s v="DEPRECIATION-LEASEHOLD"/>
        <s v="DEPRECIATION-VEHICLES"/>
        <s v="DEPRECIATION-COMPUTER"/>
        <s v="UTILITIES"/>
        <s v="ADVERTISING"/>
        <s v="BAD DEBT EXPENSE"/>
        <s v="PAYROLL SERVICE CHARGES"/>
        <s v="BANK CHARGES -SERVICE &amp; FEES"/>
        <s v="CARETAKING-ADMINISTRATIVE"/>
        <s v="DONATIONS"/>
        <s v="SELLING EXPENSE"/>
        <s v="TRAINING &amp; EDUCATION -SALES"/>
        <s v="OFFICERS' LIFE INS."/>
        <s v="GENERAL INSURANCE"/>
        <s v="OFFICE REPAIRS &amp; MAINTENANCE"/>
        <s v="LEGAL &amp; PROFESSIONAL"/>
        <s v="TRAINING &amp; SAFETY"/>
        <s v="OFFICE SUPPLIES"/>
        <s v="POSTAGE"/>
        <s v="OUTSIDE SALES WAGES"/>
        <s v="SALES SERVICE WAGES"/>
        <s v="SALES SERVICE WAGES-OVERTIME"/>
        <s v="SALES SERVICE WAGES-VACATION"/>
        <s v="SALES SERVICE WAGES-HOLIDAY"/>
        <s v="ADMINISTRATIVE WAGES"/>
        <s v="EMPLOYEE BONUSES"/>
        <s v="EMPLOYEE RELATIONS"/>
        <s v="GENERAL TAXES"/>
        <s v="FICA TAX"/>
        <s v="O.B.E.S. TAX"/>
        <s v="FUTA TAX"/>
        <s v="WORKERS' COMP. TAX"/>
        <s v="TELEPHONE"/>
        <s v="INTERNET SERVICE CHARGES"/>
        <s v="TRAVEL"/>
        <s v="FREIGHT INCOME"/>
        <s v="FREIGHT INCOME-OUR TRUCK"/>
        <s v="FREIGHT EXPENSE"/>
        <s v="INTERCOMPANY FREIGHT"/>
        <s v="UNRECONCILED FREIGHT"/>
        <s v="FREIGHT IN PRICE EXPENSES"/>
        <s v="SALE OF SCRAP"/>
        <s v="MISC. INCOME"/>
        <s v="PURCHASE DISCOUNTS"/>
        <s v="INTEREST INCOME"/>
        <s v="DEBT FORGIVEN"/>
        <s v="MISC. EXPENSE"/>
        <s v="INTEREST EXPENSE"/>
        <s v="PRODUCTION"/>
        <s v="PRODUCTION OFFSET"/>
        <m/>
      </sharedItems>
    </cacheField>
    <cacheField name="ACCOUNT TYPE" numFmtId="0">
      <sharedItems containsBlank="1"/>
    </cacheField>
    <cacheField name="DESCRIPTION2" numFmtId="0">
      <sharedItems containsBlank="1"/>
    </cacheField>
    <cacheField name="BEG_BAL_JAN2026" numFmtId="2">
      <sharedItems containsString="0" containsBlank="1" containsNumber="1" minValue="-3390862.29" maxValue="3796655.18"/>
    </cacheField>
    <cacheField name="NET_CHANGE" numFmtId="2">
      <sharedItems containsString="0" containsBlank="1" containsNumber="1" minValue="-2261060.6800000002" maxValue="2218042.3199999998"/>
    </cacheField>
    <cacheField name="END_BAL_JUN2026" numFmtId="2">
      <sharedItems containsString="0" containsBlank="1" containsNumber="1" minValue="-3430135.59" maxValue="3796655.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x v="0"/>
    <m/>
    <x v="0"/>
    <x v="0"/>
    <x v="0"/>
    <n v="1"/>
    <x v="0"/>
    <s v="B"/>
    <s v=""/>
    <n v="534702.04"/>
    <n v="171363.5"/>
    <n v="706065.54"/>
  </r>
  <r>
    <x v="0"/>
    <x v="0"/>
    <m/>
    <x v="0"/>
    <x v="0"/>
    <x v="1"/>
    <n v="1"/>
    <x v="1"/>
    <s v="B"/>
    <s v=""/>
    <n v="400"/>
    <n v="0"/>
    <n v="400"/>
  </r>
  <r>
    <x v="0"/>
    <x v="0"/>
    <m/>
    <x v="1"/>
    <x v="1"/>
    <x v="1"/>
    <n v="2"/>
    <x v="1"/>
    <s v="B"/>
    <s v=""/>
    <n v="400"/>
    <n v="0"/>
    <n v="400"/>
  </r>
  <r>
    <x v="0"/>
    <x v="0"/>
    <m/>
    <x v="0"/>
    <x v="0"/>
    <x v="2"/>
    <n v="1"/>
    <x v="2"/>
    <s v="B"/>
    <s v=""/>
    <n v="14649.31"/>
    <n v="510.18"/>
    <n v="15159.49"/>
  </r>
  <r>
    <x v="0"/>
    <x v="0"/>
    <m/>
    <x v="0"/>
    <x v="0"/>
    <x v="3"/>
    <n v="1"/>
    <x v="3"/>
    <s v="B"/>
    <s v="CASH - FSA HEALTH ACCT"/>
    <n v="17101.900000000001"/>
    <n v="797.5"/>
    <n v="17899.400000000001"/>
  </r>
  <r>
    <x v="0"/>
    <x v="1"/>
    <m/>
    <x v="0"/>
    <x v="0"/>
    <x v="4"/>
    <n v="1"/>
    <x v="4"/>
    <s v="B"/>
    <s v=""/>
    <n v="674695.59"/>
    <n v="104791.93"/>
    <n v="779487.52"/>
  </r>
  <r>
    <x v="0"/>
    <x v="1"/>
    <m/>
    <x v="0"/>
    <x v="0"/>
    <x v="5"/>
    <n v="1"/>
    <x v="5"/>
    <s v="B"/>
    <s v=""/>
    <n v="40084.730000000003"/>
    <n v="-40068.980000000003"/>
    <n v="15.75"/>
  </r>
  <r>
    <x v="0"/>
    <x v="2"/>
    <m/>
    <x v="0"/>
    <x v="0"/>
    <x v="6"/>
    <n v="1"/>
    <x v="6"/>
    <s v="B"/>
    <s v=""/>
    <n v="4763.4399999999996"/>
    <n v="16989.599999999999"/>
    <n v="21753.040000000001"/>
  </r>
  <r>
    <x v="0"/>
    <x v="2"/>
    <m/>
    <x v="0"/>
    <x v="0"/>
    <x v="7"/>
    <n v="1"/>
    <x v="7"/>
    <s v="B"/>
    <s v=""/>
    <n v="500"/>
    <n v="0"/>
    <n v="500"/>
  </r>
  <r>
    <x v="0"/>
    <x v="2"/>
    <m/>
    <x v="0"/>
    <x v="0"/>
    <x v="8"/>
    <n v="1"/>
    <x v="8"/>
    <s v="B"/>
    <s v=""/>
    <n v="7868"/>
    <n v="3594.5"/>
    <n v="11462.5"/>
  </r>
  <r>
    <x v="0"/>
    <x v="3"/>
    <m/>
    <x v="0"/>
    <x v="0"/>
    <x v="9"/>
    <n v="1"/>
    <x v="9"/>
    <s v="B"/>
    <s v=""/>
    <n v="444806.9"/>
    <n v="-67895.92"/>
    <n v="376910.98"/>
  </r>
  <r>
    <x v="0"/>
    <x v="3"/>
    <m/>
    <x v="1"/>
    <x v="1"/>
    <x v="9"/>
    <n v="2"/>
    <x v="9"/>
    <s v="B"/>
    <s v=""/>
    <n v="416192.86"/>
    <n v="-33401.99"/>
    <n v="382790.87"/>
  </r>
  <r>
    <x v="0"/>
    <x v="4"/>
    <m/>
    <x v="1"/>
    <x v="1"/>
    <x v="10"/>
    <n v="2"/>
    <x v="10"/>
    <s v="B"/>
    <s v="INVENTORY-LABEL MATERIAL"/>
    <n v="29721.35"/>
    <n v="-6933.75"/>
    <n v="22787.599999999999"/>
  </r>
  <r>
    <x v="0"/>
    <x v="5"/>
    <m/>
    <x v="0"/>
    <x v="0"/>
    <x v="11"/>
    <n v="1"/>
    <x v="11"/>
    <s v="B"/>
    <s v=""/>
    <n v="574.15"/>
    <n v="1293.0899999999999"/>
    <n v="1867.24"/>
  </r>
  <r>
    <x v="0"/>
    <x v="6"/>
    <m/>
    <x v="0"/>
    <x v="0"/>
    <x v="12"/>
    <n v="1"/>
    <x v="12"/>
    <s v="B"/>
    <s v=""/>
    <n v="33340.31"/>
    <n v="5010.1000000000004"/>
    <n v="38350.410000000003"/>
  </r>
  <r>
    <x v="0"/>
    <x v="6"/>
    <m/>
    <x v="1"/>
    <x v="1"/>
    <x v="12"/>
    <n v="2"/>
    <x v="12"/>
    <s v="B"/>
    <s v=""/>
    <n v="51299.41"/>
    <n v="6066.08"/>
    <n v="57365.49"/>
  </r>
  <r>
    <x v="0"/>
    <x v="7"/>
    <m/>
    <x v="0"/>
    <x v="0"/>
    <x v="13"/>
    <n v="1"/>
    <x v="13"/>
    <s v="B"/>
    <s v=""/>
    <n v="63844"/>
    <n v="-20387.89"/>
    <n v="43456.11"/>
  </r>
  <r>
    <x v="0"/>
    <x v="7"/>
    <m/>
    <x v="1"/>
    <x v="1"/>
    <x v="13"/>
    <n v="2"/>
    <x v="13"/>
    <s v="B"/>
    <s v=""/>
    <n v="139992.39000000001"/>
    <n v="-23582.06"/>
    <n v="116410.33"/>
  </r>
  <r>
    <x v="0"/>
    <x v="8"/>
    <m/>
    <x v="0"/>
    <x v="0"/>
    <x v="14"/>
    <n v="1"/>
    <x v="14"/>
    <s v="B"/>
    <s v=""/>
    <n v="18618.509999999998"/>
    <n v="-10172.450000000001"/>
    <n v="8446.06"/>
  </r>
  <r>
    <x v="0"/>
    <x v="8"/>
    <m/>
    <x v="1"/>
    <x v="1"/>
    <x v="14"/>
    <n v="2"/>
    <x v="14"/>
    <s v="B"/>
    <s v=""/>
    <n v="3642.35"/>
    <n v="-407.48"/>
    <n v="3234.87"/>
  </r>
  <r>
    <x v="0"/>
    <x v="9"/>
    <m/>
    <x v="0"/>
    <x v="0"/>
    <x v="15"/>
    <n v="1"/>
    <x v="15"/>
    <s v="B"/>
    <s v="INVENTORY-TAMARACK &amp; HUNKELER"/>
    <n v="28760.58"/>
    <n v="5714.28"/>
    <n v="34474.86"/>
  </r>
  <r>
    <x v="0"/>
    <x v="10"/>
    <m/>
    <x v="0"/>
    <x v="0"/>
    <x v="16"/>
    <n v="1"/>
    <x v="16"/>
    <s v="B"/>
    <s v=""/>
    <n v="9108.7900000000009"/>
    <n v="3303.83"/>
    <n v="12412.62"/>
  </r>
  <r>
    <x v="0"/>
    <x v="11"/>
    <m/>
    <x v="0"/>
    <x v="0"/>
    <x v="17"/>
    <n v="1"/>
    <x v="17"/>
    <s v="B"/>
    <s v=""/>
    <n v="3796655.18"/>
    <n v="0"/>
    <n v="3796655.18"/>
  </r>
  <r>
    <x v="0"/>
    <x v="11"/>
    <m/>
    <x v="1"/>
    <x v="1"/>
    <x v="17"/>
    <n v="2"/>
    <x v="17"/>
    <s v="B"/>
    <s v=""/>
    <n v="2670303.13"/>
    <n v="0"/>
    <n v="2670303.13"/>
  </r>
  <r>
    <x v="0"/>
    <x v="11"/>
    <m/>
    <x v="2"/>
    <x v="2"/>
    <x v="17"/>
    <n v="50"/>
    <x v="17"/>
    <s v="B"/>
    <s v=""/>
    <n v="334582.36"/>
    <n v="10000"/>
    <n v="344582.36"/>
  </r>
  <r>
    <x v="0"/>
    <x v="11"/>
    <m/>
    <x v="0"/>
    <x v="0"/>
    <x v="18"/>
    <n v="1"/>
    <x v="18"/>
    <s v="B"/>
    <s v=""/>
    <n v="-3390862.29"/>
    <n v="-39273.300000000003"/>
    <n v="-3430135.59"/>
  </r>
  <r>
    <x v="0"/>
    <x v="11"/>
    <m/>
    <x v="1"/>
    <x v="1"/>
    <x v="18"/>
    <n v="2"/>
    <x v="18"/>
    <s v="B"/>
    <s v=""/>
    <n v="-2321058.34"/>
    <n v="-30196.14"/>
    <n v="-2351254.48"/>
  </r>
  <r>
    <x v="0"/>
    <x v="11"/>
    <m/>
    <x v="2"/>
    <x v="2"/>
    <x v="18"/>
    <n v="50"/>
    <x v="18"/>
    <s v="B"/>
    <s v=""/>
    <n v="-303087.13"/>
    <n v="-3133.38"/>
    <n v="-306220.51"/>
  </r>
  <r>
    <x v="0"/>
    <x v="11"/>
    <m/>
    <x v="0"/>
    <x v="0"/>
    <x v="19"/>
    <n v="1"/>
    <x v="19"/>
    <s v="B"/>
    <s v=""/>
    <n v="84861.54"/>
    <n v="0"/>
    <n v="84861.54"/>
  </r>
  <r>
    <x v="0"/>
    <x v="11"/>
    <m/>
    <x v="1"/>
    <x v="1"/>
    <x v="19"/>
    <n v="2"/>
    <x v="19"/>
    <s v="B"/>
    <s v=""/>
    <n v="64451.23"/>
    <n v="0"/>
    <n v="64451.23"/>
  </r>
  <r>
    <x v="0"/>
    <x v="11"/>
    <m/>
    <x v="0"/>
    <x v="0"/>
    <x v="20"/>
    <n v="1"/>
    <x v="20"/>
    <s v="B"/>
    <s v=""/>
    <n v="-77553.05"/>
    <n v="-2192.58"/>
    <n v="-79745.63"/>
  </r>
  <r>
    <x v="0"/>
    <x v="11"/>
    <m/>
    <x v="1"/>
    <x v="1"/>
    <x v="20"/>
    <n v="2"/>
    <x v="20"/>
    <s v="B"/>
    <s v=""/>
    <n v="-64451.23"/>
    <n v="0"/>
    <n v="-64451.23"/>
  </r>
  <r>
    <x v="0"/>
    <x v="11"/>
    <m/>
    <x v="0"/>
    <x v="0"/>
    <x v="21"/>
    <n v="1"/>
    <x v="21"/>
    <s v="B"/>
    <s v=""/>
    <n v="38802.65"/>
    <n v="0"/>
    <n v="38802.65"/>
  </r>
  <r>
    <x v="0"/>
    <x v="11"/>
    <m/>
    <x v="1"/>
    <x v="1"/>
    <x v="21"/>
    <n v="2"/>
    <x v="21"/>
    <s v="B"/>
    <s v=""/>
    <n v="3603.4"/>
    <n v="0"/>
    <n v="3603.4"/>
  </r>
  <r>
    <x v="0"/>
    <x v="11"/>
    <m/>
    <x v="0"/>
    <x v="0"/>
    <x v="22"/>
    <n v="1"/>
    <x v="22"/>
    <s v="B"/>
    <s v=""/>
    <n v="-38802.65"/>
    <n v="0"/>
    <n v="-38802.65"/>
  </r>
  <r>
    <x v="0"/>
    <x v="11"/>
    <m/>
    <x v="1"/>
    <x v="1"/>
    <x v="22"/>
    <n v="2"/>
    <x v="22"/>
    <s v="B"/>
    <s v=""/>
    <n v="-3602.87"/>
    <n v="0"/>
    <n v="-3602.87"/>
  </r>
  <r>
    <x v="0"/>
    <x v="11"/>
    <m/>
    <x v="0"/>
    <x v="0"/>
    <x v="23"/>
    <n v="1"/>
    <x v="23"/>
    <s v="B"/>
    <s v=""/>
    <n v="922407.92"/>
    <n v="0"/>
    <n v="922407.92"/>
  </r>
  <r>
    <x v="0"/>
    <x v="11"/>
    <m/>
    <x v="1"/>
    <x v="1"/>
    <x v="23"/>
    <n v="2"/>
    <x v="23"/>
    <s v="B"/>
    <s v=""/>
    <n v="127998.33"/>
    <n v="0"/>
    <n v="127998.33"/>
  </r>
  <r>
    <x v="0"/>
    <x v="11"/>
    <m/>
    <x v="2"/>
    <x v="2"/>
    <x v="23"/>
    <n v="50"/>
    <x v="23"/>
    <s v="B"/>
    <s v=""/>
    <n v="27949.5"/>
    <n v="0"/>
    <n v="27949.5"/>
  </r>
  <r>
    <x v="0"/>
    <x v="11"/>
    <m/>
    <x v="0"/>
    <x v="0"/>
    <x v="24"/>
    <n v="1"/>
    <x v="24"/>
    <s v="B"/>
    <s v=""/>
    <n v="-751680.24"/>
    <n v="-15675.72"/>
    <n v="-767355.96"/>
  </r>
  <r>
    <x v="0"/>
    <x v="11"/>
    <m/>
    <x v="1"/>
    <x v="1"/>
    <x v="24"/>
    <n v="2"/>
    <x v="24"/>
    <s v="B"/>
    <s v=""/>
    <n v="-111642.24000000001"/>
    <n v="-1563.66"/>
    <n v="-113205.9"/>
  </r>
  <r>
    <x v="0"/>
    <x v="11"/>
    <m/>
    <x v="2"/>
    <x v="2"/>
    <x v="24"/>
    <n v="50"/>
    <x v="24"/>
    <s v="B"/>
    <s v=""/>
    <n v="-39765.33"/>
    <n v="-4553.5200000000004"/>
    <n v="-44318.85"/>
  </r>
  <r>
    <x v="0"/>
    <x v="12"/>
    <m/>
    <x v="0"/>
    <x v="0"/>
    <x v="25"/>
    <n v="1"/>
    <x v="25"/>
    <s v="B"/>
    <s v="GOODWILL"/>
    <n v="10000"/>
    <n v="0"/>
    <n v="10000"/>
  </r>
  <r>
    <x v="0"/>
    <x v="11"/>
    <m/>
    <x v="0"/>
    <x v="0"/>
    <x v="26"/>
    <n v="1"/>
    <x v="26"/>
    <s v="B"/>
    <s v=""/>
    <n v="180345.65"/>
    <n v="0"/>
    <n v="180345.65"/>
  </r>
  <r>
    <x v="0"/>
    <x v="11"/>
    <m/>
    <x v="1"/>
    <x v="1"/>
    <x v="26"/>
    <n v="2"/>
    <x v="26"/>
    <s v="B"/>
    <s v=""/>
    <n v="8360.14"/>
    <n v="0"/>
    <n v="8360.14"/>
  </r>
  <r>
    <x v="0"/>
    <x v="11"/>
    <m/>
    <x v="0"/>
    <x v="0"/>
    <x v="27"/>
    <n v="1"/>
    <x v="27"/>
    <s v="B"/>
    <s v=""/>
    <n v="-165011.04"/>
    <n v="-2359.14"/>
    <n v="-167370.18"/>
  </r>
  <r>
    <x v="0"/>
    <x v="11"/>
    <m/>
    <x v="1"/>
    <x v="1"/>
    <x v="27"/>
    <n v="2"/>
    <x v="27"/>
    <s v="B"/>
    <s v=""/>
    <n v="-5573.42"/>
    <n v="-1393.38"/>
    <n v="-6966.8"/>
  </r>
  <r>
    <x v="0"/>
    <x v="11"/>
    <m/>
    <x v="0"/>
    <x v="0"/>
    <x v="28"/>
    <n v="1"/>
    <x v="28"/>
    <s v="B"/>
    <s v=""/>
    <n v="600000"/>
    <n v="0"/>
    <n v="600000"/>
  </r>
  <r>
    <x v="0"/>
    <x v="11"/>
    <m/>
    <x v="0"/>
    <x v="0"/>
    <x v="29"/>
    <n v="1"/>
    <x v="29"/>
    <s v="B"/>
    <s v=""/>
    <n v="-87500"/>
    <n v="-6249.96"/>
    <n v="-93749.96"/>
  </r>
  <r>
    <x v="0"/>
    <x v="13"/>
    <m/>
    <x v="0"/>
    <x v="0"/>
    <x v="30"/>
    <n v="1"/>
    <x v="30"/>
    <s v="B"/>
    <s v=""/>
    <n v="-451707.84"/>
    <n v="141621.69"/>
    <n v="-310086.15000000002"/>
  </r>
  <r>
    <x v="0"/>
    <x v="13"/>
    <m/>
    <x v="0"/>
    <x v="0"/>
    <x v="31"/>
    <n v="1"/>
    <x v="31"/>
    <s v="B"/>
    <s v=""/>
    <n v="0"/>
    <n v="0"/>
    <n v="0"/>
  </r>
  <r>
    <x v="0"/>
    <x v="14"/>
    <m/>
    <x v="0"/>
    <x v="0"/>
    <x v="32"/>
    <n v="1"/>
    <x v="32"/>
    <s v="B"/>
    <s v="NOTE PAYABLE W &amp; J"/>
    <n v="-193786.3"/>
    <n v="193786.3"/>
    <n v="0"/>
  </r>
  <r>
    <x v="0"/>
    <x v="14"/>
    <m/>
    <x v="0"/>
    <x v="0"/>
    <x v="33"/>
    <n v="1"/>
    <x v="33"/>
    <s v="B"/>
    <s v="NOTES PAYABLE-FSB 20YR ST"/>
    <n v="-19755.63"/>
    <n v="0"/>
    <n v="-19755.63"/>
  </r>
  <r>
    <x v="0"/>
    <x v="14"/>
    <m/>
    <x v="0"/>
    <x v="0"/>
    <x v="34"/>
    <n v="1"/>
    <x v="34"/>
    <s v="B"/>
    <s v="NOTES PAYABLE-FSB 20YR LT"/>
    <n v="-307922.95"/>
    <n v="66051.5"/>
    <n v="-241871.45"/>
  </r>
  <r>
    <x v="0"/>
    <x v="15"/>
    <m/>
    <x v="0"/>
    <x v="0"/>
    <x v="35"/>
    <n v="1"/>
    <x v="35"/>
    <s v="B"/>
    <s v=""/>
    <n v="-48475.74"/>
    <n v="-249.1"/>
    <n v="-48724.84"/>
  </r>
  <r>
    <x v="0"/>
    <x v="15"/>
    <m/>
    <x v="0"/>
    <x v="0"/>
    <x v="36"/>
    <n v="1"/>
    <x v="36"/>
    <s v="B"/>
    <s v=""/>
    <n v="0"/>
    <n v="0"/>
    <n v="0"/>
  </r>
  <r>
    <x v="0"/>
    <x v="15"/>
    <m/>
    <x v="0"/>
    <x v="0"/>
    <x v="37"/>
    <n v="1"/>
    <x v="37"/>
    <s v="B"/>
    <s v=""/>
    <n v="-9636.25"/>
    <n v="-827.5"/>
    <n v="-10463.75"/>
  </r>
  <r>
    <x v="0"/>
    <x v="15"/>
    <m/>
    <x v="0"/>
    <x v="0"/>
    <x v="38"/>
    <n v="1"/>
    <x v="38"/>
    <s v="B"/>
    <s v="ACCRUED HEALTH INSURANCE"/>
    <n v="-130845.01"/>
    <n v="72441.83"/>
    <n v="-58403.18"/>
  </r>
  <r>
    <x v="0"/>
    <x v="15"/>
    <m/>
    <x v="0"/>
    <x v="0"/>
    <x v="39"/>
    <n v="1"/>
    <x v="39"/>
    <s v="B"/>
    <s v=""/>
    <n v="0"/>
    <n v="15.08"/>
    <n v="15.08"/>
  </r>
  <r>
    <x v="0"/>
    <x v="15"/>
    <m/>
    <x v="0"/>
    <x v="0"/>
    <x v="40"/>
    <n v="1"/>
    <x v="40"/>
    <s v="B"/>
    <s v=""/>
    <n v="0"/>
    <n v="0"/>
    <n v="0"/>
  </r>
  <r>
    <x v="0"/>
    <x v="15"/>
    <m/>
    <x v="0"/>
    <x v="0"/>
    <x v="41"/>
    <n v="1"/>
    <x v="41"/>
    <s v="B"/>
    <s v=""/>
    <n v="-51459.37"/>
    <n v="-65004.959999999999"/>
    <n v="-116464.33"/>
  </r>
  <r>
    <x v="0"/>
    <x v="16"/>
    <m/>
    <x v="0"/>
    <x v="0"/>
    <x v="42"/>
    <n v="1"/>
    <x v="42"/>
    <s v="B"/>
    <s v=""/>
    <n v="-1000"/>
    <n v="0"/>
    <n v="-1000"/>
  </r>
  <r>
    <x v="0"/>
    <x v="16"/>
    <m/>
    <x v="0"/>
    <x v="0"/>
    <x v="43"/>
    <n v="1"/>
    <x v="43"/>
    <s v="B"/>
    <s v=""/>
    <n v="-2581208.7200000002"/>
    <n v="0"/>
    <n v="-2581208.7200000002"/>
  </r>
  <r>
    <x v="0"/>
    <x v="16"/>
    <m/>
    <x v="0"/>
    <x v="3"/>
    <x v="44"/>
    <n v="99"/>
    <x v="44"/>
    <s v="B"/>
    <s v="PAID IN CAPITAL"/>
    <n v="-249000"/>
    <n v="0"/>
    <n v="-249000"/>
  </r>
  <r>
    <x v="0"/>
    <x v="16"/>
    <m/>
    <x v="0"/>
    <x v="3"/>
    <x v="45"/>
    <n v="99"/>
    <x v="45"/>
    <s v="B"/>
    <s v=""/>
    <n v="0"/>
    <n v="40000"/>
    <n v="40000"/>
  </r>
  <r>
    <x v="1"/>
    <x v="17"/>
    <s v="20a. Paper"/>
    <x v="0"/>
    <x v="0"/>
    <x v="46"/>
    <n v="1"/>
    <x v="46"/>
    <s v="P"/>
    <s v=""/>
    <n v="0"/>
    <n v="20387.89"/>
    <n v="20387.89"/>
  </r>
  <r>
    <x v="1"/>
    <x v="17"/>
    <s v="20a. Paper"/>
    <x v="1"/>
    <x v="1"/>
    <x v="46"/>
    <n v="2"/>
    <x v="46"/>
    <s v="P"/>
    <s v=""/>
    <n v="0"/>
    <n v="23582.06"/>
    <n v="23582.06"/>
  </r>
  <r>
    <x v="1"/>
    <x v="18"/>
    <s v="1. Sales"/>
    <x v="0"/>
    <x v="0"/>
    <x v="47"/>
    <n v="1"/>
    <x v="47"/>
    <s v="P"/>
    <s v=""/>
    <n v="0"/>
    <n v="-2261060.6800000002"/>
    <n v="-2261060.6800000002"/>
  </r>
  <r>
    <x v="1"/>
    <x v="18"/>
    <s v="1. Sales"/>
    <x v="1"/>
    <x v="1"/>
    <x v="47"/>
    <n v="2"/>
    <x v="47"/>
    <s v="P"/>
    <s v=""/>
    <n v="0"/>
    <n v="-1512908.48"/>
    <n v="-1512908.48"/>
  </r>
  <r>
    <x v="1"/>
    <x v="18"/>
    <s v="1. Sales"/>
    <x v="2"/>
    <x v="2"/>
    <x v="47"/>
    <n v="50"/>
    <x v="47"/>
    <s v="P"/>
    <s v=""/>
    <n v="0"/>
    <n v="-962160.67"/>
    <n v="-962160.67"/>
  </r>
  <r>
    <x v="1"/>
    <x v="18"/>
    <s v="1. Sales"/>
    <x v="0"/>
    <x v="0"/>
    <x v="48"/>
    <n v="1"/>
    <x v="48"/>
    <s v="P"/>
    <s v=""/>
    <n v="0"/>
    <n v="-3851.03"/>
    <n v="-3851.03"/>
  </r>
  <r>
    <x v="1"/>
    <x v="18"/>
    <s v="1. Sales"/>
    <x v="1"/>
    <x v="1"/>
    <x v="48"/>
    <n v="2"/>
    <x v="48"/>
    <s v="P"/>
    <s v=""/>
    <n v="0"/>
    <n v="-8382.26"/>
    <n v="-8382.26"/>
  </r>
  <r>
    <x v="1"/>
    <x v="18"/>
    <s v="1. Sales"/>
    <x v="2"/>
    <x v="2"/>
    <x v="48"/>
    <n v="50"/>
    <x v="48"/>
    <s v="P"/>
    <s v=""/>
    <n v="0"/>
    <n v="0"/>
    <n v="0"/>
  </r>
  <r>
    <x v="1"/>
    <x v="18"/>
    <s v="1. Sales"/>
    <x v="0"/>
    <x v="0"/>
    <x v="49"/>
    <n v="1"/>
    <x v="49"/>
    <s v="P"/>
    <s v=""/>
    <n v="0"/>
    <n v="31735.48"/>
    <n v="31735.48"/>
  </r>
  <r>
    <x v="1"/>
    <x v="18"/>
    <s v="1. Sales"/>
    <x v="1"/>
    <x v="1"/>
    <x v="49"/>
    <n v="2"/>
    <x v="49"/>
    <s v="P"/>
    <s v=""/>
    <n v="0"/>
    <n v="21096.81"/>
    <n v="21096.81"/>
  </r>
  <r>
    <x v="1"/>
    <x v="18"/>
    <s v="1. Sales"/>
    <x v="0"/>
    <x v="3"/>
    <x v="49"/>
    <n v="99"/>
    <x v="49"/>
    <s v="P"/>
    <s v=""/>
    <n v="0"/>
    <n v="0"/>
    <n v="0"/>
  </r>
  <r>
    <x v="1"/>
    <x v="18"/>
    <s v="1. Sales"/>
    <x v="0"/>
    <x v="0"/>
    <x v="50"/>
    <n v="1"/>
    <x v="50"/>
    <s v="P"/>
    <s v="SALES REBATE DISCOUNTS"/>
    <n v="0"/>
    <n v="343.2"/>
    <n v="343.2"/>
  </r>
  <r>
    <x v="1"/>
    <x v="19"/>
    <s v="8. SG&amp;A"/>
    <x v="1"/>
    <x v="1"/>
    <x v="51"/>
    <n v="2"/>
    <x v="51"/>
    <s v="P"/>
    <s v=""/>
    <n v="0"/>
    <n v="4629.16"/>
    <n v="4629.16"/>
  </r>
  <r>
    <x v="1"/>
    <x v="19"/>
    <s v="8. SG&amp;A"/>
    <x v="0"/>
    <x v="3"/>
    <x v="51"/>
    <n v="99"/>
    <x v="51"/>
    <s v="P"/>
    <s v=""/>
    <n v="0"/>
    <n v="202.17"/>
    <n v="202.17"/>
  </r>
  <r>
    <x v="1"/>
    <x v="17"/>
    <s v="20. Paper"/>
    <x v="0"/>
    <x v="0"/>
    <x v="52"/>
    <n v="1"/>
    <x v="52"/>
    <s v="P"/>
    <s v=""/>
    <n v="0"/>
    <n v="898525.97"/>
    <n v="898525.97"/>
  </r>
  <r>
    <x v="1"/>
    <x v="17"/>
    <s v="20. Paper"/>
    <x v="1"/>
    <x v="1"/>
    <x v="52"/>
    <n v="2"/>
    <x v="52"/>
    <s v="P"/>
    <s v=""/>
    <n v="0"/>
    <n v="656720.71"/>
    <n v="656720.71"/>
  </r>
  <r>
    <x v="1"/>
    <x v="17"/>
    <s v="21. Carbon"/>
    <x v="0"/>
    <x v="0"/>
    <x v="53"/>
    <n v="1"/>
    <x v="53"/>
    <s v="P"/>
    <s v=""/>
    <n v="0"/>
    <n v="1184.6099999999999"/>
    <n v="1184.6099999999999"/>
  </r>
  <r>
    <x v="1"/>
    <x v="17"/>
    <s v="22. Cartons"/>
    <x v="0"/>
    <x v="0"/>
    <x v="54"/>
    <n v="1"/>
    <x v="54"/>
    <s v="P"/>
    <s v=""/>
    <n v="0"/>
    <n v="41215.53"/>
    <n v="41215.53"/>
  </r>
  <r>
    <x v="1"/>
    <x v="17"/>
    <s v="22. Cartons"/>
    <x v="1"/>
    <x v="1"/>
    <x v="54"/>
    <n v="2"/>
    <x v="54"/>
    <s v="P"/>
    <s v=""/>
    <n v="0"/>
    <n v="35491.57"/>
    <n v="35491.57"/>
  </r>
  <r>
    <x v="1"/>
    <x v="17"/>
    <s v="23. Ink"/>
    <x v="0"/>
    <x v="0"/>
    <x v="55"/>
    <n v="1"/>
    <x v="55"/>
    <s v="P"/>
    <s v=""/>
    <n v="0"/>
    <n v="30890.26"/>
    <n v="30890.26"/>
  </r>
  <r>
    <x v="1"/>
    <x v="17"/>
    <s v="23. Ink"/>
    <x v="1"/>
    <x v="1"/>
    <x v="55"/>
    <n v="2"/>
    <x v="55"/>
    <s v="P"/>
    <s v=""/>
    <n v="0"/>
    <n v="8441.74"/>
    <n v="8441.74"/>
  </r>
  <r>
    <x v="1"/>
    <x v="17"/>
    <s v="24. Plates"/>
    <x v="1"/>
    <x v="1"/>
    <x v="56"/>
    <n v="1"/>
    <x v="56"/>
    <s v="P"/>
    <s v=""/>
    <n v="0"/>
    <n v="49422.12"/>
    <n v="49422.12"/>
  </r>
  <r>
    <x v="1"/>
    <x v="17"/>
    <s v="24. Plates"/>
    <x v="0"/>
    <x v="0"/>
    <x v="56"/>
    <n v="2"/>
    <x v="56"/>
    <s v="P"/>
    <s v=""/>
    <n v="0"/>
    <n v="15851.79"/>
    <n v="15851.79"/>
  </r>
  <r>
    <x v="1"/>
    <x v="17"/>
    <s v="25. Supplies"/>
    <x v="1"/>
    <x v="1"/>
    <x v="57"/>
    <n v="1"/>
    <x v="57"/>
    <s v="P"/>
    <s v=""/>
    <n v="0"/>
    <n v="56554.28"/>
    <n v="56554.28"/>
  </r>
  <r>
    <x v="1"/>
    <x v="17"/>
    <s v="25. Supplies"/>
    <x v="2"/>
    <x v="2"/>
    <x v="57"/>
    <n v="2"/>
    <x v="57"/>
    <s v="P"/>
    <s v=""/>
    <n v="0"/>
    <n v="22188.07"/>
    <n v="22188.07"/>
  </r>
  <r>
    <x v="1"/>
    <x v="17"/>
    <s v="25. Supplies"/>
    <x v="1"/>
    <x v="1"/>
    <x v="57"/>
    <n v="50"/>
    <x v="57"/>
    <s v="P"/>
    <s v=""/>
    <n v="0"/>
    <n v="21662.42"/>
    <n v="21662.42"/>
  </r>
  <r>
    <x v="1"/>
    <x v="17"/>
    <s v="25. Supplies"/>
    <x v="0"/>
    <x v="0"/>
    <x v="58"/>
    <n v="2"/>
    <x v="58"/>
    <s v="P"/>
    <s v="COGS-SUPPLIES"/>
    <n v="0"/>
    <n v="66787.509999999995"/>
    <n v="66787.509999999995"/>
  </r>
  <r>
    <x v="1"/>
    <x v="17"/>
    <s v="26. Integ Mat"/>
    <x v="0"/>
    <x v="0"/>
    <x v="59"/>
    <n v="1"/>
    <x v="59"/>
    <s v="P"/>
    <s v="COGS-TAMARACK &amp; HUNKLER"/>
    <n v="0"/>
    <n v="37171.24"/>
    <n v="37171.24"/>
  </r>
  <r>
    <x v="1"/>
    <x v="20"/>
    <s v="28. Envelops"/>
    <x v="0"/>
    <x v="0"/>
    <x v="60"/>
    <n v="1"/>
    <x v="60"/>
    <s v="P"/>
    <s v=""/>
    <n v="0"/>
    <n v="9098.17"/>
    <n v="9098.17"/>
  </r>
  <r>
    <x v="1"/>
    <x v="20"/>
    <s v="28. Envelops"/>
    <x v="0"/>
    <x v="0"/>
    <x v="61"/>
    <n v="1"/>
    <x v="61"/>
    <s v="P"/>
    <s v=""/>
    <n v="0"/>
    <n v="2610"/>
    <n v="2610"/>
  </r>
  <r>
    <x v="1"/>
    <x v="19"/>
    <s v="30. Insurance"/>
    <x v="0"/>
    <x v="0"/>
    <x v="62"/>
    <n v="1"/>
    <x v="62"/>
    <s v="P"/>
    <s v=""/>
    <n v="0"/>
    <n v="26538.77"/>
    <n v="26538.77"/>
  </r>
  <r>
    <x v="1"/>
    <x v="19"/>
    <s v="30. Insurance"/>
    <x v="0"/>
    <x v="3"/>
    <x v="62"/>
    <n v="99"/>
    <x v="62"/>
    <s v="P"/>
    <s v=""/>
    <n v="0"/>
    <n v="35341.54"/>
    <n v="35341.54"/>
  </r>
  <r>
    <x v="1"/>
    <x v="21"/>
    <m/>
    <x v="0"/>
    <x v="0"/>
    <x v="63"/>
    <n v="1"/>
    <x v="63"/>
    <s v="P"/>
    <s v="CARETAKING-PRODUCTION"/>
    <n v="0"/>
    <n v="3063.96"/>
    <n v="3063.96"/>
  </r>
  <r>
    <x v="1"/>
    <x v="21"/>
    <m/>
    <x v="1"/>
    <x v="1"/>
    <x v="63"/>
    <n v="2"/>
    <x v="63"/>
    <s v="P"/>
    <s v="CARETAKING-PRODUCTION"/>
    <n v="0"/>
    <n v="4113.3100000000004"/>
    <n v="4113.3100000000004"/>
  </r>
  <r>
    <x v="1"/>
    <x v="21"/>
    <m/>
    <x v="2"/>
    <x v="2"/>
    <x v="63"/>
    <n v="50"/>
    <x v="63"/>
    <s v="P"/>
    <s v="CARETAKING-PRODUCTION"/>
    <n v="0"/>
    <n v="1569.48"/>
    <n v="1569.48"/>
  </r>
  <r>
    <x v="1"/>
    <x v="21"/>
    <m/>
    <x v="1"/>
    <x v="1"/>
    <x v="64"/>
    <n v="2"/>
    <x v="64"/>
    <s v="P"/>
    <s v=""/>
    <n v="0"/>
    <n v="48000"/>
    <n v="48000"/>
  </r>
  <r>
    <x v="1"/>
    <x v="21"/>
    <m/>
    <x v="2"/>
    <x v="2"/>
    <x v="64"/>
    <n v="50"/>
    <x v="64"/>
    <s v="P"/>
    <s v=""/>
    <n v="0"/>
    <n v="15000"/>
    <n v="15000"/>
  </r>
  <r>
    <x v="1"/>
    <x v="21"/>
    <m/>
    <x v="0"/>
    <x v="0"/>
    <x v="65"/>
    <n v="1"/>
    <x v="65"/>
    <s v="P"/>
    <s v=""/>
    <n v="0"/>
    <n v="48867.5"/>
    <n v="48867.5"/>
  </r>
  <r>
    <x v="1"/>
    <x v="21"/>
    <m/>
    <x v="1"/>
    <x v="1"/>
    <x v="65"/>
    <n v="2"/>
    <x v="65"/>
    <s v="P"/>
    <s v=""/>
    <n v="0"/>
    <n v="17564.43"/>
    <n v="17564.43"/>
  </r>
  <r>
    <x v="1"/>
    <x v="21"/>
    <m/>
    <x v="2"/>
    <x v="2"/>
    <x v="65"/>
    <n v="50"/>
    <x v="65"/>
    <s v="P"/>
    <s v=""/>
    <n v="0"/>
    <n v="35479.599999999999"/>
    <n v="35479.599999999999"/>
  </r>
  <r>
    <x v="1"/>
    <x v="21"/>
    <m/>
    <x v="0"/>
    <x v="3"/>
    <x v="65"/>
    <n v="99"/>
    <x v="65"/>
    <s v="P"/>
    <s v=""/>
    <n v="0"/>
    <n v="6711.18"/>
    <n v="6711.18"/>
  </r>
  <r>
    <x v="1"/>
    <x v="22"/>
    <m/>
    <x v="0"/>
    <x v="0"/>
    <x v="66"/>
    <n v="1"/>
    <x v="66"/>
    <s v="P"/>
    <s v=""/>
    <n v="0"/>
    <n v="195400.87"/>
    <n v="195400.87"/>
  </r>
  <r>
    <x v="1"/>
    <x v="22"/>
    <m/>
    <x v="1"/>
    <x v="1"/>
    <x v="66"/>
    <n v="2"/>
    <x v="66"/>
    <s v="P"/>
    <s v=""/>
    <n v="0"/>
    <n v="132082.51999999999"/>
    <n v="132082.51999999999"/>
  </r>
  <r>
    <x v="1"/>
    <x v="22"/>
    <m/>
    <x v="2"/>
    <x v="2"/>
    <x v="66"/>
    <n v="50"/>
    <x v="66"/>
    <s v="P"/>
    <s v=""/>
    <n v="0"/>
    <n v="192924.91"/>
    <n v="192924.91"/>
  </r>
  <r>
    <x v="1"/>
    <x v="22"/>
    <m/>
    <x v="0"/>
    <x v="0"/>
    <x v="67"/>
    <n v="1"/>
    <x v="67"/>
    <s v="P"/>
    <s v=""/>
    <n v="0"/>
    <n v="11856.83"/>
    <n v="11856.83"/>
  </r>
  <r>
    <x v="1"/>
    <x v="22"/>
    <m/>
    <x v="1"/>
    <x v="1"/>
    <x v="67"/>
    <n v="2"/>
    <x v="67"/>
    <s v="P"/>
    <s v=""/>
    <n v="0"/>
    <n v="1885.59"/>
    <n v="1885.59"/>
  </r>
  <r>
    <x v="1"/>
    <x v="22"/>
    <m/>
    <x v="2"/>
    <x v="2"/>
    <x v="67"/>
    <n v="50"/>
    <x v="67"/>
    <s v="P"/>
    <s v=""/>
    <n v="0"/>
    <n v="16086.61"/>
    <n v="16086.61"/>
  </r>
  <r>
    <x v="1"/>
    <x v="22"/>
    <m/>
    <x v="0"/>
    <x v="0"/>
    <x v="68"/>
    <n v="1"/>
    <x v="68"/>
    <s v="P"/>
    <s v=""/>
    <n v="0"/>
    <n v="13301.93"/>
    <n v="13301.93"/>
  </r>
  <r>
    <x v="1"/>
    <x v="22"/>
    <m/>
    <x v="1"/>
    <x v="1"/>
    <x v="68"/>
    <n v="2"/>
    <x v="68"/>
    <s v="P"/>
    <s v=""/>
    <n v="0"/>
    <n v="9474.5"/>
    <n v="9474.5"/>
  </r>
  <r>
    <x v="1"/>
    <x v="22"/>
    <m/>
    <x v="2"/>
    <x v="2"/>
    <x v="68"/>
    <n v="50"/>
    <x v="68"/>
    <s v="P"/>
    <s v=""/>
    <n v="0"/>
    <n v="3777.6"/>
    <n v="3777.6"/>
  </r>
  <r>
    <x v="1"/>
    <x v="22"/>
    <m/>
    <x v="0"/>
    <x v="0"/>
    <x v="69"/>
    <n v="1"/>
    <x v="69"/>
    <s v="P"/>
    <s v=""/>
    <n v="0"/>
    <n v="4738.3999999999996"/>
    <n v="4738.3999999999996"/>
  </r>
  <r>
    <x v="1"/>
    <x v="22"/>
    <m/>
    <x v="1"/>
    <x v="1"/>
    <x v="69"/>
    <n v="2"/>
    <x v="69"/>
    <s v="P"/>
    <s v=""/>
    <n v="0"/>
    <n v="3327.68"/>
    <n v="3327.68"/>
  </r>
  <r>
    <x v="1"/>
    <x v="22"/>
    <m/>
    <x v="2"/>
    <x v="2"/>
    <x v="69"/>
    <n v="50"/>
    <x v="69"/>
    <s v="P"/>
    <s v=""/>
    <n v="0"/>
    <n v="3916.4"/>
    <n v="3916.4"/>
  </r>
  <r>
    <x v="1"/>
    <x v="22"/>
    <m/>
    <x v="0"/>
    <x v="0"/>
    <x v="70"/>
    <n v="1"/>
    <x v="70"/>
    <s v="P"/>
    <s v=""/>
    <n v="0"/>
    <n v="18093.38"/>
    <n v="18093.38"/>
  </r>
  <r>
    <x v="1"/>
    <x v="22"/>
    <m/>
    <x v="1"/>
    <x v="1"/>
    <x v="70"/>
    <n v="2"/>
    <x v="70"/>
    <s v="P"/>
    <s v=""/>
    <n v="0"/>
    <n v="26890.05"/>
    <n v="26890.05"/>
  </r>
  <r>
    <x v="1"/>
    <x v="22"/>
    <m/>
    <x v="2"/>
    <x v="2"/>
    <x v="70"/>
    <n v="50"/>
    <x v="70"/>
    <s v="P"/>
    <s v=""/>
    <n v="0"/>
    <n v="-8500.32"/>
    <n v="-8500.32"/>
  </r>
  <r>
    <x v="1"/>
    <x v="22"/>
    <m/>
    <x v="0"/>
    <x v="0"/>
    <x v="71"/>
    <n v="1"/>
    <x v="71"/>
    <s v="P"/>
    <s v=""/>
    <n v="0"/>
    <n v="1118.25"/>
    <n v="1118.25"/>
  </r>
  <r>
    <x v="1"/>
    <x v="22"/>
    <m/>
    <x v="1"/>
    <x v="1"/>
    <x v="71"/>
    <n v="2"/>
    <x v="71"/>
    <s v="P"/>
    <s v=""/>
    <n v="0"/>
    <n v="210.75"/>
    <n v="210.75"/>
  </r>
  <r>
    <x v="1"/>
    <x v="22"/>
    <m/>
    <x v="2"/>
    <x v="2"/>
    <x v="71"/>
    <n v="50"/>
    <x v="71"/>
    <s v="P"/>
    <s v=""/>
    <n v="0"/>
    <n v="30"/>
    <n v="30"/>
  </r>
  <r>
    <x v="1"/>
    <x v="22"/>
    <m/>
    <x v="0"/>
    <x v="0"/>
    <x v="72"/>
    <n v="1"/>
    <x v="72"/>
    <s v="P"/>
    <s v=""/>
    <n v="0"/>
    <n v="1260"/>
    <n v="1260"/>
  </r>
  <r>
    <x v="1"/>
    <x v="22"/>
    <m/>
    <x v="1"/>
    <x v="1"/>
    <x v="72"/>
    <n v="2"/>
    <x v="72"/>
    <s v="P"/>
    <s v=""/>
    <n v="0"/>
    <n v="448"/>
    <n v="448"/>
  </r>
  <r>
    <x v="1"/>
    <x v="22"/>
    <m/>
    <x v="2"/>
    <x v="2"/>
    <x v="72"/>
    <n v="50"/>
    <x v="72"/>
    <s v="P"/>
    <s v=""/>
    <n v="0"/>
    <n v="800"/>
    <n v="800"/>
  </r>
  <r>
    <x v="1"/>
    <x v="22"/>
    <m/>
    <x v="0"/>
    <x v="0"/>
    <x v="73"/>
    <n v="1"/>
    <x v="73"/>
    <s v="P"/>
    <s v=""/>
    <n v="0"/>
    <n v="480"/>
    <n v="480"/>
  </r>
  <r>
    <x v="1"/>
    <x v="22"/>
    <m/>
    <x v="1"/>
    <x v="1"/>
    <x v="73"/>
    <n v="2"/>
    <x v="73"/>
    <s v="P"/>
    <s v=""/>
    <n v="0"/>
    <n v="672"/>
    <n v="672"/>
  </r>
  <r>
    <x v="1"/>
    <x v="22"/>
    <m/>
    <x v="2"/>
    <x v="2"/>
    <x v="73"/>
    <n v="50"/>
    <x v="73"/>
    <s v="P"/>
    <s v=""/>
    <n v="0"/>
    <n v="480"/>
    <n v="480"/>
  </r>
  <r>
    <x v="1"/>
    <x v="22"/>
    <m/>
    <x v="1"/>
    <x v="1"/>
    <x v="74"/>
    <n v="2"/>
    <x v="74"/>
    <s v="P"/>
    <s v=""/>
    <n v="0"/>
    <n v="35623.519999999997"/>
    <n v="35623.519999999997"/>
  </r>
  <r>
    <x v="1"/>
    <x v="22"/>
    <m/>
    <x v="1"/>
    <x v="1"/>
    <x v="75"/>
    <n v="2"/>
    <x v="75"/>
    <s v="P"/>
    <s v=""/>
    <n v="0"/>
    <n v="54.76"/>
    <n v="54.76"/>
  </r>
  <r>
    <x v="1"/>
    <x v="22"/>
    <m/>
    <x v="1"/>
    <x v="1"/>
    <x v="76"/>
    <n v="2"/>
    <x v="76"/>
    <s v="P"/>
    <s v=""/>
    <n v="0"/>
    <n v="2504.83"/>
    <n v="2504.83"/>
  </r>
  <r>
    <x v="1"/>
    <x v="22"/>
    <m/>
    <x v="1"/>
    <x v="1"/>
    <x v="77"/>
    <n v="2"/>
    <x v="77"/>
    <s v="P"/>
    <s v=""/>
    <n v="0"/>
    <n v="939.6"/>
    <n v="939.6"/>
  </r>
  <r>
    <x v="1"/>
    <x v="22"/>
    <m/>
    <x v="0"/>
    <x v="3"/>
    <x v="78"/>
    <n v="99"/>
    <x v="78"/>
    <s v="P"/>
    <s v="COMP DEPT WAGES"/>
    <n v="0"/>
    <n v="0"/>
    <n v="0"/>
  </r>
  <r>
    <x v="1"/>
    <x v="22"/>
    <m/>
    <x v="0"/>
    <x v="3"/>
    <x v="79"/>
    <n v="99"/>
    <x v="79"/>
    <s v="P"/>
    <s v="COMP DEPT VACATION"/>
    <n v="0"/>
    <n v="0"/>
    <n v="0"/>
  </r>
  <r>
    <x v="1"/>
    <x v="22"/>
    <m/>
    <x v="0"/>
    <x v="3"/>
    <x v="80"/>
    <n v="99"/>
    <x v="80"/>
    <s v="P"/>
    <s v="COMP DEPT HOLIDAY"/>
    <n v="0"/>
    <n v="0"/>
    <n v="0"/>
  </r>
  <r>
    <x v="1"/>
    <x v="23"/>
    <m/>
    <x v="0"/>
    <x v="0"/>
    <x v="81"/>
    <n v="1"/>
    <x v="81"/>
    <s v="P"/>
    <s v=""/>
    <n v="0"/>
    <n v="31420.42"/>
    <n v="31420.42"/>
  </r>
  <r>
    <x v="1"/>
    <x v="23"/>
    <m/>
    <x v="1"/>
    <x v="1"/>
    <x v="81"/>
    <n v="2"/>
    <x v="81"/>
    <s v="P"/>
    <s v=""/>
    <n v="0"/>
    <n v="39840.400000000001"/>
    <n v="39840.400000000001"/>
  </r>
  <r>
    <x v="1"/>
    <x v="23"/>
    <m/>
    <x v="2"/>
    <x v="2"/>
    <x v="81"/>
    <n v="50"/>
    <x v="81"/>
    <s v="P"/>
    <s v=""/>
    <n v="0"/>
    <n v="28614.880000000001"/>
    <n v="28614.880000000001"/>
  </r>
  <r>
    <x v="1"/>
    <x v="22"/>
    <m/>
    <x v="0"/>
    <x v="0"/>
    <x v="82"/>
    <n v="1"/>
    <x v="82"/>
    <s v="P"/>
    <s v="BINDERY WAGES"/>
    <n v="0"/>
    <n v="88431.96"/>
    <n v="88431.96"/>
  </r>
  <r>
    <x v="1"/>
    <x v="22"/>
    <m/>
    <x v="0"/>
    <x v="0"/>
    <x v="83"/>
    <n v="1"/>
    <x v="83"/>
    <s v="P"/>
    <s v="BINDERY O.T. WAGES"/>
    <n v="0"/>
    <n v="3399.18"/>
    <n v="3399.18"/>
  </r>
  <r>
    <x v="1"/>
    <x v="22"/>
    <m/>
    <x v="0"/>
    <x v="0"/>
    <x v="84"/>
    <n v="1"/>
    <x v="84"/>
    <s v="P"/>
    <s v="BINDERY VAC WAGES"/>
    <n v="0"/>
    <n v="3773.1"/>
    <n v="3773.1"/>
  </r>
  <r>
    <x v="1"/>
    <x v="22"/>
    <m/>
    <x v="0"/>
    <x v="0"/>
    <x v="85"/>
    <n v="1"/>
    <x v="85"/>
    <s v="P"/>
    <s v="BINDERY HOLIDAY WAGES"/>
    <n v="0"/>
    <n v="1949.6"/>
    <n v="1949.6"/>
  </r>
  <r>
    <x v="1"/>
    <x v="23"/>
    <m/>
    <x v="0"/>
    <x v="0"/>
    <x v="86"/>
    <n v="1"/>
    <x v="86"/>
    <s v="P"/>
    <s v=""/>
    <n v="0"/>
    <n v="15107.15"/>
    <n v="15107.15"/>
  </r>
  <r>
    <x v="1"/>
    <x v="23"/>
    <m/>
    <x v="1"/>
    <x v="1"/>
    <x v="86"/>
    <n v="2"/>
    <x v="86"/>
    <s v="P"/>
    <s v=""/>
    <n v="0"/>
    <n v="24574.86"/>
    <n v="24574.86"/>
  </r>
  <r>
    <x v="1"/>
    <x v="23"/>
    <m/>
    <x v="0"/>
    <x v="0"/>
    <x v="87"/>
    <n v="1"/>
    <x v="87"/>
    <s v="P"/>
    <s v=""/>
    <n v="0"/>
    <n v="19.54"/>
    <n v="19.54"/>
  </r>
  <r>
    <x v="1"/>
    <x v="23"/>
    <m/>
    <x v="0"/>
    <x v="0"/>
    <x v="88"/>
    <n v="1"/>
    <x v="88"/>
    <s v="P"/>
    <s v=""/>
    <n v="0"/>
    <n v="1999.17"/>
    <n v="1999.17"/>
  </r>
  <r>
    <x v="1"/>
    <x v="23"/>
    <m/>
    <x v="1"/>
    <x v="1"/>
    <x v="88"/>
    <n v="2"/>
    <x v="88"/>
    <s v="P"/>
    <s v=""/>
    <n v="0"/>
    <n v="610.4"/>
    <n v="610.4"/>
  </r>
  <r>
    <x v="1"/>
    <x v="23"/>
    <m/>
    <x v="0"/>
    <x v="0"/>
    <x v="89"/>
    <n v="1"/>
    <x v="89"/>
    <s v="P"/>
    <s v=""/>
    <n v="0"/>
    <n v="409.2"/>
    <n v="409.2"/>
  </r>
  <r>
    <x v="1"/>
    <x v="23"/>
    <m/>
    <x v="1"/>
    <x v="1"/>
    <x v="89"/>
    <n v="2"/>
    <x v="89"/>
    <s v="P"/>
    <s v=""/>
    <n v="0"/>
    <n v="403.2"/>
    <n v="403.2"/>
  </r>
  <r>
    <x v="1"/>
    <x v="23"/>
    <m/>
    <x v="0"/>
    <x v="0"/>
    <x v="90"/>
    <n v="1"/>
    <x v="90"/>
    <s v="P"/>
    <s v=""/>
    <n v="0"/>
    <n v="15699.76"/>
    <n v="15699.76"/>
  </r>
  <r>
    <x v="1"/>
    <x v="23"/>
    <m/>
    <x v="1"/>
    <x v="1"/>
    <x v="90"/>
    <n v="2"/>
    <x v="90"/>
    <s v="P"/>
    <s v=""/>
    <n v="0"/>
    <n v="18393.18"/>
    <n v="18393.18"/>
  </r>
  <r>
    <x v="1"/>
    <x v="23"/>
    <m/>
    <x v="2"/>
    <x v="2"/>
    <x v="90"/>
    <n v="50"/>
    <x v="90"/>
    <s v="P"/>
    <s v=""/>
    <n v="0"/>
    <n v="22463.200000000001"/>
    <n v="22463.200000000001"/>
  </r>
  <r>
    <x v="1"/>
    <x v="23"/>
    <m/>
    <x v="0"/>
    <x v="0"/>
    <x v="91"/>
    <n v="1"/>
    <x v="91"/>
    <s v="P"/>
    <s v=""/>
    <n v="0"/>
    <n v="57.9"/>
    <n v="57.9"/>
  </r>
  <r>
    <x v="1"/>
    <x v="23"/>
    <m/>
    <x v="1"/>
    <x v="1"/>
    <x v="91"/>
    <n v="2"/>
    <x v="91"/>
    <s v="P"/>
    <s v=""/>
    <n v="0"/>
    <n v="1512.92"/>
    <n v="1512.92"/>
  </r>
  <r>
    <x v="1"/>
    <x v="23"/>
    <m/>
    <x v="0"/>
    <x v="0"/>
    <x v="92"/>
    <n v="1"/>
    <x v="92"/>
    <s v="P"/>
    <s v=""/>
    <n v="0"/>
    <n v="1626.65"/>
    <n v="1626.65"/>
  </r>
  <r>
    <x v="1"/>
    <x v="23"/>
    <m/>
    <x v="1"/>
    <x v="1"/>
    <x v="92"/>
    <n v="2"/>
    <x v="92"/>
    <s v="P"/>
    <s v=""/>
    <n v="0"/>
    <n v="1324.85"/>
    <n v="1324.85"/>
  </r>
  <r>
    <x v="1"/>
    <x v="23"/>
    <m/>
    <x v="2"/>
    <x v="2"/>
    <x v="92"/>
    <n v="50"/>
    <x v="92"/>
    <s v="P"/>
    <s v=""/>
    <n v="0"/>
    <n v="2422"/>
    <n v="2422"/>
  </r>
  <r>
    <x v="1"/>
    <x v="23"/>
    <m/>
    <x v="0"/>
    <x v="0"/>
    <x v="93"/>
    <n v="1"/>
    <x v="93"/>
    <s v="P"/>
    <s v=""/>
    <n v="0"/>
    <n v="409.2"/>
    <n v="409.2"/>
  </r>
  <r>
    <x v="1"/>
    <x v="23"/>
    <m/>
    <x v="1"/>
    <x v="1"/>
    <x v="93"/>
    <n v="2"/>
    <x v="93"/>
    <s v="P"/>
    <s v=""/>
    <n v="0"/>
    <n v="463.2"/>
    <n v="463.2"/>
  </r>
  <r>
    <x v="1"/>
    <x v="23"/>
    <m/>
    <x v="2"/>
    <x v="2"/>
    <x v="94"/>
    <n v="50"/>
    <x v="94"/>
    <s v="P"/>
    <s v=""/>
    <n v="0"/>
    <n v="-41085.72"/>
    <n v="-41085.72"/>
  </r>
  <r>
    <x v="1"/>
    <x v="23"/>
    <m/>
    <x v="0"/>
    <x v="3"/>
    <x v="94"/>
    <n v="99"/>
    <x v="94"/>
    <s v="P"/>
    <s v=""/>
    <n v="0"/>
    <n v="48529.51"/>
    <n v="48529.51"/>
  </r>
  <r>
    <x v="1"/>
    <x v="21"/>
    <m/>
    <x v="0"/>
    <x v="0"/>
    <x v="95"/>
    <n v="1"/>
    <x v="95"/>
    <s v="P"/>
    <s v=""/>
    <n v="0"/>
    <n v="0"/>
    <n v="0"/>
  </r>
  <r>
    <x v="1"/>
    <x v="21"/>
    <m/>
    <x v="1"/>
    <x v="1"/>
    <x v="95"/>
    <n v="2"/>
    <x v="95"/>
    <s v="P"/>
    <s v=""/>
    <n v="0"/>
    <n v="0"/>
    <n v="0"/>
  </r>
  <r>
    <x v="1"/>
    <x v="21"/>
    <m/>
    <x v="0"/>
    <x v="0"/>
    <x v="96"/>
    <n v="1"/>
    <x v="96"/>
    <s v="P"/>
    <s v="R &amp; M TRUCK #12"/>
    <n v="0"/>
    <n v="681.79"/>
    <n v="681.79"/>
  </r>
  <r>
    <x v="1"/>
    <x v="21"/>
    <m/>
    <x v="1"/>
    <x v="1"/>
    <x v="96"/>
    <n v="2"/>
    <x v="96"/>
    <s v="P"/>
    <s v="R &amp; M TRUCK #12"/>
    <n v="0"/>
    <n v="374.71"/>
    <n v="374.71"/>
  </r>
  <r>
    <x v="1"/>
    <x v="21"/>
    <m/>
    <x v="0"/>
    <x v="0"/>
    <x v="97"/>
    <n v="1"/>
    <x v="97"/>
    <s v="P"/>
    <s v="R &amp; M TRUCK #13"/>
    <n v="0"/>
    <n v="3035.55"/>
    <n v="3035.55"/>
  </r>
  <r>
    <x v="1"/>
    <x v="22"/>
    <m/>
    <x v="0"/>
    <x v="0"/>
    <x v="98"/>
    <n v="1"/>
    <x v="98"/>
    <s v="P"/>
    <s v=""/>
    <n v="0"/>
    <n v="31124.25"/>
    <n v="31124.25"/>
  </r>
  <r>
    <x v="1"/>
    <x v="22"/>
    <m/>
    <x v="1"/>
    <x v="1"/>
    <x v="98"/>
    <n v="2"/>
    <x v="98"/>
    <s v="P"/>
    <s v=""/>
    <n v="0"/>
    <n v="26019.69"/>
    <n v="26019.69"/>
  </r>
  <r>
    <x v="1"/>
    <x v="22"/>
    <m/>
    <x v="2"/>
    <x v="2"/>
    <x v="98"/>
    <n v="50"/>
    <x v="98"/>
    <s v="P"/>
    <s v=""/>
    <n v="0"/>
    <n v="22023.279999999999"/>
    <n v="22023.279999999999"/>
  </r>
  <r>
    <x v="1"/>
    <x v="19"/>
    <m/>
    <x v="0"/>
    <x v="3"/>
    <x v="98"/>
    <n v="99"/>
    <x v="98"/>
    <s v="P"/>
    <s v=""/>
    <n v="0"/>
    <n v="7218.85"/>
    <n v="7218.85"/>
  </r>
  <r>
    <x v="1"/>
    <x v="22"/>
    <m/>
    <x v="0"/>
    <x v="0"/>
    <x v="99"/>
    <n v="1"/>
    <x v="99"/>
    <s v="P"/>
    <s v=""/>
    <n v="0"/>
    <n v="852.06"/>
    <n v="852.06"/>
  </r>
  <r>
    <x v="1"/>
    <x v="22"/>
    <m/>
    <x v="1"/>
    <x v="1"/>
    <x v="99"/>
    <n v="2"/>
    <x v="99"/>
    <s v="P"/>
    <s v=""/>
    <n v="0"/>
    <n v="654.16999999999996"/>
    <n v="654.16999999999996"/>
  </r>
  <r>
    <x v="1"/>
    <x v="22"/>
    <m/>
    <x v="2"/>
    <x v="2"/>
    <x v="99"/>
    <n v="50"/>
    <x v="99"/>
    <s v="P"/>
    <s v=""/>
    <n v="0"/>
    <n v="560.34"/>
    <n v="560.34"/>
  </r>
  <r>
    <x v="1"/>
    <x v="19"/>
    <m/>
    <x v="0"/>
    <x v="3"/>
    <x v="99"/>
    <n v="99"/>
    <x v="99"/>
    <s v="P"/>
    <s v=""/>
    <n v="0"/>
    <n v="126"/>
    <n v="126"/>
  </r>
  <r>
    <x v="1"/>
    <x v="22"/>
    <m/>
    <x v="0"/>
    <x v="0"/>
    <x v="100"/>
    <n v="1"/>
    <x v="100"/>
    <s v="P"/>
    <s v=""/>
    <n v="0"/>
    <n v="1168.02"/>
    <n v="1168.02"/>
  </r>
  <r>
    <x v="1"/>
    <x v="22"/>
    <m/>
    <x v="1"/>
    <x v="1"/>
    <x v="100"/>
    <n v="2"/>
    <x v="100"/>
    <s v="P"/>
    <s v=""/>
    <n v="0"/>
    <n v="728.4"/>
    <n v="728.4"/>
  </r>
  <r>
    <x v="1"/>
    <x v="22"/>
    <m/>
    <x v="2"/>
    <x v="2"/>
    <x v="100"/>
    <n v="50"/>
    <x v="100"/>
    <s v="P"/>
    <s v=""/>
    <n v="0"/>
    <n v="765.05"/>
    <n v="765.05"/>
  </r>
  <r>
    <x v="1"/>
    <x v="19"/>
    <m/>
    <x v="0"/>
    <x v="3"/>
    <x v="100"/>
    <n v="99"/>
    <x v="100"/>
    <s v="P"/>
    <s v=""/>
    <n v="0"/>
    <n v="58.51"/>
    <n v="58.51"/>
  </r>
  <r>
    <x v="1"/>
    <x v="22"/>
    <m/>
    <x v="0"/>
    <x v="0"/>
    <x v="101"/>
    <n v="1"/>
    <x v="101"/>
    <s v="P"/>
    <s v=""/>
    <n v="0"/>
    <n v="0"/>
    <n v="0"/>
  </r>
  <r>
    <x v="1"/>
    <x v="22"/>
    <m/>
    <x v="1"/>
    <x v="1"/>
    <x v="101"/>
    <n v="2"/>
    <x v="101"/>
    <s v="P"/>
    <s v=""/>
    <n v="0"/>
    <n v="3810.48"/>
    <n v="3810.48"/>
  </r>
  <r>
    <x v="1"/>
    <x v="22"/>
    <m/>
    <x v="2"/>
    <x v="2"/>
    <x v="101"/>
    <n v="50"/>
    <x v="101"/>
    <s v="P"/>
    <s v=""/>
    <n v="0"/>
    <n v="0"/>
    <n v="0"/>
  </r>
  <r>
    <x v="1"/>
    <x v="19"/>
    <m/>
    <x v="0"/>
    <x v="3"/>
    <x v="101"/>
    <n v="99"/>
    <x v="101"/>
    <s v="P"/>
    <s v=""/>
    <n v="0"/>
    <n v="390"/>
    <n v="390"/>
  </r>
  <r>
    <x v="1"/>
    <x v="22"/>
    <m/>
    <x v="0"/>
    <x v="0"/>
    <x v="102"/>
    <n v="1"/>
    <x v="102"/>
    <s v="P"/>
    <s v=""/>
    <n v="0"/>
    <n v="6683.9"/>
    <n v="6683.9"/>
  </r>
  <r>
    <x v="1"/>
    <x v="22"/>
    <m/>
    <x v="1"/>
    <x v="1"/>
    <x v="102"/>
    <n v="2"/>
    <x v="102"/>
    <s v="P"/>
    <s v=""/>
    <n v="0"/>
    <n v="7717.48"/>
    <n v="7717.48"/>
  </r>
  <r>
    <x v="1"/>
    <x v="22"/>
    <m/>
    <x v="2"/>
    <x v="2"/>
    <x v="102"/>
    <n v="50"/>
    <x v="102"/>
    <s v="P"/>
    <s v=""/>
    <n v="0"/>
    <n v="5196.6000000000004"/>
    <n v="5196.6000000000004"/>
  </r>
  <r>
    <x v="1"/>
    <x v="19"/>
    <m/>
    <x v="0"/>
    <x v="3"/>
    <x v="102"/>
    <n v="99"/>
    <x v="102"/>
    <s v="P"/>
    <s v=""/>
    <n v="0"/>
    <n v="3712.07"/>
    <n v="3712.07"/>
  </r>
  <r>
    <x v="1"/>
    <x v="22"/>
    <m/>
    <x v="0"/>
    <x v="0"/>
    <x v="103"/>
    <n v="1"/>
    <x v="103"/>
    <s v="P"/>
    <s v=""/>
    <n v="0"/>
    <n v="114624.78"/>
    <n v="114624.78"/>
  </r>
  <r>
    <x v="1"/>
    <x v="22"/>
    <m/>
    <x v="1"/>
    <x v="1"/>
    <x v="103"/>
    <n v="2"/>
    <x v="103"/>
    <s v="P"/>
    <s v=""/>
    <n v="0"/>
    <n v="90144.1"/>
    <n v="90144.1"/>
  </r>
  <r>
    <x v="1"/>
    <x v="22"/>
    <m/>
    <x v="2"/>
    <x v="2"/>
    <x v="103"/>
    <n v="50"/>
    <x v="103"/>
    <s v="P"/>
    <s v=""/>
    <n v="0"/>
    <n v="77692.61"/>
    <n v="77692.61"/>
  </r>
  <r>
    <x v="1"/>
    <x v="19"/>
    <m/>
    <x v="0"/>
    <x v="3"/>
    <x v="103"/>
    <n v="99"/>
    <x v="103"/>
    <s v="P"/>
    <s v=""/>
    <n v="0"/>
    <n v="16819.45"/>
    <n v="16819.45"/>
  </r>
  <r>
    <x v="1"/>
    <x v="19"/>
    <m/>
    <x v="0"/>
    <x v="3"/>
    <x v="104"/>
    <n v="99"/>
    <x v="104"/>
    <s v="P"/>
    <s v=""/>
    <n v="0"/>
    <n v="10982.55"/>
    <n v="10982.55"/>
  </r>
  <r>
    <x v="1"/>
    <x v="21"/>
    <m/>
    <x v="0"/>
    <x v="0"/>
    <x v="105"/>
    <n v="1"/>
    <x v="105"/>
    <s v="P"/>
    <s v=""/>
    <n v="0"/>
    <n v="39273.300000000003"/>
    <n v="39273.300000000003"/>
  </r>
  <r>
    <x v="1"/>
    <x v="21"/>
    <m/>
    <x v="1"/>
    <x v="1"/>
    <x v="105"/>
    <n v="2"/>
    <x v="105"/>
    <s v="P"/>
    <s v=""/>
    <n v="0"/>
    <n v="30196.14"/>
    <n v="30196.14"/>
  </r>
  <r>
    <x v="1"/>
    <x v="21"/>
    <m/>
    <x v="2"/>
    <x v="2"/>
    <x v="105"/>
    <n v="50"/>
    <x v="105"/>
    <s v="P"/>
    <s v=""/>
    <n v="0"/>
    <n v="3133.38"/>
    <n v="3133.38"/>
  </r>
  <r>
    <x v="1"/>
    <x v="19"/>
    <m/>
    <x v="0"/>
    <x v="0"/>
    <x v="106"/>
    <n v="1"/>
    <x v="106"/>
    <s v="P"/>
    <s v=""/>
    <n v="0"/>
    <n v="6249.96"/>
    <n v="6249.96"/>
  </r>
  <r>
    <x v="1"/>
    <x v="19"/>
    <m/>
    <x v="0"/>
    <x v="0"/>
    <x v="107"/>
    <n v="1"/>
    <x v="107"/>
    <s v="P"/>
    <s v=""/>
    <n v="0"/>
    <n v="15675.72"/>
    <n v="15675.72"/>
  </r>
  <r>
    <x v="1"/>
    <x v="19"/>
    <m/>
    <x v="1"/>
    <x v="1"/>
    <x v="107"/>
    <n v="2"/>
    <x v="107"/>
    <s v="P"/>
    <s v=""/>
    <n v="0"/>
    <n v="1563.66"/>
    <n v="1563.66"/>
  </r>
  <r>
    <x v="1"/>
    <x v="19"/>
    <m/>
    <x v="2"/>
    <x v="2"/>
    <x v="107"/>
    <n v="50"/>
    <x v="107"/>
    <s v="P"/>
    <s v=""/>
    <n v="0"/>
    <n v="4553.5200000000004"/>
    <n v="4553.5200000000004"/>
  </r>
  <r>
    <x v="1"/>
    <x v="21"/>
    <m/>
    <x v="0"/>
    <x v="0"/>
    <x v="108"/>
    <n v="1"/>
    <x v="108"/>
    <s v="P"/>
    <s v=""/>
    <n v="0"/>
    <n v="2192.58"/>
    <n v="2192.58"/>
  </r>
  <r>
    <x v="1"/>
    <x v="19"/>
    <m/>
    <x v="0"/>
    <x v="0"/>
    <x v="109"/>
    <n v="1"/>
    <x v="109"/>
    <s v="P"/>
    <s v=""/>
    <n v="0"/>
    <n v="2359.14"/>
    <n v="2359.14"/>
  </r>
  <r>
    <x v="1"/>
    <x v="19"/>
    <m/>
    <x v="1"/>
    <x v="1"/>
    <x v="109"/>
    <n v="2"/>
    <x v="109"/>
    <s v="P"/>
    <s v=""/>
    <n v="0"/>
    <n v="1393.38"/>
    <n v="1393.38"/>
  </r>
  <r>
    <x v="1"/>
    <x v="21"/>
    <m/>
    <x v="0"/>
    <x v="0"/>
    <x v="110"/>
    <n v="1"/>
    <x v="110"/>
    <s v="P"/>
    <s v=""/>
    <n v="0"/>
    <n v="75616.62"/>
    <n v="75616.62"/>
  </r>
  <r>
    <x v="1"/>
    <x v="21"/>
    <m/>
    <x v="1"/>
    <x v="1"/>
    <x v="110"/>
    <n v="2"/>
    <x v="110"/>
    <s v="P"/>
    <s v=""/>
    <n v="0"/>
    <n v="61340.06"/>
    <n v="61340.06"/>
  </r>
  <r>
    <x v="1"/>
    <x v="21"/>
    <m/>
    <x v="2"/>
    <x v="2"/>
    <x v="110"/>
    <n v="50"/>
    <x v="110"/>
    <s v="P"/>
    <s v=""/>
    <n v="0"/>
    <n v="20148.8"/>
    <n v="20148.8"/>
  </r>
  <r>
    <x v="1"/>
    <x v="24"/>
    <m/>
    <x v="0"/>
    <x v="3"/>
    <x v="111"/>
    <n v="99"/>
    <x v="111"/>
    <s v="P"/>
    <s v=""/>
    <n v="0"/>
    <n v="1531.79"/>
    <n v="1531.79"/>
  </r>
  <r>
    <x v="1"/>
    <x v="24"/>
    <m/>
    <x v="0"/>
    <x v="3"/>
    <x v="112"/>
    <n v="99"/>
    <x v="112"/>
    <s v="P"/>
    <s v=""/>
    <n v="0"/>
    <n v="0"/>
    <n v="0"/>
  </r>
  <r>
    <x v="1"/>
    <x v="19"/>
    <m/>
    <x v="0"/>
    <x v="3"/>
    <x v="113"/>
    <n v="9"/>
    <x v="113"/>
    <s v="P"/>
    <s v=""/>
    <n v="0"/>
    <n v="0"/>
    <n v="0"/>
  </r>
  <r>
    <x v="1"/>
    <x v="19"/>
    <m/>
    <x v="0"/>
    <x v="3"/>
    <x v="113"/>
    <n v="99"/>
    <x v="113"/>
    <s v="P"/>
    <s v=""/>
    <n v="0"/>
    <n v="7990.61"/>
    <n v="7990.61"/>
  </r>
  <r>
    <x v="1"/>
    <x v="19"/>
    <m/>
    <x v="0"/>
    <x v="3"/>
    <x v="114"/>
    <n v="99"/>
    <x v="114"/>
    <s v="P"/>
    <s v="BANK CHARGES -SERVICE &amp; FEES"/>
    <n v="0"/>
    <n v="17884.740000000002"/>
    <n v="17884.740000000002"/>
  </r>
  <r>
    <x v="1"/>
    <x v="19"/>
    <m/>
    <x v="0"/>
    <x v="0"/>
    <x v="115"/>
    <n v="1"/>
    <x v="115"/>
    <s v="P"/>
    <s v=""/>
    <n v="0"/>
    <n v="8564.49"/>
    <n v="8564.49"/>
  </r>
  <r>
    <x v="1"/>
    <x v="19"/>
    <m/>
    <x v="1"/>
    <x v="1"/>
    <x v="115"/>
    <n v="2"/>
    <x v="115"/>
    <s v="P"/>
    <s v=""/>
    <n v="0"/>
    <n v="5788.65"/>
    <n v="5788.65"/>
  </r>
  <r>
    <x v="1"/>
    <x v="19"/>
    <m/>
    <x v="2"/>
    <x v="2"/>
    <x v="115"/>
    <n v="50"/>
    <x v="115"/>
    <s v="P"/>
    <s v=""/>
    <n v="0"/>
    <n v="1555.09"/>
    <n v="1555.09"/>
  </r>
  <r>
    <x v="1"/>
    <x v="19"/>
    <m/>
    <x v="0"/>
    <x v="3"/>
    <x v="115"/>
    <n v="99"/>
    <x v="115"/>
    <s v="P"/>
    <s v=""/>
    <n v="0"/>
    <n v="0"/>
    <n v="0"/>
  </r>
  <r>
    <x v="1"/>
    <x v="19"/>
    <m/>
    <x v="0"/>
    <x v="3"/>
    <x v="116"/>
    <n v="99"/>
    <x v="116"/>
    <s v="P"/>
    <s v=""/>
    <n v="0"/>
    <n v="0"/>
    <n v="0"/>
  </r>
  <r>
    <x v="1"/>
    <x v="24"/>
    <m/>
    <x v="0"/>
    <x v="0"/>
    <x v="117"/>
    <n v="1"/>
    <x v="117"/>
    <s v="P"/>
    <s v=""/>
    <n v="0"/>
    <n v="91.2"/>
    <n v="91.2"/>
  </r>
  <r>
    <x v="1"/>
    <x v="24"/>
    <m/>
    <x v="1"/>
    <x v="1"/>
    <x v="117"/>
    <n v="2"/>
    <x v="117"/>
    <s v="P"/>
    <s v=""/>
    <n v="0"/>
    <n v="86.69"/>
    <n v="86.69"/>
  </r>
  <r>
    <x v="1"/>
    <x v="24"/>
    <m/>
    <x v="0"/>
    <x v="3"/>
    <x v="117"/>
    <n v="99"/>
    <x v="117"/>
    <s v="P"/>
    <s v=""/>
    <n v="0"/>
    <n v="1356.22"/>
    <n v="1356.22"/>
  </r>
  <r>
    <x v="1"/>
    <x v="24"/>
    <m/>
    <x v="0"/>
    <x v="3"/>
    <x v="118"/>
    <n v="99"/>
    <x v="118"/>
    <s v="P"/>
    <s v=""/>
    <n v="0"/>
    <n v="1000"/>
    <n v="1000"/>
  </r>
  <r>
    <x v="1"/>
    <x v="19"/>
    <m/>
    <x v="0"/>
    <x v="3"/>
    <x v="119"/>
    <n v="99"/>
    <x v="119"/>
    <s v="P"/>
    <s v=""/>
    <n v="0"/>
    <n v="6163.68"/>
    <n v="6163.68"/>
  </r>
  <r>
    <x v="1"/>
    <x v="21"/>
    <m/>
    <x v="0"/>
    <x v="0"/>
    <x v="120"/>
    <n v="1"/>
    <x v="120"/>
    <s v="P"/>
    <s v=""/>
    <n v="0"/>
    <n v="15203.94"/>
    <n v="15203.94"/>
  </r>
  <r>
    <x v="1"/>
    <x v="21"/>
    <m/>
    <x v="1"/>
    <x v="1"/>
    <x v="120"/>
    <n v="2"/>
    <x v="120"/>
    <s v="P"/>
    <s v=""/>
    <n v="0"/>
    <n v="12139.32"/>
    <n v="12139.32"/>
  </r>
  <r>
    <x v="1"/>
    <x v="21"/>
    <m/>
    <x v="2"/>
    <x v="2"/>
    <x v="120"/>
    <n v="50"/>
    <x v="120"/>
    <s v="P"/>
    <s v=""/>
    <n v="0"/>
    <n v="3062.76"/>
    <n v="3062.76"/>
  </r>
  <r>
    <x v="1"/>
    <x v="19"/>
    <m/>
    <x v="1"/>
    <x v="1"/>
    <x v="121"/>
    <n v="2"/>
    <x v="121"/>
    <s v="P"/>
    <s v=""/>
    <n v="0"/>
    <n v="745.5"/>
    <n v="745.5"/>
  </r>
  <r>
    <x v="1"/>
    <x v="19"/>
    <m/>
    <x v="0"/>
    <x v="3"/>
    <x v="121"/>
    <n v="99"/>
    <x v="121"/>
    <s v="P"/>
    <s v=""/>
    <n v="0"/>
    <n v="12477.3"/>
    <n v="12477.3"/>
  </r>
  <r>
    <x v="1"/>
    <x v="19"/>
    <m/>
    <x v="0"/>
    <x v="0"/>
    <x v="122"/>
    <n v="1"/>
    <x v="122"/>
    <s v="P"/>
    <s v=""/>
    <n v="0"/>
    <n v="106.12"/>
    <n v="106.12"/>
  </r>
  <r>
    <x v="1"/>
    <x v="19"/>
    <m/>
    <x v="0"/>
    <x v="3"/>
    <x v="122"/>
    <n v="99"/>
    <x v="122"/>
    <s v="P"/>
    <s v=""/>
    <n v="0"/>
    <n v="55843.57"/>
    <n v="55843.57"/>
  </r>
  <r>
    <x v="1"/>
    <x v="21"/>
    <m/>
    <x v="0"/>
    <x v="0"/>
    <x v="123"/>
    <n v="1"/>
    <x v="123"/>
    <s v="P"/>
    <s v=""/>
    <n v="0"/>
    <n v="180"/>
    <n v="180"/>
  </r>
  <r>
    <x v="1"/>
    <x v="21"/>
    <m/>
    <x v="0"/>
    <x v="3"/>
    <x v="123"/>
    <n v="99"/>
    <x v="123"/>
    <s v="P"/>
    <s v=""/>
    <n v="0"/>
    <n v="55"/>
    <n v="55"/>
  </r>
  <r>
    <x v="1"/>
    <x v="19"/>
    <m/>
    <x v="0"/>
    <x v="0"/>
    <x v="124"/>
    <n v="1"/>
    <x v="124"/>
    <s v="P"/>
    <s v=""/>
    <n v="0"/>
    <n v="2140.83"/>
    <n v="2140.83"/>
  </r>
  <r>
    <x v="1"/>
    <x v="19"/>
    <m/>
    <x v="1"/>
    <x v="1"/>
    <x v="124"/>
    <n v="2"/>
    <x v="124"/>
    <s v="P"/>
    <s v=""/>
    <n v="0"/>
    <n v="2458"/>
    <n v="2458"/>
  </r>
  <r>
    <x v="1"/>
    <x v="19"/>
    <m/>
    <x v="0"/>
    <x v="3"/>
    <x v="124"/>
    <n v="99"/>
    <x v="124"/>
    <s v="P"/>
    <s v=""/>
    <n v="0"/>
    <n v="2497.08"/>
    <n v="2497.08"/>
  </r>
  <r>
    <x v="1"/>
    <x v="19"/>
    <m/>
    <x v="1"/>
    <x v="1"/>
    <x v="125"/>
    <n v="2"/>
    <x v="125"/>
    <s v="P"/>
    <s v=""/>
    <n v="0"/>
    <n v="368.06"/>
    <n v="368.06"/>
  </r>
  <r>
    <x v="1"/>
    <x v="19"/>
    <m/>
    <x v="0"/>
    <x v="3"/>
    <x v="125"/>
    <n v="99"/>
    <x v="125"/>
    <s v="P"/>
    <s v=""/>
    <n v="0"/>
    <n v="1371.44"/>
    <n v="1371.44"/>
  </r>
  <r>
    <x v="1"/>
    <x v="24"/>
    <m/>
    <x v="0"/>
    <x v="3"/>
    <x v="126"/>
    <n v="99"/>
    <x v="126"/>
    <s v="P"/>
    <s v="OUTSIDE SALES WAGES"/>
    <n v="0"/>
    <n v="62136.25"/>
    <n v="62136.25"/>
  </r>
  <r>
    <x v="1"/>
    <x v="24"/>
    <m/>
    <x v="1"/>
    <x v="1"/>
    <x v="127"/>
    <n v="2"/>
    <x v="127"/>
    <s v="P"/>
    <s v=""/>
    <n v="0"/>
    <n v="36469.85"/>
    <n v="36469.85"/>
  </r>
  <r>
    <x v="1"/>
    <x v="24"/>
    <m/>
    <x v="0"/>
    <x v="3"/>
    <x v="127"/>
    <n v="99"/>
    <x v="127"/>
    <s v="P"/>
    <s v=""/>
    <n v="0"/>
    <n v="101065.75"/>
    <n v="101065.75"/>
  </r>
  <r>
    <x v="1"/>
    <x v="24"/>
    <m/>
    <x v="0"/>
    <x v="3"/>
    <x v="128"/>
    <n v="99"/>
    <x v="128"/>
    <s v="P"/>
    <s v=""/>
    <n v="0"/>
    <n v="276.45"/>
    <n v="276.45"/>
  </r>
  <r>
    <x v="1"/>
    <x v="24"/>
    <m/>
    <x v="0"/>
    <x v="3"/>
    <x v="129"/>
    <n v="99"/>
    <x v="129"/>
    <s v="P"/>
    <s v=""/>
    <n v="0"/>
    <n v="7778.73"/>
    <n v="7778.73"/>
  </r>
  <r>
    <x v="1"/>
    <x v="24"/>
    <m/>
    <x v="0"/>
    <x v="3"/>
    <x v="130"/>
    <n v="99"/>
    <x v="130"/>
    <s v="P"/>
    <s v=""/>
    <n v="0"/>
    <n v="2582.4"/>
    <n v="2582.4"/>
  </r>
  <r>
    <x v="1"/>
    <x v="19"/>
    <m/>
    <x v="0"/>
    <x v="3"/>
    <x v="131"/>
    <n v="99"/>
    <x v="131"/>
    <s v="P"/>
    <s v=""/>
    <n v="0"/>
    <n v="65997.58"/>
    <n v="65997.58"/>
  </r>
  <r>
    <x v="1"/>
    <x v="19"/>
    <m/>
    <x v="0"/>
    <x v="0"/>
    <x v="132"/>
    <n v="1"/>
    <x v="132"/>
    <s v="P"/>
    <s v=""/>
    <n v="0"/>
    <n v="22599.55"/>
    <n v="22599.55"/>
  </r>
  <r>
    <x v="1"/>
    <x v="19"/>
    <m/>
    <x v="1"/>
    <x v="1"/>
    <x v="132"/>
    <n v="2"/>
    <x v="132"/>
    <s v="P"/>
    <s v=""/>
    <n v="0"/>
    <n v="16687.55"/>
    <n v="16687.55"/>
  </r>
  <r>
    <x v="1"/>
    <x v="19"/>
    <m/>
    <x v="2"/>
    <x v="2"/>
    <x v="132"/>
    <n v="50"/>
    <x v="132"/>
    <s v="P"/>
    <s v=""/>
    <n v="0"/>
    <n v="13052.14"/>
    <n v="13052.14"/>
  </r>
  <r>
    <x v="1"/>
    <x v="19"/>
    <m/>
    <x v="0"/>
    <x v="3"/>
    <x v="132"/>
    <n v="99"/>
    <x v="132"/>
    <s v="P"/>
    <s v=""/>
    <n v="0"/>
    <n v="-14250.33"/>
    <n v="-14250.33"/>
  </r>
  <r>
    <x v="1"/>
    <x v="19"/>
    <m/>
    <x v="0"/>
    <x v="0"/>
    <x v="133"/>
    <n v="1"/>
    <x v="133"/>
    <s v="P"/>
    <s v=""/>
    <n v="0"/>
    <n v="4328.92"/>
    <n v="4328.92"/>
  </r>
  <r>
    <x v="1"/>
    <x v="19"/>
    <m/>
    <x v="1"/>
    <x v="1"/>
    <x v="133"/>
    <n v="2"/>
    <x v="133"/>
    <s v="P"/>
    <s v=""/>
    <n v="0"/>
    <n v="2531.6"/>
    <n v="2531.6"/>
  </r>
  <r>
    <x v="1"/>
    <x v="19"/>
    <m/>
    <x v="2"/>
    <x v="2"/>
    <x v="133"/>
    <n v="50"/>
    <x v="133"/>
    <s v="P"/>
    <s v=""/>
    <n v="0"/>
    <n v="282.95999999999998"/>
    <n v="282.95999999999998"/>
  </r>
  <r>
    <x v="1"/>
    <x v="19"/>
    <m/>
    <x v="0"/>
    <x v="3"/>
    <x v="133"/>
    <n v="99"/>
    <x v="133"/>
    <s v="P"/>
    <s v=""/>
    <n v="0"/>
    <n v="0"/>
    <n v="0"/>
  </r>
  <r>
    <x v="1"/>
    <x v="21"/>
    <m/>
    <x v="0"/>
    <x v="0"/>
    <x v="134"/>
    <n v="1"/>
    <x v="134"/>
    <s v="P"/>
    <s v=""/>
    <n v="0"/>
    <n v="8121.82"/>
    <n v="8121.82"/>
  </r>
  <r>
    <x v="1"/>
    <x v="21"/>
    <m/>
    <x v="1"/>
    <x v="1"/>
    <x v="134"/>
    <n v="2"/>
    <x v="134"/>
    <s v="P"/>
    <s v=""/>
    <n v="0"/>
    <n v="12481.92"/>
    <n v="12481.92"/>
  </r>
  <r>
    <x v="1"/>
    <x v="21"/>
    <m/>
    <x v="2"/>
    <x v="2"/>
    <x v="134"/>
    <n v="50"/>
    <x v="134"/>
    <s v="P"/>
    <s v=""/>
    <n v="0"/>
    <n v="4350.55"/>
    <n v="4350.55"/>
  </r>
  <r>
    <x v="1"/>
    <x v="21"/>
    <m/>
    <x v="0"/>
    <x v="3"/>
    <x v="134"/>
    <n v="99"/>
    <x v="134"/>
    <s v="P"/>
    <s v=""/>
    <n v="0"/>
    <n v="-3.6"/>
    <n v="-3.6"/>
  </r>
  <r>
    <x v="1"/>
    <x v="19"/>
    <m/>
    <x v="0"/>
    <x v="3"/>
    <x v="135"/>
    <n v="99"/>
    <x v="135"/>
    <s v="P"/>
    <s v=""/>
    <n v="0"/>
    <n v="18440.12"/>
    <n v="18440.12"/>
  </r>
  <r>
    <x v="1"/>
    <x v="19"/>
    <m/>
    <x v="0"/>
    <x v="3"/>
    <x v="136"/>
    <n v="99"/>
    <x v="136"/>
    <s v="P"/>
    <s v=""/>
    <n v="0"/>
    <n v="532.30999999999995"/>
    <n v="532.30999999999995"/>
  </r>
  <r>
    <x v="1"/>
    <x v="19"/>
    <m/>
    <x v="0"/>
    <x v="3"/>
    <x v="137"/>
    <n v="99"/>
    <x v="137"/>
    <s v="P"/>
    <s v=""/>
    <n v="0"/>
    <n v="378"/>
    <n v="378"/>
  </r>
  <r>
    <x v="1"/>
    <x v="19"/>
    <m/>
    <x v="0"/>
    <x v="3"/>
    <x v="138"/>
    <n v="99"/>
    <x v="138"/>
    <s v="P"/>
    <s v=""/>
    <n v="0"/>
    <n v="-255"/>
    <n v="-255"/>
  </r>
  <r>
    <x v="1"/>
    <x v="25"/>
    <m/>
    <x v="0"/>
    <x v="3"/>
    <x v="139"/>
    <n v="99"/>
    <x v="139"/>
    <s v="P"/>
    <s v=""/>
    <n v="0"/>
    <n v="4305"/>
    <n v="4305"/>
  </r>
  <r>
    <x v="1"/>
    <x v="25"/>
    <m/>
    <x v="1"/>
    <x v="1"/>
    <x v="140"/>
    <n v="2"/>
    <x v="140"/>
    <s v="P"/>
    <s v="INTERNET SERVICE CHARGES"/>
    <n v="0"/>
    <n v="971.64"/>
    <n v="971.64"/>
  </r>
  <r>
    <x v="1"/>
    <x v="25"/>
    <m/>
    <x v="2"/>
    <x v="2"/>
    <x v="140"/>
    <n v="50"/>
    <x v="140"/>
    <s v="P"/>
    <s v="INTERNET SERVICE CHARGES"/>
    <n v="0"/>
    <n v="825.31"/>
    <n v="825.31"/>
  </r>
  <r>
    <x v="1"/>
    <x v="25"/>
    <m/>
    <x v="0"/>
    <x v="3"/>
    <x v="140"/>
    <n v="99"/>
    <x v="140"/>
    <s v="P"/>
    <s v="INTERNET SERVICE CHARGES"/>
    <n v="0"/>
    <n v="8041.79"/>
    <n v="8041.79"/>
  </r>
  <r>
    <x v="1"/>
    <x v="19"/>
    <m/>
    <x v="0"/>
    <x v="0"/>
    <x v="141"/>
    <n v="1"/>
    <x v="141"/>
    <s v="P"/>
    <s v=""/>
    <n v="0"/>
    <n v="167.5"/>
    <n v="167.5"/>
  </r>
  <r>
    <x v="1"/>
    <x v="19"/>
    <m/>
    <x v="1"/>
    <x v="1"/>
    <x v="141"/>
    <n v="2"/>
    <x v="141"/>
    <s v="P"/>
    <s v=""/>
    <n v="0"/>
    <n v="4264.91"/>
    <n v="4264.91"/>
  </r>
  <r>
    <x v="1"/>
    <x v="19"/>
    <m/>
    <x v="2"/>
    <x v="2"/>
    <x v="141"/>
    <n v="50"/>
    <x v="141"/>
    <s v="P"/>
    <s v=""/>
    <n v="0"/>
    <n v="51.66"/>
    <n v="51.66"/>
  </r>
  <r>
    <x v="1"/>
    <x v="19"/>
    <m/>
    <x v="0"/>
    <x v="3"/>
    <x v="141"/>
    <n v="99"/>
    <x v="141"/>
    <s v="P"/>
    <s v=""/>
    <n v="0"/>
    <n v="1658.79"/>
    <n v="1658.79"/>
  </r>
  <r>
    <x v="1"/>
    <x v="26"/>
    <m/>
    <x v="0"/>
    <x v="0"/>
    <x v="142"/>
    <n v="1"/>
    <x v="142"/>
    <s v="P"/>
    <s v=""/>
    <n v="0"/>
    <n v="-143148.51999999999"/>
    <n v="-143148.51999999999"/>
  </r>
  <r>
    <x v="1"/>
    <x v="26"/>
    <m/>
    <x v="1"/>
    <x v="1"/>
    <x v="142"/>
    <n v="2"/>
    <x v="142"/>
    <s v="P"/>
    <s v=""/>
    <n v="0"/>
    <n v="-186087.67999999999"/>
    <n v="-186087.67999999999"/>
  </r>
  <r>
    <x v="1"/>
    <x v="26"/>
    <m/>
    <x v="0"/>
    <x v="0"/>
    <x v="143"/>
    <n v="1"/>
    <x v="143"/>
    <s v="P"/>
    <s v="FREIGHT INCOME-OUR TRUCK"/>
    <n v="0"/>
    <n v="-2000"/>
    <n v="-2000"/>
  </r>
  <r>
    <x v="1"/>
    <x v="27"/>
    <m/>
    <x v="0"/>
    <x v="0"/>
    <x v="144"/>
    <n v="1"/>
    <x v="144"/>
    <s v="P"/>
    <s v=""/>
    <n v="0"/>
    <n v="125457.9"/>
    <n v="125457.9"/>
  </r>
  <r>
    <x v="1"/>
    <x v="27"/>
    <m/>
    <x v="1"/>
    <x v="1"/>
    <x v="144"/>
    <n v="2"/>
    <x v="144"/>
    <s v="P"/>
    <s v=""/>
    <n v="0"/>
    <n v="145827.64000000001"/>
    <n v="145827.64000000001"/>
  </r>
  <r>
    <x v="1"/>
    <x v="28"/>
    <m/>
    <x v="0"/>
    <x v="0"/>
    <x v="145"/>
    <n v="1"/>
    <x v="145"/>
    <s v="P"/>
    <s v=""/>
    <n v="0"/>
    <n v="3621.48"/>
    <n v="3621.48"/>
  </r>
  <r>
    <x v="1"/>
    <x v="28"/>
    <m/>
    <x v="1"/>
    <x v="1"/>
    <x v="145"/>
    <n v="2"/>
    <x v="145"/>
    <s v="P"/>
    <s v=""/>
    <n v="0"/>
    <n v="1796.47"/>
    <n v="1796.47"/>
  </r>
  <r>
    <x v="1"/>
    <x v="28"/>
    <m/>
    <x v="0"/>
    <x v="3"/>
    <x v="145"/>
    <n v="99"/>
    <x v="145"/>
    <s v="P"/>
    <s v=""/>
    <n v="0"/>
    <n v="34.22"/>
    <n v="34.22"/>
  </r>
  <r>
    <x v="1"/>
    <x v="28"/>
    <m/>
    <x v="0"/>
    <x v="0"/>
    <x v="146"/>
    <n v="1"/>
    <x v="146"/>
    <s v="P"/>
    <s v=""/>
    <n v="0"/>
    <n v="4145.93"/>
    <n v="4145.93"/>
  </r>
  <r>
    <x v="1"/>
    <x v="28"/>
    <m/>
    <x v="1"/>
    <x v="1"/>
    <x v="146"/>
    <n v="2"/>
    <x v="146"/>
    <s v="P"/>
    <s v=""/>
    <n v="0"/>
    <n v="3936.33"/>
    <n v="3936.33"/>
  </r>
  <r>
    <x v="1"/>
    <x v="17"/>
    <m/>
    <x v="0"/>
    <x v="0"/>
    <x v="147"/>
    <n v="1"/>
    <x v="147"/>
    <s v="P"/>
    <s v="FREIGHT IN PRICE EXPENSES"/>
    <n v="0"/>
    <n v="31396"/>
    <n v="31396"/>
  </r>
  <r>
    <x v="1"/>
    <x v="17"/>
    <m/>
    <x v="1"/>
    <x v="1"/>
    <x v="147"/>
    <n v="2"/>
    <x v="147"/>
    <s v="P"/>
    <s v="FREIGHT IN PRICE EXPENSES"/>
    <n v="0"/>
    <n v="3976.2"/>
    <n v="3976.2"/>
  </r>
  <r>
    <x v="1"/>
    <x v="29"/>
    <m/>
    <x v="0"/>
    <x v="0"/>
    <x v="148"/>
    <n v="1"/>
    <x v="148"/>
    <s v="P"/>
    <s v=""/>
    <n v="0"/>
    <n v="-53329.61"/>
    <n v="-53329.61"/>
  </r>
  <r>
    <x v="1"/>
    <x v="29"/>
    <m/>
    <x v="1"/>
    <x v="1"/>
    <x v="148"/>
    <n v="2"/>
    <x v="148"/>
    <s v="P"/>
    <s v=""/>
    <n v="0"/>
    <n v="-719.67"/>
    <n v="-719.67"/>
  </r>
  <r>
    <x v="1"/>
    <x v="29"/>
    <m/>
    <x v="2"/>
    <x v="2"/>
    <x v="148"/>
    <n v="50"/>
    <x v="148"/>
    <s v="P"/>
    <s v=""/>
    <n v="0"/>
    <n v="-9843"/>
    <n v="-9843"/>
  </r>
  <r>
    <x v="1"/>
    <x v="29"/>
    <m/>
    <x v="0"/>
    <x v="0"/>
    <x v="149"/>
    <n v="1"/>
    <x v="149"/>
    <s v="P"/>
    <s v=""/>
    <n v="0"/>
    <n v="-250"/>
    <n v="-250"/>
  </r>
  <r>
    <x v="1"/>
    <x v="29"/>
    <m/>
    <x v="1"/>
    <x v="1"/>
    <x v="149"/>
    <n v="2"/>
    <x v="149"/>
    <s v="P"/>
    <s v=""/>
    <n v="0"/>
    <n v="-1835.4"/>
    <n v="-1835.4"/>
  </r>
  <r>
    <x v="1"/>
    <x v="29"/>
    <m/>
    <x v="2"/>
    <x v="2"/>
    <x v="149"/>
    <n v="50"/>
    <x v="149"/>
    <s v="P"/>
    <s v=""/>
    <n v="0"/>
    <n v="-12000"/>
    <n v="-12000"/>
  </r>
  <r>
    <x v="1"/>
    <x v="29"/>
    <m/>
    <x v="0"/>
    <x v="3"/>
    <x v="149"/>
    <n v="99"/>
    <x v="149"/>
    <s v="P"/>
    <s v=""/>
    <n v="0"/>
    <n v="-2525"/>
    <n v="-2525"/>
  </r>
  <r>
    <x v="1"/>
    <x v="30"/>
    <m/>
    <x v="0"/>
    <x v="3"/>
    <x v="150"/>
    <n v="99"/>
    <x v="150"/>
    <s v="P"/>
    <s v=""/>
    <n v="0"/>
    <n v="-19607.13"/>
    <n v="-19607.13"/>
  </r>
  <r>
    <x v="1"/>
    <x v="31"/>
    <m/>
    <x v="0"/>
    <x v="3"/>
    <x v="151"/>
    <n v="99"/>
    <x v="151"/>
    <s v="P"/>
    <s v=""/>
    <n v="0"/>
    <n v="-9237.9500000000007"/>
    <n v="-9237.9500000000007"/>
  </r>
  <r>
    <x v="1"/>
    <x v="31"/>
    <m/>
    <x v="0"/>
    <x v="3"/>
    <x v="152"/>
    <n v="99"/>
    <x v="152"/>
    <s v="P"/>
    <s v="DEBT FORGIVEN"/>
    <n v="0"/>
    <n v="-133786.29999999999"/>
    <n v="-133786.29999999999"/>
  </r>
  <r>
    <x v="1"/>
    <x v="31"/>
    <m/>
    <x v="1"/>
    <x v="1"/>
    <x v="153"/>
    <n v="2"/>
    <x v="153"/>
    <s v="P"/>
    <s v=""/>
    <n v="0"/>
    <n v="4.33"/>
    <n v="4.33"/>
  </r>
  <r>
    <x v="1"/>
    <x v="31"/>
    <m/>
    <x v="0"/>
    <x v="3"/>
    <x v="153"/>
    <n v="99"/>
    <x v="153"/>
    <s v="P"/>
    <s v=""/>
    <n v="0"/>
    <n v="0"/>
    <n v="0"/>
  </r>
  <r>
    <x v="1"/>
    <x v="31"/>
    <m/>
    <x v="0"/>
    <x v="3"/>
    <x v="154"/>
    <n v="99"/>
    <x v="154"/>
    <s v="P"/>
    <s v=""/>
    <n v="0"/>
    <n v="11022.7"/>
    <n v="11022.7"/>
  </r>
  <r>
    <x v="1"/>
    <x v="32"/>
    <m/>
    <x v="0"/>
    <x v="0"/>
    <x v="155"/>
    <n v="1"/>
    <x v="155"/>
    <s v="P"/>
    <s v=""/>
    <n v="0"/>
    <n v="2218042.3199999998"/>
    <n v="2218042.3199999998"/>
  </r>
  <r>
    <x v="1"/>
    <x v="32"/>
    <m/>
    <x v="1"/>
    <x v="1"/>
    <x v="155"/>
    <n v="2"/>
    <x v="155"/>
    <s v="P"/>
    <s v=""/>
    <n v="0"/>
    <n v="1551614.6"/>
    <n v="1551614.6"/>
  </r>
  <r>
    <x v="1"/>
    <x v="32"/>
    <m/>
    <x v="2"/>
    <x v="2"/>
    <x v="155"/>
    <n v="50"/>
    <x v="155"/>
    <s v="P"/>
    <s v=""/>
    <n v="0"/>
    <n v="944163"/>
    <n v="944163"/>
  </r>
  <r>
    <x v="1"/>
    <x v="32"/>
    <m/>
    <x v="0"/>
    <x v="0"/>
    <x v="156"/>
    <n v="1"/>
    <x v="156"/>
    <s v="P"/>
    <s v=""/>
    <n v="0"/>
    <n v="-2218042.3199999998"/>
    <n v="-2218042.3199999998"/>
  </r>
  <r>
    <x v="1"/>
    <x v="32"/>
    <m/>
    <x v="1"/>
    <x v="1"/>
    <x v="156"/>
    <n v="2"/>
    <x v="156"/>
    <s v="P"/>
    <s v=""/>
    <n v="0"/>
    <n v="-1551614.6"/>
    <n v="-1551614.6"/>
  </r>
  <r>
    <x v="1"/>
    <x v="32"/>
    <m/>
    <x v="2"/>
    <x v="2"/>
    <x v="156"/>
    <n v="50"/>
    <x v="156"/>
    <s v="P"/>
    <s v=""/>
    <n v="0"/>
    <n v="-944163"/>
    <n v="-944163"/>
  </r>
  <r>
    <x v="2"/>
    <x v="33"/>
    <m/>
    <x v="3"/>
    <x v="4"/>
    <x v="157"/>
    <m/>
    <x v="157"/>
    <m/>
    <m/>
    <m/>
    <m/>
    <m/>
  </r>
  <r>
    <x v="2"/>
    <x v="33"/>
    <m/>
    <x v="3"/>
    <x v="4"/>
    <x v="157"/>
    <m/>
    <x v="157"/>
    <m/>
    <m/>
    <m/>
    <m/>
    <n v="-467828.13000000082"/>
  </r>
  <r>
    <x v="2"/>
    <x v="33"/>
    <m/>
    <x v="3"/>
    <x v="4"/>
    <x v="157"/>
    <m/>
    <x v="157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AC6D5A-7C13-4F09-8586-3DC0B9D97CBF}" name="PivotTable2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6:F12" firstHeaderRow="1" firstDataRow="2" firstDataCol="1" rowPageCount="1" colPageCount="1"/>
  <pivotFields count="13">
    <pivotField axis="axisPage" showAll="0">
      <items count="4">
        <item x="0"/>
        <item x="1"/>
        <item x="2"/>
        <item t="default"/>
      </items>
    </pivotField>
    <pivotField axis="axisRow" showAll="0">
      <items count="35">
        <item x="18"/>
        <item x="22"/>
        <item h="1" x="17"/>
        <item h="1" x="30"/>
        <item h="1" x="20"/>
        <item h="1" x="28"/>
        <item x="23"/>
        <item x="21"/>
        <item h="1" x="24"/>
        <item h="1" x="19"/>
        <item h="1" x="25"/>
        <item h="1" x="26"/>
        <item h="1" x="27"/>
        <item h="1" x="33"/>
        <item h="1" x="29"/>
        <item h="1" x="31"/>
        <item h="1" x="32"/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t="default"/>
      </items>
    </pivotField>
    <pivotField showAll="0"/>
    <pivotField axis="axisCol" showAll="0">
      <items count="5">
        <item h="1" x="1"/>
        <item h="1" x="0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5">
    <i>
      <x/>
    </i>
    <i>
      <x v="1"/>
    </i>
    <i>
      <x v="6"/>
    </i>
    <i>
      <x v="7"/>
    </i>
    <i t="grand">
      <x/>
    </i>
  </rowItems>
  <colFields count="1">
    <field x="3"/>
  </colFields>
  <colItems count="2">
    <i>
      <x v="2"/>
    </i>
    <i t="grand">
      <x/>
    </i>
  </colItems>
  <pageFields count="1">
    <pageField fld="0" item="1" hier="-1"/>
  </pageFields>
  <dataFields count="1">
    <dataField name="Sum of NET_CHANGE" fld="11" baseField="0" baseItem="0" numFmtId="164"/>
  </dataFields>
  <formats count="21">
    <format dxfId="176">
      <pivotArea dataOnly="0" labelOnly="1" outline="0" fieldPosition="0">
        <references count="1">
          <reference field="0" count="1">
            <x v="1"/>
          </reference>
        </references>
      </pivotArea>
    </format>
    <format dxfId="175">
      <pivotArea outline="0" collapsedLevelsAreSubtotals="1" fieldPosition="0"/>
    </format>
    <format dxfId="174">
      <pivotArea dataOnly="0" labelOnly="1" outline="0" fieldPosition="0">
        <references count="1">
          <reference field="0" count="1">
            <x v="1"/>
          </reference>
        </references>
      </pivotArea>
    </format>
    <format dxfId="173">
      <pivotArea dataOnly="0" labelOnly="1" fieldPosition="0">
        <references count="1">
          <reference field="3" count="3">
            <x v="0"/>
            <x v="1"/>
            <x v="2"/>
          </reference>
        </references>
      </pivotArea>
    </format>
    <format dxfId="172">
      <pivotArea dataOnly="0" labelOnly="1" grandCol="1" outline="0" fieldPosition="0"/>
    </format>
    <format dxfId="171">
      <pivotArea grandCol="1" outline="0" collapsedLevelsAreSubtotals="1" fieldPosition="0"/>
    </format>
    <format dxfId="170">
      <pivotArea field="1" grandCol="1" collapsedLevelsAreSubtotals="1" axis="axisRow" fieldPosition="0">
        <references count="1">
          <reference field="1" count="1">
            <x v="2"/>
          </reference>
        </references>
      </pivotArea>
    </format>
    <format dxfId="169">
      <pivotArea field="1" grandCol="1" collapsedLevelsAreSubtotals="1" axis="axisRow" fieldPosition="0">
        <references count="1">
          <reference field="1" count="1">
            <x v="1"/>
          </reference>
        </references>
      </pivotArea>
    </format>
    <format dxfId="168">
      <pivotArea field="1" grandCol="1" collapsedLevelsAreSubtotals="1" axis="axisRow" fieldPosition="0">
        <references count="1">
          <reference field="1" count="1">
            <x v="6"/>
          </reference>
        </references>
      </pivotArea>
    </format>
    <format dxfId="167">
      <pivotArea field="1" grandCol="1" collapsedLevelsAreSubtotals="1" axis="axisRow" fieldPosition="0">
        <references count="1">
          <reference field="1" count="1">
            <x v="7"/>
          </reference>
        </references>
      </pivotArea>
    </format>
    <format dxfId="166">
      <pivotArea field="1" grandCol="1" collapsedLevelsAreSubtotals="1" axis="axisRow" fieldPosition="0">
        <references count="1">
          <reference field="1" count="1">
            <x v="8"/>
          </reference>
        </references>
      </pivotArea>
    </format>
    <format dxfId="165">
      <pivotArea field="1" grandCol="1" collapsedLevelsAreSubtotals="1" axis="axisRow" fieldPosition="0">
        <references count="1">
          <reference field="1" count="1">
            <x v="9"/>
          </reference>
        </references>
      </pivotArea>
    </format>
    <format dxfId="164">
      <pivotArea field="1" grandCol="1" collapsedLevelsAreSubtotals="1" axis="axisRow" fieldPosition="0">
        <references count="1">
          <reference field="1" count="1">
            <x v="10"/>
          </reference>
        </references>
      </pivotArea>
    </format>
    <format dxfId="163">
      <pivotArea field="1" grandCol="1" collapsedLevelsAreSubtotals="1" axis="axisRow" fieldPosition="0">
        <references count="1">
          <reference field="1" count="1">
            <x v="4"/>
          </reference>
        </references>
      </pivotArea>
    </format>
    <format dxfId="162">
      <pivotArea collapsedLevelsAreSubtotals="1" fieldPosition="0">
        <references count="2">
          <reference field="1" count="1">
            <x v="15"/>
          </reference>
          <reference field="3" count="1" selected="0">
            <x v="1"/>
          </reference>
        </references>
      </pivotArea>
    </format>
    <format dxfId="161">
      <pivotArea collapsedLevelsAreSubtotals="1" fieldPosition="0">
        <references count="2">
          <reference field="1" count="1">
            <x v="6"/>
          </reference>
          <reference field="3" count="1" selected="0">
            <x v="2"/>
          </reference>
        </references>
      </pivotArea>
    </format>
    <format dxfId="160">
      <pivotArea collapsedLevelsAreSubtotals="1" fieldPosition="0">
        <references count="2">
          <reference field="1" count="1">
            <x v="6"/>
          </reference>
          <reference field="3" count="1" selected="0">
            <x v="2"/>
          </reference>
        </references>
      </pivotArea>
    </format>
    <format dxfId="159">
      <pivotArea collapsedLevelsAreSubtotals="1" fieldPosition="0">
        <references count="2">
          <reference field="1" count="1">
            <x v="15"/>
          </reference>
          <reference field="3" count="1" selected="0">
            <x v="1"/>
          </reference>
        </references>
      </pivotArea>
    </format>
    <format dxfId="158">
      <pivotArea collapsedLevelsAreSubtotals="1" fieldPosition="0">
        <references count="2">
          <reference field="1" count="1">
            <x v="0"/>
          </reference>
          <reference field="3" count="1" selected="0">
            <x v="2"/>
          </reference>
        </references>
      </pivotArea>
    </format>
    <format dxfId="157">
      <pivotArea collapsedLevelsAreSubtotals="1" fieldPosition="0">
        <references count="1">
          <reference field="1" count="1">
            <x v="5"/>
          </reference>
        </references>
      </pivotArea>
    </format>
    <format dxfId="156">
      <pivotArea dataOnly="0" labelOnly="1" fieldPosition="0">
        <references count="1">
          <reference field="1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E6E477-332D-49BE-9BBE-E6971A736FC9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E22" firstHeaderRow="1" firstDataRow="2" firstDataCol="1" rowPageCount="1" colPageCount="1"/>
  <pivotFields count="13">
    <pivotField axis="axisPage" showAll="0">
      <items count="4">
        <item x="0"/>
        <item x="1"/>
        <item x="2"/>
        <item t="default"/>
      </items>
    </pivotField>
    <pivotField axis="axisRow" showAll="0">
      <items count="35">
        <item x="18"/>
        <item x="22"/>
        <item x="17"/>
        <item x="30"/>
        <item x="20"/>
        <item x="28"/>
        <item x="23"/>
        <item x="21"/>
        <item x="24"/>
        <item x="19"/>
        <item x="25"/>
        <item x="26"/>
        <item x="27"/>
        <item x="33"/>
        <item x="29"/>
        <item x="31"/>
        <item x="3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/>
    <pivotField axis="axisCol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4"/>
    </i>
    <i>
      <x v="15"/>
    </i>
    <i>
      <x v="16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pageFields count="1">
    <pageField fld="0" item="1" hier="-1"/>
  </pageFields>
  <dataFields count="1">
    <dataField name="Sum of NET_CHANGE" fld="11" baseField="0" baseItem="0" numFmtId="164"/>
  </dataFields>
  <formats count="21">
    <format dxfId="155">
      <pivotArea dataOnly="0" labelOnly="1" outline="0" fieldPosition="0">
        <references count="1">
          <reference field="0" count="1">
            <x v="1"/>
          </reference>
        </references>
      </pivotArea>
    </format>
    <format dxfId="154">
      <pivotArea outline="0" collapsedLevelsAreSubtotals="1" fieldPosition="0"/>
    </format>
    <format dxfId="153">
      <pivotArea dataOnly="0" labelOnly="1" outline="0" fieldPosition="0">
        <references count="1">
          <reference field="0" count="1">
            <x v="1"/>
          </reference>
        </references>
      </pivotArea>
    </format>
    <format dxfId="152">
      <pivotArea dataOnly="0" labelOnly="1" fieldPosition="0">
        <references count="1">
          <reference field="3" count="3">
            <x v="0"/>
            <x v="1"/>
            <x v="2"/>
          </reference>
        </references>
      </pivotArea>
    </format>
    <format dxfId="151">
      <pivotArea dataOnly="0" labelOnly="1" grandCol="1" outline="0" fieldPosition="0"/>
    </format>
    <format dxfId="150">
      <pivotArea grandCol="1" outline="0" collapsedLevelsAreSubtotals="1" fieldPosition="0"/>
    </format>
    <format dxfId="149">
      <pivotArea field="1" grandCol="1" collapsedLevelsAreSubtotals="1" axis="axisRow" fieldPosition="0">
        <references count="1">
          <reference field="1" count="1">
            <x v="2"/>
          </reference>
        </references>
      </pivotArea>
    </format>
    <format dxfId="148">
      <pivotArea field="1" grandCol="1" collapsedLevelsAreSubtotals="1" axis="axisRow" fieldPosition="0">
        <references count="1">
          <reference field="1" count="1">
            <x v="1"/>
          </reference>
        </references>
      </pivotArea>
    </format>
    <format dxfId="147">
      <pivotArea field="1" grandCol="1" collapsedLevelsAreSubtotals="1" axis="axisRow" fieldPosition="0">
        <references count="1">
          <reference field="1" count="1">
            <x v="6"/>
          </reference>
        </references>
      </pivotArea>
    </format>
    <format dxfId="146">
      <pivotArea field="1" grandCol="1" collapsedLevelsAreSubtotals="1" axis="axisRow" fieldPosition="0">
        <references count="1">
          <reference field="1" count="1">
            <x v="7"/>
          </reference>
        </references>
      </pivotArea>
    </format>
    <format dxfId="145">
      <pivotArea field="1" grandCol="1" collapsedLevelsAreSubtotals="1" axis="axisRow" fieldPosition="0">
        <references count="1">
          <reference field="1" count="1">
            <x v="8"/>
          </reference>
        </references>
      </pivotArea>
    </format>
    <format dxfId="144">
      <pivotArea field="1" grandCol="1" collapsedLevelsAreSubtotals="1" axis="axisRow" fieldPosition="0">
        <references count="1">
          <reference field="1" count="1">
            <x v="9"/>
          </reference>
        </references>
      </pivotArea>
    </format>
    <format dxfId="143">
      <pivotArea field="1" grandCol="1" collapsedLevelsAreSubtotals="1" axis="axisRow" fieldPosition="0">
        <references count="1">
          <reference field="1" count="1">
            <x v="10"/>
          </reference>
        </references>
      </pivotArea>
    </format>
    <format dxfId="142">
      <pivotArea field="1" grandCol="1" collapsedLevelsAreSubtotals="1" axis="axisRow" fieldPosition="0">
        <references count="1">
          <reference field="1" count="1">
            <x v="4"/>
          </reference>
        </references>
      </pivotArea>
    </format>
    <format dxfId="141">
      <pivotArea collapsedLevelsAreSubtotals="1" fieldPosition="0">
        <references count="2">
          <reference field="1" count="1">
            <x v="15"/>
          </reference>
          <reference field="3" count="1" selected="0">
            <x v="1"/>
          </reference>
        </references>
      </pivotArea>
    </format>
    <format dxfId="140">
      <pivotArea collapsedLevelsAreSubtotals="1" fieldPosition="0">
        <references count="2">
          <reference field="1" count="1">
            <x v="6"/>
          </reference>
          <reference field="3" count="1" selected="0">
            <x v="2"/>
          </reference>
        </references>
      </pivotArea>
    </format>
    <format dxfId="139">
      <pivotArea collapsedLevelsAreSubtotals="1" fieldPosition="0">
        <references count="2">
          <reference field="1" count="1">
            <x v="6"/>
          </reference>
          <reference field="3" count="1" selected="0">
            <x v="2"/>
          </reference>
        </references>
      </pivotArea>
    </format>
    <format dxfId="138">
      <pivotArea collapsedLevelsAreSubtotals="1" fieldPosition="0">
        <references count="2">
          <reference field="1" count="1">
            <x v="15"/>
          </reference>
          <reference field="3" count="1" selected="0">
            <x v="1"/>
          </reference>
        </references>
      </pivotArea>
    </format>
    <format dxfId="137">
      <pivotArea collapsedLevelsAreSubtotals="1" fieldPosition="0">
        <references count="2">
          <reference field="1" count="1">
            <x v="0"/>
          </reference>
          <reference field="3" count="1" selected="0">
            <x v="2"/>
          </reference>
        </references>
      </pivotArea>
    </format>
    <format dxfId="136">
      <pivotArea collapsedLevelsAreSubtotals="1" fieldPosition="0">
        <references count="1">
          <reference field="1" count="1">
            <x v="5"/>
          </reference>
        </references>
      </pivotArea>
    </format>
    <format dxfId="135">
      <pivotArea dataOnly="0" labelOnly="1" fieldPosition="0">
        <references count="1">
          <reference field="1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67C155-AD82-4889-9439-160F1D41CE74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E22" firstHeaderRow="1" firstDataRow="2" firstDataCol="1" rowPageCount="1" colPageCount="1"/>
  <pivotFields count="13">
    <pivotField axis="axisPage" showAll="0">
      <items count="4">
        <item x="0"/>
        <item x="1"/>
        <item x="2"/>
        <item t="default"/>
      </items>
    </pivotField>
    <pivotField axis="axisRow" showAll="0">
      <items count="35">
        <item x="18"/>
        <item x="22"/>
        <item x="17"/>
        <item x="30"/>
        <item x="20"/>
        <item x="28"/>
        <item x="23"/>
        <item x="21"/>
        <item x="24"/>
        <item x="19"/>
        <item x="25"/>
        <item x="26"/>
        <item x="27"/>
        <item x="33"/>
        <item x="29"/>
        <item x="31"/>
        <item x="3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/>
    <pivotField axis="axisCol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4"/>
    </i>
    <i>
      <x v="15"/>
    </i>
    <i>
      <x v="16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pageFields count="1">
    <pageField fld="0" item="1" hier="-1"/>
  </pageFields>
  <dataFields count="1">
    <dataField name="Sum of NET_CHANGE" fld="11" baseField="0" baseItem="0" numFmtId="164"/>
  </dataFields>
  <formats count="21">
    <format dxfId="134">
      <pivotArea dataOnly="0" labelOnly="1" outline="0" fieldPosition="0">
        <references count="1">
          <reference field="0" count="1">
            <x v="1"/>
          </reference>
        </references>
      </pivotArea>
    </format>
    <format dxfId="133">
      <pivotArea outline="0" collapsedLevelsAreSubtotals="1" fieldPosition="0"/>
    </format>
    <format dxfId="132">
      <pivotArea dataOnly="0" labelOnly="1" outline="0" fieldPosition="0">
        <references count="1">
          <reference field="0" count="1">
            <x v="1"/>
          </reference>
        </references>
      </pivotArea>
    </format>
    <format dxfId="131">
      <pivotArea dataOnly="0" labelOnly="1" fieldPosition="0">
        <references count="1">
          <reference field="3" count="3">
            <x v="0"/>
            <x v="1"/>
            <x v="2"/>
          </reference>
        </references>
      </pivotArea>
    </format>
    <format dxfId="130">
      <pivotArea dataOnly="0" labelOnly="1" grandCol="1" outline="0" fieldPosition="0"/>
    </format>
    <format dxfId="129">
      <pivotArea grandCol="1" outline="0" collapsedLevelsAreSubtotals="1" fieldPosition="0"/>
    </format>
    <format dxfId="128">
      <pivotArea field="1" grandCol="1" collapsedLevelsAreSubtotals="1" axis="axisRow" fieldPosition="0">
        <references count="1">
          <reference field="1" count="1">
            <x v="2"/>
          </reference>
        </references>
      </pivotArea>
    </format>
    <format dxfId="127">
      <pivotArea field="1" grandCol="1" collapsedLevelsAreSubtotals="1" axis="axisRow" fieldPosition="0">
        <references count="1">
          <reference field="1" count="1">
            <x v="1"/>
          </reference>
        </references>
      </pivotArea>
    </format>
    <format dxfId="126">
      <pivotArea field="1" grandCol="1" collapsedLevelsAreSubtotals="1" axis="axisRow" fieldPosition="0">
        <references count="1">
          <reference field="1" count="1">
            <x v="6"/>
          </reference>
        </references>
      </pivotArea>
    </format>
    <format dxfId="125">
      <pivotArea field="1" grandCol="1" collapsedLevelsAreSubtotals="1" axis="axisRow" fieldPosition="0">
        <references count="1">
          <reference field="1" count="1">
            <x v="7"/>
          </reference>
        </references>
      </pivotArea>
    </format>
    <format dxfId="124">
      <pivotArea field="1" grandCol="1" collapsedLevelsAreSubtotals="1" axis="axisRow" fieldPosition="0">
        <references count="1">
          <reference field="1" count="1">
            <x v="8"/>
          </reference>
        </references>
      </pivotArea>
    </format>
    <format dxfId="123">
      <pivotArea field="1" grandCol="1" collapsedLevelsAreSubtotals="1" axis="axisRow" fieldPosition="0">
        <references count="1">
          <reference field="1" count="1">
            <x v="9"/>
          </reference>
        </references>
      </pivotArea>
    </format>
    <format dxfId="122">
      <pivotArea field="1" grandCol="1" collapsedLevelsAreSubtotals="1" axis="axisRow" fieldPosition="0">
        <references count="1">
          <reference field="1" count="1">
            <x v="10"/>
          </reference>
        </references>
      </pivotArea>
    </format>
    <format dxfId="121">
      <pivotArea field="1" grandCol="1" collapsedLevelsAreSubtotals="1" axis="axisRow" fieldPosition="0">
        <references count="1">
          <reference field="1" count="1">
            <x v="4"/>
          </reference>
        </references>
      </pivotArea>
    </format>
    <format dxfId="120">
      <pivotArea collapsedLevelsAreSubtotals="1" fieldPosition="0">
        <references count="2">
          <reference field="1" count="1">
            <x v="15"/>
          </reference>
          <reference field="3" count="1" selected="0">
            <x v="1"/>
          </reference>
        </references>
      </pivotArea>
    </format>
    <format dxfId="119">
      <pivotArea collapsedLevelsAreSubtotals="1" fieldPosition="0">
        <references count="2">
          <reference field="1" count="1">
            <x v="6"/>
          </reference>
          <reference field="3" count="1" selected="0">
            <x v="2"/>
          </reference>
        </references>
      </pivotArea>
    </format>
    <format dxfId="118">
      <pivotArea collapsedLevelsAreSubtotals="1" fieldPosition="0">
        <references count="2">
          <reference field="1" count="1">
            <x v="6"/>
          </reference>
          <reference field="3" count="1" selected="0">
            <x v="2"/>
          </reference>
        </references>
      </pivotArea>
    </format>
    <format dxfId="117">
      <pivotArea collapsedLevelsAreSubtotals="1" fieldPosition="0">
        <references count="2">
          <reference field="1" count="1">
            <x v="15"/>
          </reference>
          <reference field="3" count="1" selected="0">
            <x v="1"/>
          </reference>
        </references>
      </pivotArea>
    </format>
    <format dxfId="116">
      <pivotArea collapsedLevelsAreSubtotals="1" fieldPosition="0">
        <references count="2">
          <reference field="1" count="1">
            <x v="0"/>
          </reference>
          <reference field="3" count="1" selected="0">
            <x v="2"/>
          </reference>
        </references>
      </pivotArea>
    </format>
    <format dxfId="115">
      <pivotArea collapsedLevelsAreSubtotals="1" fieldPosition="0">
        <references count="1">
          <reference field="1" count="1">
            <x v="5"/>
          </reference>
        </references>
      </pivotArea>
    </format>
    <format dxfId="114">
      <pivotArea dataOnly="0" labelOnly="1" fieldPosition="0">
        <references count="1">
          <reference field="1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B8335F-78E9-4E51-B6AE-D00F5204A577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3:P21" firstHeaderRow="1" firstDataRow="2" firstDataCol="1" rowPageCount="1" colPageCount="1"/>
  <pivotFields count="13">
    <pivotField axis="axisPage" showAll="0">
      <items count="4">
        <item x="0"/>
        <item x="1"/>
        <item x="2"/>
        <item t="default"/>
      </items>
    </pivotField>
    <pivotField axis="axisRow" showAll="0">
      <items count="35">
        <item x="18"/>
        <item x="22"/>
        <item x="17"/>
        <item x="30"/>
        <item x="28"/>
        <item x="23"/>
        <item x="21"/>
        <item x="24"/>
        <item x="19"/>
        <item x="25"/>
        <item x="26"/>
        <item x="27"/>
        <item x="33"/>
        <item x="29"/>
        <item x="31"/>
        <item x="32"/>
        <item x="2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/>
    <pivotField showAll="0"/>
    <pivotField axis="axisCol" showAll="0">
      <items count="6">
        <item x="1"/>
        <item x="0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3"/>
    </i>
    <i>
      <x v="14"/>
    </i>
    <i>
      <x v="15"/>
    </i>
    <i>
      <x v="16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pageFields count="1">
    <pageField fld="0" item="1" hier="-1"/>
  </pageFields>
  <dataFields count="1">
    <dataField name="Sum of NET_CHANGE" fld="11" baseField="0" baseItem="0" numFmtId="164"/>
  </dataFields>
  <formats count="14">
    <format dxfId="96">
      <pivotArea dataOnly="0" labelOnly="1" outline="0" fieldPosition="0">
        <references count="1">
          <reference field="0" count="1">
            <x v="1"/>
          </reference>
        </references>
      </pivotArea>
    </format>
    <format dxfId="95">
      <pivotArea outline="0" collapsedLevelsAreSubtotals="1" fieldPosition="0"/>
    </format>
    <format dxfId="94">
      <pivotArea dataOnly="0" labelOnly="1" outline="0" fieldPosition="0">
        <references count="1">
          <reference field="0" count="1">
            <x v="1"/>
          </reference>
        </references>
      </pivotArea>
    </format>
    <format dxfId="93">
      <pivotArea dataOnly="0" labelOnly="1" grandCol="1" outline="0" fieldPosition="0"/>
    </format>
    <format dxfId="92">
      <pivotArea grandCol="1" outline="0" collapsedLevelsAreSubtotals="1" fieldPosition="0"/>
    </format>
    <format dxfId="91">
      <pivotArea dataOnly="0" labelOnly="1" fieldPosition="0">
        <references count="1">
          <reference field="4" count="4">
            <x v="0"/>
            <x v="1"/>
            <x v="2"/>
            <x v="3"/>
          </reference>
        </references>
      </pivotArea>
    </format>
    <format dxfId="90">
      <pivotArea collapsedLevelsAreSubtotals="1" fieldPosition="0">
        <references count="2">
          <reference field="1" count="1">
            <x v="13"/>
          </reference>
          <reference field="4" count="1" selected="0">
            <x v="1"/>
          </reference>
        </references>
      </pivotArea>
    </format>
    <format dxfId="89">
      <pivotArea collapsedLevelsAreSubtotals="1" fieldPosition="0">
        <references count="2">
          <reference field="1" count="1">
            <x v="5"/>
          </reference>
          <reference field="4" count="1" selected="0">
            <x v="3"/>
          </reference>
        </references>
      </pivotArea>
    </format>
    <format dxfId="88">
      <pivotArea collapsedLevelsAreSubtotals="1" fieldPosition="0">
        <references count="2">
          <reference field="1" count="1">
            <x v="3"/>
          </reference>
          <reference field="4" count="1" selected="0">
            <x v="3"/>
          </reference>
        </references>
      </pivotArea>
    </format>
    <format dxfId="87">
      <pivotArea collapsedLevelsAreSubtotals="1" fieldPosition="0">
        <references count="2">
          <reference field="1" count="1">
            <x v="3"/>
          </reference>
          <reference field="4" count="1" selected="0">
            <x v="3"/>
          </reference>
        </references>
      </pivotArea>
    </format>
    <format dxfId="86">
      <pivotArea collapsedLevelsAreSubtotals="1" fieldPosition="0">
        <references count="2">
          <reference field="1" count="1">
            <x v="5"/>
          </reference>
          <reference field="4" count="1" selected="0">
            <x v="3"/>
          </reference>
        </references>
      </pivotArea>
    </format>
    <format dxfId="85">
      <pivotArea collapsedLevelsAreSubtotals="1" fieldPosition="0">
        <references count="2">
          <reference field="1" count="1">
            <x v="1"/>
          </reference>
          <reference field="4" count="1" selected="0">
            <x v="3"/>
          </reference>
        </references>
      </pivotArea>
    </format>
    <format dxfId="84">
      <pivotArea collapsedLevelsAreSubtotals="1" fieldPosition="0">
        <references count="2">
          <reference field="1" count="1">
            <x v="6"/>
          </reference>
          <reference field="4" count="1" selected="0">
            <x v="3"/>
          </reference>
        </references>
      </pivotArea>
    </format>
    <format dxfId="83">
      <pivotArea collapsedLevelsAreSubtotals="1" fieldPosition="0">
        <references count="2">
          <reference field="1" count="1">
            <x v="14"/>
          </reference>
          <reference field="4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C33AEB-6049-4A9E-9B78-6E53B9C2F408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21" firstHeaderRow="1" firstDataRow="2" firstDataCol="1" rowPageCount="1" colPageCount="1"/>
  <pivotFields count="13">
    <pivotField axis="axisPage" showAll="0">
      <items count="4">
        <item x="0"/>
        <item x="1"/>
        <item x="2"/>
        <item t="default"/>
      </items>
    </pivotField>
    <pivotField axis="axisRow" showAll="0">
      <items count="35">
        <item x="18"/>
        <item x="22"/>
        <item x="17"/>
        <item x="30"/>
        <item x="20"/>
        <item x="28"/>
        <item x="23"/>
        <item x="21"/>
        <item x="24"/>
        <item x="19"/>
        <item x="25"/>
        <item x="26"/>
        <item x="27"/>
        <item x="33"/>
        <item x="29"/>
        <item x="31"/>
        <item x="3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/>
    <pivotField axis="axisCol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4"/>
    </i>
    <i>
      <x v="15"/>
    </i>
    <i>
      <x v="16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pageFields count="1">
    <pageField fld="0" item="1" hier="-1"/>
  </pageFields>
  <dataFields count="1">
    <dataField name="Sum of NET_CHANGE" fld="11" baseField="0" baseItem="0" numFmtId="164"/>
  </dataFields>
  <formats count="17">
    <format dxfId="113">
      <pivotArea dataOnly="0" labelOnly="1" outline="0" fieldPosition="0">
        <references count="1">
          <reference field="0" count="1">
            <x v="1"/>
          </reference>
        </references>
      </pivotArea>
    </format>
    <format dxfId="112">
      <pivotArea outline="0" collapsedLevelsAreSubtotals="1" fieldPosition="0"/>
    </format>
    <format dxfId="111">
      <pivotArea dataOnly="0" labelOnly="1" outline="0" fieldPosition="0">
        <references count="1">
          <reference field="0" count="1">
            <x v="1"/>
          </reference>
        </references>
      </pivotArea>
    </format>
    <format dxfId="110">
      <pivotArea dataOnly="0" labelOnly="1" fieldPosition="0">
        <references count="1">
          <reference field="3" count="3">
            <x v="0"/>
            <x v="1"/>
            <x v="2"/>
          </reference>
        </references>
      </pivotArea>
    </format>
    <format dxfId="109">
      <pivotArea dataOnly="0" labelOnly="1" grandCol="1" outline="0" fieldPosition="0"/>
    </format>
    <format dxfId="108">
      <pivotArea grandCol="1" outline="0" collapsedLevelsAreSubtotals="1" fieldPosition="0"/>
    </format>
    <format dxfId="107">
      <pivotArea field="1" grandCol="1" collapsedLevelsAreSubtotals="1" axis="axisRow" fieldPosition="0">
        <references count="1">
          <reference field="1" count="1">
            <x v="2"/>
          </reference>
        </references>
      </pivotArea>
    </format>
    <format dxfId="106">
      <pivotArea field="1" grandCol="1" collapsedLevelsAreSubtotals="1" axis="axisRow" fieldPosition="0">
        <references count="1">
          <reference field="1" count="1">
            <x v="1"/>
          </reference>
        </references>
      </pivotArea>
    </format>
    <format dxfId="105">
      <pivotArea field="1" grandCol="1" collapsedLevelsAreSubtotals="1" axis="axisRow" fieldPosition="0">
        <references count="1">
          <reference field="1" count="1">
            <x v="6"/>
          </reference>
        </references>
      </pivotArea>
    </format>
    <format dxfId="104">
      <pivotArea field="1" grandCol="1" collapsedLevelsAreSubtotals="1" axis="axisRow" fieldPosition="0">
        <references count="1">
          <reference field="1" count="1">
            <x v="7"/>
          </reference>
        </references>
      </pivotArea>
    </format>
    <format dxfId="103">
      <pivotArea field="1" grandCol="1" collapsedLevelsAreSubtotals="1" axis="axisRow" fieldPosition="0">
        <references count="1">
          <reference field="1" count="1">
            <x v="8"/>
          </reference>
        </references>
      </pivotArea>
    </format>
    <format dxfId="102">
      <pivotArea field="1" grandCol="1" collapsedLevelsAreSubtotals="1" axis="axisRow" fieldPosition="0">
        <references count="1">
          <reference field="1" count="1">
            <x v="9"/>
          </reference>
        </references>
      </pivotArea>
    </format>
    <format dxfId="101">
      <pivotArea field="1" grandCol="1" collapsedLevelsAreSubtotals="1" axis="axisRow" fieldPosition="0">
        <references count="1">
          <reference field="1" count="1">
            <x v="10"/>
          </reference>
        </references>
      </pivotArea>
    </format>
    <format dxfId="100">
      <pivotArea collapsedLevelsAreSubtotals="1" fieldPosition="0">
        <references count="1">
          <reference field="1" count="1">
            <x v="5"/>
          </reference>
        </references>
      </pivotArea>
    </format>
    <format dxfId="99">
      <pivotArea dataOnly="0" labelOnly="1" fieldPosition="0">
        <references count="1">
          <reference field="1" count="1">
            <x v="5"/>
          </reference>
        </references>
      </pivotArea>
    </format>
    <format dxfId="98">
      <pivotArea field="1" grandCol="1" collapsedLevelsAreSubtotals="1" axis="axisRow" fieldPosition="0">
        <references count="1">
          <reference field="1" count="1">
            <x v="4"/>
          </reference>
        </references>
      </pivotArea>
    </format>
    <format dxfId="97">
      <pivotArea collapsedLevelsAreSubtotals="1" fieldPosition="0">
        <references count="2">
          <reference field="1" count="1">
            <x v="15"/>
          </reference>
          <reference field="3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8D8320-FB3D-4DAC-AD80-7A2D912F0F72}" name="PivotTable14" cacheId="1" applyNumberFormats="0" applyBorderFormats="0" applyFontFormats="0" applyPatternFormats="0" applyAlignmentFormats="0" applyWidthHeightFormats="1" dataCaption="Values" updatedVersion="8" minRefreshableVersion="3" colGrandTotals="0" itemPrintTitles="1" createdVersion="8" indent="0" compact="0" compactData="0" gridDropZones="1" multipleFieldFilters="0">
  <location ref="A21:G32" firstHeaderRow="1" firstDataRow="3" firstDataCol="3" rowPageCount="1" colPageCount="1"/>
  <pivotFields count="13">
    <pivotField axis="axisPage" compact="0" outline="0" showAll="0">
      <items count="4">
        <item x="0"/>
        <item x="1"/>
        <item x="2"/>
        <item t="default"/>
      </items>
    </pivotField>
    <pivotField axis="axisRow" compact="0" outline="0" showAll="0" defaultSubtotal="0">
      <items count="34">
        <item h="1" x="18"/>
        <item h="1" x="22"/>
        <item h="1" x="17"/>
        <item h="1" x="30"/>
        <item h="1" x="20"/>
        <item h="1" x="28"/>
        <item h="1" x="23"/>
        <item h="1" x="21"/>
        <item h="1" x="24"/>
        <item h="1" x="19"/>
        <item h="1" x="25"/>
        <item h="1" x="26"/>
        <item h="1" x="27"/>
        <item h="1" x="33"/>
        <item h="1" x="29"/>
        <item h="1" x="31"/>
        <item h="1" x="32"/>
        <item h="1" x="0"/>
        <item h="1" x="1"/>
        <item h="1" x="2"/>
        <item x="3"/>
        <item x="4"/>
        <item x="5"/>
        <item x="6"/>
        <item x="7"/>
        <item x="8"/>
        <item x="9"/>
        <item x="10"/>
        <item h="1" x="11"/>
        <item h="1" x="12"/>
        <item h="1" x="13"/>
        <item h="1" x="14"/>
        <item h="1" x="15"/>
        <item h="1" x="16"/>
      </items>
    </pivotField>
    <pivotField compact="0" outline="0" showAll="0"/>
    <pivotField compact="0" outline="0" showAll="0"/>
    <pivotField axis="axisCol" compact="0" outline="0" showAll="0">
      <items count="6">
        <item x="1"/>
        <item x="3"/>
        <item x="0"/>
        <item x="2"/>
        <item x="4"/>
        <item t="default"/>
      </items>
    </pivotField>
    <pivotField axis="axisRow" compact="0" outline="0" showAll="0" defaultSubtotal="0">
      <items count="1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46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</items>
    </pivotField>
    <pivotField compact="0" outline="0" showAll="0"/>
    <pivotField axis="axisRow" compact="0" outline="0" showAll="0">
      <items count="159">
        <item x="102"/>
        <item x="104"/>
        <item x="30"/>
        <item x="4"/>
        <item x="5"/>
        <item x="40"/>
        <item x="39"/>
        <item x="37"/>
        <item x="38"/>
        <item x="36"/>
        <item x="35"/>
        <item x="41"/>
        <item x="29"/>
        <item x="27"/>
        <item x="22"/>
        <item x="24"/>
        <item x="18"/>
        <item x="20"/>
        <item x="131"/>
        <item x="111"/>
        <item x="112"/>
        <item x="114"/>
        <item x="85"/>
        <item x="83"/>
        <item x="84"/>
        <item x="82"/>
        <item x="28"/>
        <item x="115"/>
        <item x="63"/>
        <item x="0"/>
        <item x="3"/>
        <item x="2"/>
        <item x="53"/>
        <item x="54"/>
        <item x="55"/>
        <item x="59"/>
        <item x="52"/>
        <item x="56"/>
        <item x="57"/>
        <item x="58"/>
        <item x="42"/>
        <item x="80"/>
        <item x="79"/>
        <item x="78"/>
        <item x="26"/>
        <item x="31"/>
        <item x="152"/>
        <item x="7"/>
        <item x="106"/>
        <item x="109"/>
        <item x="107"/>
        <item x="105"/>
        <item x="108"/>
        <item x="45"/>
        <item x="116"/>
        <item x="132"/>
        <item x="133"/>
        <item x="61"/>
        <item x="60"/>
        <item x="98"/>
        <item x="135"/>
        <item x="46"/>
        <item x="144"/>
        <item x="147"/>
        <item x="142"/>
        <item x="143"/>
        <item x="21"/>
        <item x="99"/>
        <item x="137"/>
        <item x="120"/>
        <item x="77"/>
        <item x="75"/>
        <item x="76"/>
        <item x="74"/>
        <item x="134"/>
        <item x="25"/>
        <item x="62"/>
        <item x="103"/>
        <item x="145"/>
        <item x="154"/>
        <item x="151"/>
        <item x="140"/>
        <item x="9"/>
        <item x="11"/>
        <item x="12"/>
        <item x="16"/>
        <item x="13"/>
        <item x="10"/>
        <item x="14"/>
        <item x="15"/>
        <item x="23"/>
        <item x="122"/>
        <item x="17"/>
        <item x="73"/>
        <item x="71"/>
        <item x="72"/>
        <item x="70"/>
        <item x="86"/>
        <item x="89"/>
        <item x="87"/>
        <item x="88"/>
        <item x="51"/>
        <item x="153"/>
        <item x="149"/>
        <item x="32"/>
        <item x="34"/>
        <item x="33"/>
        <item x="136"/>
        <item x="121"/>
        <item x="124"/>
        <item x="119"/>
        <item x="126"/>
        <item x="44"/>
        <item x="113"/>
        <item x="1"/>
        <item x="81"/>
        <item x="125"/>
        <item x="6"/>
        <item x="8"/>
        <item x="155"/>
        <item x="69"/>
        <item x="156"/>
        <item x="67"/>
        <item x="68"/>
        <item x="66"/>
        <item x="150"/>
        <item x="96"/>
        <item x="97"/>
        <item x="64"/>
        <item x="65"/>
        <item x="43"/>
        <item x="148"/>
        <item x="47"/>
        <item x="48"/>
        <item x="49"/>
        <item x="50"/>
        <item x="127"/>
        <item x="130"/>
        <item x="128"/>
        <item x="129"/>
        <item x="117"/>
        <item x="93"/>
        <item x="91"/>
        <item x="92"/>
        <item x="90"/>
        <item x="100"/>
        <item x="94"/>
        <item x="139"/>
        <item x="118"/>
        <item x="123"/>
        <item x="141"/>
        <item x="95"/>
        <item x="146"/>
        <item x="110"/>
        <item x="19"/>
        <item x="138"/>
        <item x="101"/>
        <item x="157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</pivotFields>
  <rowFields count="3">
    <field x="1"/>
    <field x="5"/>
    <field x="7"/>
  </rowFields>
  <rowItems count="9">
    <i>
      <x v="20"/>
      <x v="9"/>
      <x v="82"/>
    </i>
    <i>
      <x v="21"/>
      <x v="10"/>
      <x v="87"/>
    </i>
    <i>
      <x v="22"/>
      <x v="11"/>
      <x v="83"/>
    </i>
    <i>
      <x v="23"/>
      <x v="12"/>
      <x v="84"/>
    </i>
    <i>
      <x v="24"/>
      <x v="13"/>
      <x v="86"/>
    </i>
    <i>
      <x v="25"/>
      <x v="15"/>
      <x v="88"/>
    </i>
    <i>
      <x v="26"/>
      <x v="16"/>
      <x v="89"/>
    </i>
    <i>
      <x v="27"/>
      <x v="17"/>
      <x v="85"/>
    </i>
    <i t="grand">
      <x/>
    </i>
  </rowItems>
  <colFields count="2">
    <field x="4"/>
    <field x="-2"/>
  </colFields>
  <colItems count="4">
    <i>
      <x/>
      <x/>
    </i>
    <i r="1" i="1">
      <x v="1"/>
    </i>
    <i>
      <x v="2"/>
      <x/>
    </i>
    <i r="1" i="1">
      <x v="1"/>
    </i>
  </colItems>
  <pageFields count="1">
    <pageField fld="0" item="0" hier="-1"/>
  </pageFields>
  <dataFields count="2">
    <dataField name="Sum of BEG_BAL_JAN2026" fld="10" baseField="0" baseItem="0"/>
    <dataField name="Sum of END_BAL_JUN2026" fld="12" baseField="0" baseItem="0"/>
  </dataFields>
  <formats count="33">
    <format dxfId="58">
      <pivotArea dataOnly="0" labelOnly="1" outline="0" fieldPosition="0">
        <references count="1">
          <reference field="0" count="1">
            <x v="1"/>
          </reference>
        </references>
      </pivotArea>
    </format>
    <format dxfId="57">
      <pivotArea outline="0" collapsedLevelsAreSubtotals="1" fieldPosition="0"/>
    </format>
    <format dxfId="56">
      <pivotArea dataOnly="0" labelOnly="1" outline="0" fieldPosition="0">
        <references count="1">
          <reference field="0" count="1">
            <x v="1"/>
          </reference>
        </references>
      </pivotArea>
    </format>
    <format dxfId="55">
      <pivotArea dataOnly="0" labelOnly="1" grandCol="1" outline="0" fieldPosition="0"/>
    </format>
    <format dxfId="54">
      <pivotArea grandCol="1" outline="0" collapsedLevelsAreSubtotals="1" fieldPosition="0"/>
    </format>
    <format dxfId="53">
      <pivotArea field="1" grandCol="1" collapsedLevelsAreSubtotals="1" axis="axisRow" fieldPosition="0">
        <references count="1">
          <reference field="1" count="1">
            <x v="2"/>
          </reference>
        </references>
      </pivotArea>
    </format>
    <format dxfId="52">
      <pivotArea field="1" grandCol="1" collapsedLevelsAreSubtotals="1" axis="axisRow" fieldPosition="0">
        <references count="1">
          <reference field="1" count="1">
            <x v="1"/>
          </reference>
        </references>
      </pivotArea>
    </format>
    <format dxfId="51">
      <pivotArea field="1" grandCol="1" collapsedLevelsAreSubtotals="1" axis="axisRow" fieldPosition="0">
        <references count="1">
          <reference field="1" count="1">
            <x v="6"/>
          </reference>
        </references>
      </pivotArea>
    </format>
    <format dxfId="50">
      <pivotArea field="1" grandCol="1" collapsedLevelsAreSubtotals="1" axis="axisRow" fieldPosition="0">
        <references count="1">
          <reference field="1" count="1">
            <x v="7"/>
          </reference>
        </references>
      </pivotArea>
    </format>
    <format dxfId="49">
      <pivotArea field="1" grandCol="1" collapsedLevelsAreSubtotals="1" axis="axisRow" fieldPosition="0">
        <references count="1">
          <reference field="1" count="1">
            <x v="8"/>
          </reference>
        </references>
      </pivotArea>
    </format>
    <format dxfId="48">
      <pivotArea field="1" grandCol="1" collapsedLevelsAreSubtotals="1" axis="axisRow" fieldPosition="0">
        <references count="1">
          <reference field="1" count="1">
            <x v="9"/>
          </reference>
        </references>
      </pivotArea>
    </format>
    <format dxfId="47">
      <pivotArea field="1" grandCol="1" collapsedLevelsAreSubtotals="1" axis="axisRow" fieldPosition="0">
        <references count="1">
          <reference field="1" count="1">
            <x v="10"/>
          </reference>
        </references>
      </pivotArea>
    </format>
    <format dxfId="46">
      <pivotArea field="1" grandCol="1" collapsedLevelsAreSubtotals="1" axis="axisRow" fieldPosition="0">
        <references count="1">
          <reference field="1" count="1">
            <x v="4"/>
          </reference>
        </references>
      </pivotArea>
    </format>
    <format dxfId="45">
      <pivotArea collapsedLevelsAreSubtotals="1" fieldPosition="0">
        <references count="1">
          <reference field="1" count="1">
            <x v="5"/>
          </reference>
        </references>
      </pivotArea>
    </format>
    <format dxfId="44">
      <pivotArea dataOnly="0" labelOnly="1" fieldPosition="0">
        <references count="1">
          <reference field="1" count="1">
            <x v="5"/>
          </reference>
        </references>
      </pivotArea>
    </format>
    <format dxfId="43">
      <pivotArea dataOnly="0" labelOnly="1" outline="0" fieldPosition="0">
        <references count="1">
          <reference field="0" count="1">
            <x v="0"/>
          </reference>
        </references>
      </pivotArea>
    </format>
    <format dxfId="42">
      <pivotArea dataOnly="0" labelOnly="1" outline="0" fieldPosition="0">
        <references count="1">
          <reference field="0" count="1">
            <x v="0"/>
          </reference>
        </references>
      </pivotArea>
    </format>
    <format dxfId="41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0"/>
          </reference>
        </references>
      </pivotArea>
    </format>
    <format dxfId="40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2"/>
          </reference>
        </references>
      </pivotArea>
    </format>
    <format dxfId="39">
      <pivotArea dataOnly="0" outline="0" fieldPosition="0">
        <references count="2">
          <reference field="4294967294" count="1">
            <x v="1"/>
          </reference>
          <reference field="0" count="1" selected="0">
            <x v="0"/>
          </reference>
        </references>
      </pivotArea>
    </format>
    <format dxfId="38">
      <pivotArea outline="0" collapsedLevelsAreSubtotals="1" fieldPosition="0"/>
    </format>
    <format dxfId="37">
      <pivotArea field="4" type="button" dataOnly="0" labelOnly="1" outline="0" axis="axisCol" fieldPosition="0"/>
    </format>
    <format dxfId="36">
      <pivotArea field="-2" type="button" dataOnly="0" labelOnly="1" outline="0" axis="axisCol" fieldPosition="1"/>
    </format>
    <format dxfId="35">
      <pivotArea type="topRight" dataOnly="0" labelOnly="1" outline="0" fieldPosition="0"/>
    </format>
    <format dxfId="34">
      <pivotArea dataOnly="0" labelOnly="1" outline="0" fieldPosition="0">
        <references count="1">
          <reference field="4" count="2">
            <x v="0"/>
            <x v="2"/>
          </reference>
        </references>
      </pivotArea>
    </format>
    <format dxfId="33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0"/>
          </reference>
        </references>
      </pivotArea>
    </format>
    <format dxfId="32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2"/>
          </reference>
        </references>
      </pivotArea>
    </format>
    <format dxfId="31">
      <pivotArea dataOnly="0" outline="0" fieldPosition="0">
        <references count="2">
          <reference field="4294967294" count="1">
            <x v="1"/>
          </reference>
          <reference field="0" count="1" selected="0">
            <x v="0"/>
          </reference>
        </references>
      </pivotArea>
    </format>
    <format dxfId="30">
      <pivotArea dataOnly="0" labelOnly="1" outline="0" fieldPosition="0">
        <references count="2">
          <reference field="4294967294" count="1">
            <x v="0"/>
          </reference>
          <reference field="4" count="1" selected="0">
            <x v="0"/>
          </reference>
        </references>
      </pivotArea>
    </format>
    <format dxfId="29">
      <pivotArea dataOnly="0" labelOnly="1" outline="0" fieldPosition="0">
        <references count="2">
          <reference field="4294967294" count="1">
            <x v="1"/>
          </reference>
          <reference field="4" count="1" selected="0">
            <x v="0"/>
          </reference>
        </references>
      </pivotArea>
    </format>
    <format dxfId="28">
      <pivotArea dataOnly="0" labelOnly="1" outline="0" fieldPosition="0">
        <references count="2">
          <reference field="4294967294" count="1">
            <x v="0"/>
          </reference>
          <reference field="4" count="1" selected="0">
            <x v="2"/>
          </reference>
        </references>
      </pivotArea>
    </format>
    <format dxfId="27">
      <pivotArea dataOnly="0" labelOnly="1" outline="0" fieldPosition="0">
        <references count="2">
          <reference field="4294967294" count="1">
            <x v="1"/>
          </reference>
          <reference field="4" count="1" selected="0">
            <x v="2"/>
          </reference>
        </references>
      </pivotArea>
    </format>
    <format dxfId="26">
      <pivotArea dataOnly="0" outline="0" fieldPosition="0">
        <references count="2">
          <reference field="4294967294" count="1">
            <x v="0"/>
          </reference>
          <reference field="0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750FE1-2738-4524-94FE-ED115A024F4C}" name="PivotTable12" cacheId="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gridDropZones="1" multipleFieldFilters="0">
  <location ref="A4:E14" firstHeaderRow="1" firstDataRow="2" firstDataCol="3" rowPageCount="1" colPageCount="1"/>
  <pivotFields count="13">
    <pivotField axis="axisPage" compact="0" outline="0" showAll="0">
      <items count="4">
        <item x="0"/>
        <item x="1"/>
        <item x="2"/>
        <item t="default"/>
      </items>
    </pivotField>
    <pivotField axis="axisRow" compact="0" outline="0" showAll="0" defaultSubtotal="0">
      <items count="34">
        <item h="1" x="18"/>
        <item h="1" x="22"/>
        <item h="1" x="17"/>
        <item h="1" x="30"/>
        <item h="1" x="20"/>
        <item h="1" x="28"/>
        <item h="1" x="23"/>
        <item h="1" x="21"/>
        <item h="1" x="24"/>
        <item h="1" x="19"/>
        <item h="1" x="25"/>
        <item h="1" x="26"/>
        <item h="1" x="27"/>
        <item h="1" x="33"/>
        <item h="1" x="29"/>
        <item h="1" x="31"/>
        <item h="1" x="32"/>
        <item h="1" x="0"/>
        <item h="1" x="1"/>
        <item h="1" x="2"/>
        <item x="3"/>
        <item x="4"/>
        <item x="5"/>
        <item x="6"/>
        <item x="7"/>
        <item x="8"/>
        <item x="9"/>
        <item x="10"/>
        <item h="1" x="11"/>
        <item h="1" x="12"/>
        <item h="1" x="13"/>
        <item h="1" x="14"/>
        <item h="1" x="15"/>
        <item h="1" x="16"/>
      </items>
    </pivotField>
    <pivotField compact="0" outline="0" showAll="0"/>
    <pivotField compact="0" outline="0" showAll="0"/>
    <pivotField compact="0" outline="0" showAll="0"/>
    <pivotField axis="axisRow" compact="0" outline="0" showAll="0" defaultSubtotal="0">
      <items count="1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46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</items>
    </pivotField>
    <pivotField compact="0" outline="0" showAll="0"/>
    <pivotField axis="axisRow" compact="0" outline="0" showAll="0">
      <items count="159">
        <item x="102"/>
        <item x="104"/>
        <item x="30"/>
        <item x="4"/>
        <item x="5"/>
        <item x="40"/>
        <item x="39"/>
        <item x="37"/>
        <item x="38"/>
        <item x="36"/>
        <item x="35"/>
        <item x="41"/>
        <item x="29"/>
        <item x="27"/>
        <item x="22"/>
        <item x="24"/>
        <item x="18"/>
        <item x="20"/>
        <item x="131"/>
        <item x="111"/>
        <item x="112"/>
        <item x="114"/>
        <item x="85"/>
        <item x="83"/>
        <item x="84"/>
        <item x="82"/>
        <item x="28"/>
        <item x="115"/>
        <item x="63"/>
        <item x="0"/>
        <item x="3"/>
        <item x="2"/>
        <item x="53"/>
        <item x="54"/>
        <item x="55"/>
        <item x="59"/>
        <item x="52"/>
        <item x="56"/>
        <item x="57"/>
        <item x="58"/>
        <item x="42"/>
        <item x="80"/>
        <item x="79"/>
        <item x="78"/>
        <item x="26"/>
        <item x="31"/>
        <item x="152"/>
        <item x="7"/>
        <item x="106"/>
        <item x="109"/>
        <item x="107"/>
        <item x="105"/>
        <item x="108"/>
        <item x="45"/>
        <item x="116"/>
        <item x="132"/>
        <item x="133"/>
        <item x="61"/>
        <item x="60"/>
        <item x="98"/>
        <item x="135"/>
        <item x="46"/>
        <item x="144"/>
        <item x="147"/>
        <item x="142"/>
        <item x="143"/>
        <item x="21"/>
        <item x="99"/>
        <item x="137"/>
        <item x="120"/>
        <item x="77"/>
        <item x="75"/>
        <item x="76"/>
        <item x="74"/>
        <item x="134"/>
        <item x="25"/>
        <item x="62"/>
        <item x="103"/>
        <item x="145"/>
        <item x="154"/>
        <item x="151"/>
        <item x="140"/>
        <item x="9"/>
        <item x="11"/>
        <item x="12"/>
        <item x="16"/>
        <item x="13"/>
        <item x="10"/>
        <item x="14"/>
        <item x="15"/>
        <item x="23"/>
        <item x="122"/>
        <item x="17"/>
        <item x="73"/>
        <item x="71"/>
        <item x="72"/>
        <item x="70"/>
        <item x="86"/>
        <item x="89"/>
        <item x="87"/>
        <item x="88"/>
        <item x="51"/>
        <item x="153"/>
        <item x="149"/>
        <item x="32"/>
        <item x="34"/>
        <item x="33"/>
        <item x="136"/>
        <item x="121"/>
        <item x="124"/>
        <item x="119"/>
        <item x="126"/>
        <item x="44"/>
        <item x="113"/>
        <item x="1"/>
        <item x="81"/>
        <item x="125"/>
        <item x="6"/>
        <item x="8"/>
        <item x="155"/>
        <item x="69"/>
        <item x="156"/>
        <item x="67"/>
        <item x="68"/>
        <item x="66"/>
        <item x="150"/>
        <item x="96"/>
        <item x="97"/>
        <item x="64"/>
        <item x="65"/>
        <item x="43"/>
        <item x="148"/>
        <item x="47"/>
        <item x="48"/>
        <item x="49"/>
        <item x="50"/>
        <item x="127"/>
        <item x="130"/>
        <item x="128"/>
        <item x="129"/>
        <item x="117"/>
        <item x="93"/>
        <item x="91"/>
        <item x="92"/>
        <item x="90"/>
        <item x="100"/>
        <item x="94"/>
        <item x="139"/>
        <item x="118"/>
        <item x="123"/>
        <item x="141"/>
        <item x="95"/>
        <item x="146"/>
        <item x="110"/>
        <item x="19"/>
        <item x="138"/>
        <item x="101"/>
        <item x="157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</pivotFields>
  <rowFields count="3">
    <field x="1"/>
    <field x="5"/>
    <field x="7"/>
  </rowFields>
  <rowItems count="9">
    <i>
      <x v="20"/>
      <x v="9"/>
      <x v="82"/>
    </i>
    <i>
      <x v="21"/>
      <x v="10"/>
      <x v="87"/>
    </i>
    <i>
      <x v="22"/>
      <x v="11"/>
      <x v="83"/>
    </i>
    <i>
      <x v="23"/>
      <x v="12"/>
      <x v="84"/>
    </i>
    <i>
      <x v="24"/>
      <x v="13"/>
      <x v="86"/>
    </i>
    <i>
      <x v="25"/>
      <x v="15"/>
      <x v="88"/>
    </i>
    <i>
      <x v="26"/>
      <x v="16"/>
      <x v="89"/>
    </i>
    <i>
      <x v="27"/>
      <x v="17"/>
      <x v="85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0" hier="-1"/>
  </pageFields>
  <dataFields count="2">
    <dataField name="Sum of BEG_BAL_JAN2026" fld="10" baseField="0" baseItem="0"/>
    <dataField name="Sum of END_BAL_JUN2026" fld="12" baseField="0" baseItem="0"/>
  </dataFields>
  <formats count="24">
    <format dxfId="82">
      <pivotArea dataOnly="0" labelOnly="1" outline="0" fieldPosition="0">
        <references count="1">
          <reference field="0" count="1">
            <x v="1"/>
          </reference>
        </references>
      </pivotArea>
    </format>
    <format dxfId="81">
      <pivotArea outline="0" collapsedLevelsAreSubtotals="1" fieldPosition="0"/>
    </format>
    <format dxfId="80">
      <pivotArea dataOnly="0" labelOnly="1" outline="0" fieldPosition="0">
        <references count="1">
          <reference field="0" count="1">
            <x v="1"/>
          </reference>
        </references>
      </pivotArea>
    </format>
    <format dxfId="79">
      <pivotArea dataOnly="0" labelOnly="1" grandCol="1" outline="0" fieldPosition="0"/>
    </format>
    <format dxfId="78">
      <pivotArea grandCol="1" outline="0" collapsedLevelsAreSubtotals="1" fieldPosition="0"/>
    </format>
    <format dxfId="77">
      <pivotArea field="1" collapsedLevelsAreSubtotals="1" axis="axisRow" fieldPosition="0">
        <references count="1">
          <reference field="1" count="1">
            <x v="2"/>
          </reference>
        </references>
      </pivotArea>
    </format>
    <format dxfId="76">
      <pivotArea field="1" collapsedLevelsAreSubtotals="1" axis="axisRow" fieldPosition="0">
        <references count="1">
          <reference field="1" count="1">
            <x v="1"/>
          </reference>
        </references>
      </pivotArea>
    </format>
    <format dxfId="75">
      <pivotArea field="1" collapsedLevelsAreSubtotals="1" axis="axisRow" fieldPosition="0">
        <references count="1">
          <reference field="1" count="1">
            <x v="6"/>
          </reference>
        </references>
      </pivotArea>
    </format>
    <format dxfId="74">
      <pivotArea field="1" collapsedLevelsAreSubtotals="1" axis="axisRow" fieldPosition="0">
        <references count="1">
          <reference field="1" count="1">
            <x v="7"/>
          </reference>
        </references>
      </pivotArea>
    </format>
    <format dxfId="73">
      <pivotArea field="1" collapsedLevelsAreSubtotals="1" axis="axisRow" fieldPosition="0">
        <references count="1">
          <reference field="1" count="1">
            <x v="8"/>
          </reference>
        </references>
      </pivotArea>
    </format>
    <format dxfId="72">
      <pivotArea field="1" collapsedLevelsAreSubtotals="1" axis="axisRow" fieldPosition="0">
        <references count="1">
          <reference field="1" count="1">
            <x v="9"/>
          </reference>
        </references>
      </pivotArea>
    </format>
    <format dxfId="71">
      <pivotArea field="1" collapsedLevelsAreSubtotals="1" axis="axisRow" fieldPosition="0">
        <references count="1">
          <reference field="1" count="1">
            <x v="10"/>
          </reference>
        </references>
      </pivotArea>
    </format>
    <format dxfId="70">
      <pivotArea field="1" collapsedLevelsAreSubtotals="1" axis="axisRow" fieldPosition="0">
        <references count="1">
          <reference field="1" count="1">
            <x v="4"/>
          </reference>
        </references>
      </pivotArea>
    </format>
    <format dxfId="69">
      <pivotArea collapsedLevelsAreSubtotals="1" fieldPosition="0">
        <references count="1">
          <reference field="1" count="1">
            <x v="5"/>
          </reference>
        </references>
      </pivotArea>
    </format>
    <format dxfId="68">
      <pivotArea dataOnly="0" labelOnly="1" fieldPosition="0">
        <references count="1">
          <reference field="1" count="1">
            <x v="5"/>
          </reference>
        </references>
      </pivotArea>
    </format>
    <format dxfId="67">
      <pivotArea dataOnly="0" labelOnly="1" outline="0" fieldPosition="0">
        <references count="1">
          <reference field="0" count="1">
            <x v="0"/>
          </reference>
        </references>
      </pivotArea>
    </format>
    <format dxfId="66">
      <pivotArea dataOnly="0" labelOnly="1" outline="0" fieldPosition="0">
        <references count="1">
          <reference field="0" count="1">
            <x v="0"/>
          </reference>
        </references>
      </pivotArea>
    </format>
    <format dxfId="65">
      <pivotArea outline="0" collapsedLevelsAreSubtotals="1" fieldPosition="0"/>
    </format>
    <format dxfId="64">
      <pivotArea field="-2" type="button" dataOnly="0" labelOnly="1" outline="0" axis="axisCol" fieldPosition="0"/>
    </format>
    <format dxfId="63">
      <pivotArea type="topRight" dataOnly="0" labelOnly="1" outline="0" fieldPosition="0"/>
    </format>
    <format dxfId="6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0">
      <pivotArea dataOnly="0" outline="0" fieldPosition="0">
        <references count="2">
          <reference field="4294967294" count="1">
            <x v="1"/>
          </reference>
          <reference field="0" count="1" selected="0">
            <x v="0"/>
          </reference>
        </references>
      </pivotArea>
    </format>
    <format dxfId="5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0061D1-C35E-4D28-B7D5-D288EB6B6713}" name="PivotTable12" cacheId="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gridDropZones="1" multipleFieldFilters="0">
  <location ref="A4:I70" firstHeaderRow="1" firstDataRow="3" firstDataCol="3" rowPageCount="1" colPageCount="1"/>
  <pivotFields count="13">
    <pivotField axis="axisPage" compact="0" outline="0" showAll="0">
      <items count="4">
        <item x="0"/>
        <item x="1"/>
        <item x="2"/>
        <item t="default"/>
      </items>
    </pivotField>
    <pivotField axis="axisRow" compact="0" outline="0" showAll="0">
      <items count="35">
        <item x="18"/>
        <item x="22"/>
        <item x="17"/>
        <item x="30"/>
        <item x="20"/>
        <item x="28"/>
        <item x="23"/>
        <item x="21"/>
        <item x="24"/>
        <item x="19"/>
        <item x="25"/>
        <item x="26"/>
        <item x="27"/>
        <item x="33"/>
        <item x="29"/>
        <item x="31"/>
        <item x="3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outline="0" showAll="0"/>
    <pivotField axis="axisCol" compact="0" outline="0" showAll="0">
      <items count="5">
        <item x="1"/>
        <item x="0"/>
        <item x="2"/>
        <item x="3"/>
        <item t="default"/>
      </items>
    </pivotField>
    <pivotField compact="0" outline="0" showAll="0"/>
    <pivotField axis="axisRow" compact="0" outline="0" showAll="0" defaultSubtotal="0">
      <items count="1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46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</items>
    </pivotField>
    <pivotField compact="0" outline="0" showAll="0"/>
    <pivotField axis="axisRow" compact="0" outline="0" showAll="0">
      <items count="159">
        <item x="102"/>
        <item x="104"/>
        <item x="30"/>
        <item x="4"/>
        <item x="5"/>
        <item x="40"/>
        <item x="39"/>
        <item x="37"/>
        <item x="38"/>
        <item x="36"/>
        <item x="35"/>
        <item x="41"/>
        <item x="29"/>
        <item x="27"/>
        <item x="22"/>
        <item x="24"/>
        <item x="18"/>
        <item x="20"/>
        <item x="131"/>
        <item x="111"/>
        <item x="112"/>
        <item x="114"/>
        <item x="85"/>
        <item x="83"/>
        <item x="84"/>
        <item x="82"/>
        <item x="28"/>
        <item x="115"/>
        <item x="63"/>
        <item x="0"/>
        <item x="3"/>
        <item x="2"/>
        <item x="53"/>
        <item x="54"/>
        <item x="55"/>
        <item x="59"/>
        <item x="52"/>
        <item x="56"/>
        <item x="57"/>
        <item x="58"/>
        <item x="42"/>
        <item x="80"/>
        <item x="79"/>
        <item x="78"/>
        <item x="26"/>
        <item x="31"/>
        <item x="152"/>
        <item x="7"/>
        <item x="106"/>
        <item x="109"/>
        <item x="107"/>
        <item x="105"/>
        <item x="108"/>
        <item x="45"/>
        <item x="116"/>
        <item x="132"/>
        <item x="133"/>
        <item x="61"/>
        <item x="60"/>
        <item x="98"/>
        <item x="135"/>
        <item x="46"/>
        <item x="144"/>
        <item x="147"/>
        <item x="142"/>
        <item x="143"/>
        <item x="21"/>
        <item x="99"/>
        <item x="137"/>
        <item x="120"/>
        <item x="77"/>
        <item x="75"/>
        <item x="76"/>
        <item x="74"/>
        <item x="134"/>
        <item x="25"/>
        <item x="62"/>
        <item x="103"/>
        <item x="145"/>
        <item x="154"/>
        <item x="151"/>
        <item x="140"/>
        <item x="9"/>
        <item x="11"/>
        <item x="12"/>
        <item x="16"/>
        <item x="13"/>
        <item x="10"/>
        <item x="14"/>
        <item x="15"/>
        <item x="23"/>
        <item x="122"/>
        <item x="17"/>
        <item x="73"/>
        <item x="71"/>
        <item x="72"/>
        <item x="70"/>
        <item x="86"/>
        <item x="89"/>
        <item x="87"/>
        <item x="88"/>
        <item x="51"/>
        <item x="153"/>
        <item x="149"/>
        <item x="32"/>
        <item x="34"/>
        <item x="33"/>
        <item x="136"/>
        <item x="121"/>
        <item x="124"/>
        <item x="119"/>
        <item x="126"/>
        <item x="44"/>
        <item x="113"/>
        <item x="1"/>
        <item x="81"/>
        <item x="125"/>
        <item x="6"/>
        <item x="8"/>
        <item x="155"/>
        <item x="69"/>
        <item x="156"/>
        <item x="67"/>
        <item x="68"/>
        <item x="66"/>
        <item x="150"/>
        <item x="96"/>
        <item x="97"/>
        <item x="64"/>
        <item x="65"/>
        <item x="43"/>
        <item x="148"/>
        <item x="47"/>
        <item x="48"/>
        <item x="49"/>
        <item x="50"/>
        <item x="127"/>
        <item x="130"/>
        <item x="128"/>
        <item x="129"/>
        <item x="117"/>
        <item x="93"/>
        <item x="91"/>
        <item x="92"/>
        <item x="90"/>
        <item x="100"/>
        <item x="94"/>
        <item x="139"/>
        <item x="118"/>
        <item x="123"/>
        <item x="141"/>
        <item x="95"/>
        <item x="146"/>
        <item x="110"/>
        <item x="19"/>
        <item x="138"/>
        <item x="101"/>
        <item x="157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</pivotFields>
  <rowFields count="3">
    <field x="1"/>
    <field x="5"/>
    <field x="7"/>
  </rowFields>
  <rowItems count="64">
    <i>
      <x v="17"/>
      <x/>
      <x v="29"/>
    </i>
    <i r="1">
      <x v="1"/>
      <x v="114"/>
    </i>
    <i r="1">
      <x v="2"/>
      <x v="31"/>
    </i>
    <i r="1">
      <x v="3"/>
      <x v="30"/>
    </i>
    <i t="default">
      <x v="17"/>
    </i>
    <i>
      <x v="18"/>
      <x v="4"/>
      <x v="3"/>
    </i>
    <i r="1">
      <x v="5"/>
      <x v="4"/>
    </i>
    <i t="default">
      <x v="18"/>
    </i>
    <i>
      <x v="19"/>
      <x v="6"/>
      <x v="117"/>
    </i>
    <i r="1">
      <x v="7"/>
      <x v="47"/>
    </i>
    <i r="1">
      <x v="8"/>
      <x v="118"/>
    </i>
    <i t="default">
      <x v="19"/>
    </i>
    <i>
      <x v="20"/>
      <x v="9"/>
      <x v="82"/>
    </i>
    <i t="default">
      <x v="20"/>
    </i>
    <i>
      <x v="21"/>
      <x v="10"/>
      <x v="87"/>
    </i>
    <i t="default">
      <x v="21"/>
    </i>
    <i>
      <x v="22"/>
      <x v="11"/>
      <x v="83"/>
    </i>
    <i t="default">
      <x v="22"/>
    </i>
    <i>
      <x v="23"/>
      <x v="12"/>
      <x v="84"/>
    </i>
    <i t="default">
      <x v="23"/>
    </i>
    <i>
      <x v="24"/>
      <x v="13"/>
      <x v="86"/>
    </i>
    <i t="default">
      <x v="24"/>
    </i>
    <i>
      <x v="25"/>
      <x v="15"/>
      <x v="88"/>
    </i>
    <i t="default">
      <x v="25"/>
    </i>
    <i>
      <x v="26"/>
      <x v="16"/>
      <x v="89"/>
    </i>
    <i t="default">
      <x v="26"/>
    </i>
    <i>
      <x v="27"/>
      <x v="17"/>
      <x v="85"/>
    </i>
    <i t="default">
      <x v="27"/>
    </i>
    <i>
      <x v="28"/>
      <x v="18"/>
      <x v="92"/>
    </i>
    <i r="1">
      <x v="19"/>
      <x v="16"/>
    </i>
    <i r="1">
      <x v="20"/>
      <x v="154"/>
    </i>
    <i r="1">
      <x v="21"/>
      <x v="17"/>
    </i>
    <i r="1">
      <x v="22"/>
      <x v="66"/>
    </i>
    <i r="1">
      <x v="23"/>
      <x v="14"/>
    </i>
    <i r="1">
      <x v="24"/>
      <x v="90"/>
    </i>
    <i r="1">
      <x v="25"/>
      <x v="15"/>
    </i>
    <i r="1">
      <x v="27"/>
      <x v="44"/>
    </i>
    <i r="1">
      <x v="28"/>
      <x v="13"/>
    </i>
    <i r="1">
      <x v="29"/>
      <x v="26"/>
    </i>
    <i r="1">
      <x v="30"/>
      <x v="12"/>
    </i>
    <i t="default">
      <x v="28"/>
    </i>
    <i>
      <x v="29"/>
      <x v="26"/>
      <x v="75"/>
    </i>
    <i t="default">
      <x v="29"/>
    </i>
    <i>
      <x v="30"/>
      <x v="31"/>
      <x v="2"/>
    </i>
    <i r="1">
      <x v="32"/>
      <x v="45"/>
    </i>
    <i t="default">
      <x v="30"/>
    </i>
    <i>
      <x v="31"/>
      <x v="33"/>
      <x v="104"/>
    </i>
    <i r="1">
      <x v="34"/>
      <x v="106"/>
    </i>
    <i r="1">
      <x v="35"/>
      <x v="105"/>
    </i>
    <i t="default">
      <x v="31"/>
    </i>
    <i>
      <x v="32"/>
      <x v="36"/>
      <x v="10"/>
    </i>
    <i r="1">
      <x v="37"/>
      <x v="9"/>
    </i>
    <i r="1">
      <x v="38"/>
      <x v="7"/>
    </i>
    <i r="1">
      <x v="39"/>
      <x v="8"/>
    </i>
    <i r="1">
      <x v="40"/>
      <x v="6"/>
    </i>
    <i r="1">
      <x v="41"/>
      <x v="5"/>
    </i>
    <i r="1">
      <x v="42"/>
      <x v="11"/>
    </i>
    <i t="default">
      <x v="32"/>
    </i>
    <i>
      <x v="33"/>
      <x v="43"/>
      <x v="40"/>
    </i>
    <i r="1">
      <x v="44"/>
      <x v="130"/>
    </i>
    <i r="1">
      <x v="45"/>
      <x v="112"/>
    </i>
    <i r="1">
      <x v="46"/>
      <x v="53"/>
    </i>
    <i t="default">
      <x v="33"/>
    </i>
    <i t="grand">
      <x/>
    </i>
  </rowItems>
  <colFields count="2">
    <field x="3"/>
    <field x="-2"/>
  </colFields>
  <colItems count="6">
    <i>
      <x/>
      <x/>
    </i>
    <i r="1" i="1">
      <x v="1"/>
    </i>
    <i>
      <x v="1"/>
      <x/>
    </i>
    <i r="1" i="1">
      <x v="1"/>
    </i>
    <i>
      <x v="2"/>
      <x/>
    </i>
    <i r="1" i="1">
      <x v="1"/>
    </i>
  </colItems>
  <pageFields count="1">
    <pageField fld="0" item="0" hier="-1"/>
  </pageFields>
  <dataFields count="2">
    <dataField name="Sum of BEG_BAL_JAN2026" fld="10" baseField="0" baseItem="0"/>
    <dataField name="Sum of END_BAL_JUN2026" fld="12" baseField="0" baseItem="0"/>
  </dataFields>
  <formats count="26">
    <format dxfId="25">
      <pivotArea dataOnly="0" labelOnly="1" outline="0" fieldPosition="0">
        <references count="1">
          <reference field="0" count="1">
            <x v="1"/>
          </reference>
        </references>
      </pivotArea>
    </format>
    <format dxfId="24">
      <pivotArea outline="0" collapsedLevelsAreSubtotals="1" fieldPosition="0"/>
    </format>
    <format dxfId="23">
      <pivotArea dataOnly="0" labelOnly="1" outline="0" fieldPosition="0">
        <references count="1">
          <reference field="0" count="1">
            <x v="1"/>
          </reference>
        </references>
      </pivotArea>
    </format>
    <format dxfId="22">
      <pivotArea dataOnly="0" labelOnly="1" fieldPosition="0">
        <references count="1">
          <reference field="3" count="3">
            <x v="0"/>
            <x v="1"/>
            <x v="2"/>
          </reference>
        </references>
      </pivotArea>
    </format>
    <format dxfId="21">
      <pivotArea dataOnly="0" labelOnly="1" grandCol="1" outline="0" fieldPosition="0"/>
    </format>
    <format dxfId="20">
      <pivotArea grandCol="1" outline="0" collapsedLevelsAreSubtotals="1" fieldPosition="0"/>
    </format>
    <format dxfId="19">
      <pivotArea field="1" grandCol="1" collapsedLevelsAreSubtotals="1" axis="axisRow" fieldPosition="0">
        <references count="1">
          <reference field="1" count="1">
            <x v="2"/>
          </reference>
        </references>
      </pivotArea>
    </format>
    <format dxfId="18">
      <pivotArea field="1" grandCol="1" collapsedLevelsAreSubtotals="1" axis="axisRow" fieldPosition="0">
        <references count="1">
          <reference field="1" count="1">
            <x v="1"/>
          </reference>
        </references>
      </pivotArea>
    </format>
    <format dxfId="17">
      <pivotArea field="1" grandCol="1" collapsedLevelsAreSubtotals="1" axis="axisRow" fieldPosition="0">
        <references count="1">
          <reference field="1" count="1">
            <x v="6"/>
          </reference>
        </references>
      </pivotArea>
    </format>
    <format dxfId="16">
      <pivotArea field="1" grandCol="1" collapsedLevelsAreSubtotals="1" axis="axisRow" fieldPosition="0">
        <references count="1">
          <reference field="1" count="1">
            <x v="7"/>
          </reference>
        </references>
      </pivotArea>
    </format>
    <format dxfId="15">
      <pivotArea field="1" grandCol="1" collapsedLevelsAreSubtotals="1" axis="axisRow" fieldPosition="0">
        <references count="1">
          <reference field="1" count="1">
            <x v="8"/>
          </reference>
        </references>
      </pivotArea>
    </format>
    <format dxfId="14">
      <pivotArea field="1" grandCol="1" collapsedLevelsAreSubtotals="1" axis="axisRow" fieldPosition="0">
        <references count="1">
          <reference field="1" count="1">
            <x v="9"/>
          </reference>
        </references>
      </pivotArea>
    </format>
    <format dxfId="13">
      <pivotArea field="1" grandCol="1" collapsedLevelsAreSubtotals="1" axis="axisRow" fieldPosition="0">
        <references count="1">
          <reference field="1" count="1">
            <x v="10"/>
          </reference>
        </references>
      </pivotArea>
    </format>
    <format dxfId="12">
      <pivotArea field="1" grandCol="1" collapsedLevelsAreSubtotals="1" axis="axisRow" fieldPosition="0">
        <references count="1">
          <reference field="1" count="1">
            <x v="4"/>
          </reference>
        </references>
      </pivotArea>
    </format>
    <format dxfId="11">
      <pivotArea collapsedLevelsAreSubtotals="1" fieldPosition="0">
        <references count="2">
          <reference field="1" count="1">
            <x v="15"/>
          </reference>
          <reference field="3" count="1" selected="0">
            <x v="1"/>
          </reference>
        </references>
      </pivotArea>
    </format>
    <format dxfId="10">
      <pivotArea collapsedLevelsAreSubtotals="1" fieldPosition="0">
        <references count="2">
          <reference field="1" count="1">
            <x v="6"/>
          </reference>
          <reference field="3" count="1" selected="0">
            <x v="2"/>
          </reference>
        </references>
      </pivotArea>
    </format>
    <format dxfId="9">
      <pivotArea collapsedLevelsAreSubtotals="1" fieldPosition="0">
        <references count="2">
          <reference field="1" count="1">
            <x v="6"/>
          </reference>
          <reference field="3" count="1" selected="0">
            <x v="2"/>
          </reference>
        </references>
      </pivotArea>
    </format>
    <format dxfId="8">
      <pivotArea collapsedLevelsAreSubtotals="1" fieldPosition="0">
        <references count="2">
          <reference field="1" count="1">
            <x v="15"/>
          </reference>
          <reference field="3" count="1" selected="0">
            <x v="1"/>
          </reference>
        </references>
      </pivotArea>
    </format>
    <format dxfId="7">
      <pivotArea collapsedLevelsAreSubtotals="1" fieldPosition="0">
        <references count="2">
          <reference field="1" count="1">
            <x v="0"/>
          </reference>
          <reference field="3" count="1" selected="0">
            <x v="2"/>
          </reference>
        </references>
      </pivotArea>
    </format>
    <format dxfId="6">
      <pivotArea collapsedLevelsAreSubtotals="1" fieldPosition="0">
        <references count="1">
          <reference field="1" count="1">
            <x v="5"/>
          </reference>
        </references>
      </pivotArea>
    </format>
    <format dxfId="5">
      <pivotArea dataOnly="0" labelOnly="1" fieldPosition="0">
        <references count="1">
          <reference field="1" count="1">
            <x v="5"/>
          </reference>
        </references>
      </pivotArea>
    </format>
    <format dxfId="4">
      <pivotArea dataOnly="0" labelOnly="1" outline="0" fieldPosition="0">
        <references count="1">
          <reference field="0" count="1">
            <x v="0"/>
          </reference>
        </references>
      </pivotArea>
    </format>
    <format dxfId="3">
      <pivotArea dataOnly="0" labelOnly="1" outline="0" fieldPosition="0">
        <references count="1">
          <reference field="0" count="1">
            <x v="0"/>
          </reference>
        </references>
      </pivotArea>
    </format>
    <format dxfId="2">
      <pivotArea outline="0" fieldPosition="0">
        <references count="5">
          <reference field="4294967294" count="1" selected="0">
            <x v="1"/>
          </reference>
          <reference field="1" count="1" selected="0">
            <x v="31"/>
          </reference>
          <reference field="3" count="1" selected="0">
            <x v="3"/>
          </reference>
          <reference field="5" count="1" selected="0">
            <x v="33"/>
          </reference>
          <reference field="7" count="1" selected="0">
            <x v="104"/>
          </reference>
        </references>
      </pivotArea>
    </format>
    <format dxfId="1">
      <pivotArea outline="0" fieldPosition="0">
        <references count="5">
          <reference field="4294967294" count="1" selected="0">
            <x v="1"/>
          </reference>
          <reference field="1" count="1" selected="0">
            <x v="32"/>
          </reference>
          <reference field="3" count="1" selected="0">
            <x v="3"/>
          </reference>
          <reference field="5" count="1" selected="0">
            <x v="36"/>
          </reference>
          <reference field="7" count="1" selected="0">
            <x v="10"/>
          </reference>
        </references>
      </pivotArea>
    </format>
    <format dxfId="0">
      <pivotArea outline="0" fieldPosition="0">
        <references count="5">
          <reference field="4294967294" count="1" selected="0">
            <x v="1"/>
          </reference>
          <reference field="1" count="1" selected="0">
            <x v="32"/>
          </reference>
          <reference field="3" count="1" selected="0">
            <x v="3"/>
          </reference>
          <reference field="5" count="1" selected="0">
            <x v="39"/>
          </reference>
          <reference field="7" count="1" selected="0">
            <x v="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CA453-B3A1-483F-BD91-6D8D50F98E6D}">
  <sheetPr>
    <tabColor rgb="FF00FF99"/>
  </sheetPr>
  <dimension ref="B2:R74"/>
  <sheetViews>
    <sheetView showGridLines="0" topLeftCell="A8" zoomScale="80" zoomScaleNormal="80" workbookViewId="0">
      <selection activeCell="J42" sqref="J42"/>
    </sheetView>
  </sheetViews>
  <sheetFormatPr defaultRowHeight="15" x14ac:dyDescent="0.25"/>
  <cols>
    <col min="2" max="2" width="20.7109375" customWidth="1"/>
    <col min="3" max="3" width="9.42578125" customWidth="1"/>
    <col min="4" max="4" width="12.42578125" customWidth="1"/>
    <col min="5" max="5" width="11.28515625" bestFit="1" customWidth="1"/>
    <col min="6" max="6" width="14.28515625" bestFit="1" customWidth="1"/>
    <col min="7" max="7" width="15.85546875" bestFit="1" customWidth="1"/>
    <col min="8" max="8" width="16" customWidth="1"/>
    <col min="9" max="9" width="3.28515625" customWidth="1"/>
    <col min="10" max="10" width="14.5703125" customWidth="1"/>
    <col min="11" max="11" width="14.28515625" customWidth="1"/>
    <col min="12" max="12" width="12.28515625" bestFit="1" customWidth="1"/>
    <col min="13" max="13" width="11.5703125" customWidth="1"/>
  </cols>
  <sheetData>
    <row r="2" spans="2:13" ht="30.75" thickBot="1" x14ac:dyDescent="0.3">
      <c r="F2" s="249" t="s">
        <v>433</v>
      </c>
      <c r="G2" s="250" t="s">
        <v>436</v>
      </c>
    </row>
    <row r="3" spans="2:13" x14ac:dyDescent="0.25">
      <c r="B3" s="45" t="s">
        <v>430</v>
      </c>
      <c r="C3" s="45"/>
      <c r="D3" s="45"/>
      <c r="E3" s="45"/>
      <c r="F3" s="133">
        <f>'26 EBITDA ADJ (2)'!Y23</f>
        <v>767548.18128558842</v>
      </c>
      <c r="G3" s="133">
        <f>F3+F4</f>
        <v>1430073.8679855885</v>
      </c>
      <c r="J3" s="246">
        <f>-'26 EBITDA ADJ (2)'!E6*2</f>
        <v>9390375.2599999998</v>
      </c>
      <c r="K3" s="246">
        <f>-'26 EBITDA ADJ (2)'!E6*0.7*2</f>
        <v>6573262.6819999991</v>
      </c>
      <c r="L3" s="247">
        <f>J3-K3</f>
        <v>2817112.5780000007</v>
      </c>
    </row>
    <row r="4" spans="2:13" x14ac:dyDescent="0.25">
      <c r="B4" s="45" t="s">
        <v>431</v>
      </c>
      <c r="C4" s="45"/>
      <c r="D4" s="45"/>
      <c r="E4" s="45"/>
      <c r="F4" s="26">
        <f>-H15</f>
        <v>662525.68670000019</v>
      </c>
      <c r="G4" s="26">
        <f>-L4</f>
        <v>-845133.77340000018</v>
      </c>
      <c r="H4" t="s">
        <v>439</v>
      </c>
      <c r="J4" s="248"/>
      <c r="L4" s="247">
        <f>L3*0.3</f>
        <v>845133.77340000018</v>
      </c>
    </row>
    <row r="5" spans="2:13" x14ac:dyDescent="0.25">
      <c r="B5" t="s">
        <v>432</v>
      </c>
      <c r="F5" s="25">
        <f>-300000/12</f>
        <v>-25000</v>
      </c>
      <c r="G5" s="25">
        <f>F5</f>
        <v>-25000</v>
      </c>
    </row>
    <row r="6" spans="2:13" x14ac:dyDescent="0.25">
      <c r="B6" t="s">
        <v>434</v>
      </c>
      <c r="F6" s="25">
        <f>-J3*0.04</f>
        <v>-375615.01039999997</v>
      </c>
      <c r="G6" s="25">
        <f>-K3*0.04</f>
        <v>-262930.50727999996</v>
      </c>
    </row>
    <row r="7" spans="2:13" x14ac:dyDescent="0.25">
      <c r="B7" t="s">
        <v>438</v>
      </c>
      <c r="F7" s="25">
        <f>-9806*12</f>
        <v>-117672</v>
      </c>
      <c r="G7" s="25">
        <f t="shared" ref="G7" si="0">F7</f>
        <v>-117672</v>
      </c>
    </row>
    <row r="8" spans="2:13" ht="15.75" thickBot="1" x14ac:dyDescent="0.3">
      <c r="B8" t="s">
        <v>437</v>
      </c>
      <c r="F8" s="41">
        <f>-1000000*0.07</f>
        <v>-70000</v>
      </c>
      <c r="G8" s="41">
        <f>-1000000*0.07</f>
        <v>-70000</v>
      </c>
    </row>
    <row r="9" spans="2:13" x14ac:dyDescent="0.25">
      <c r="B9" s="45" t="s">
        <v>435</v>
      </c>
      <c r="C9" s="45"/>
      <c r="D9" s="45"/>
      <c r="E9" s="45"/>
      <c r="F9" s="26">
        <f>SUM(F3:F8)</f>
        <v>841786.85758558847</v>
      </c>
      <c r="G9" s="26">
        <f>SUM(G3:G8)</f>
        <v>109337.58730558836</v>
      </c>
    </row>
    <row r="11" spans="2:13" ht="15.75" thickBot="1" x14ac:dyDescent="0.3"/>
    <row r="12" spans="2:13" x14ac:dyDescent="0.25">
      <c r="B12" s="45" t="s">
        <v>334</v>
      </c>
      <c r="E12" s="21" t="s">
        <v>322</v>
      </c>
      <c r="F12" s="22"/>
      <c r="G12" s="137" t="s">
        <v>321</v>
      </c>
      <c r="H12" s="138"/>
    </row>
    <row r="13" spans="2:13" ht="15.75" thickBot="1" x14ac:dyDescent="0.3">
      <c r="B13" s="45" t="s">
        <v>333</v>
      </c>
      <c r="E13" s="139" t="s">
        <v>320</v>
      </c>
      <c r="F13" s="140" t="s">
        <v>325</v>
      </c>
      <c r="G13" s="141" t="s">
        <v>330</v>
      </c>
      <c r="H13" s="142" t="s">
        <v>331</v>
      </c>
    </row>
    <row r="14" spans="2:13" ht="7.5" customHeight="1" x14ac:dyDescent="0.25"/>
    <row r="15" spans="2:13" ht="15.75" thickBot="1" x14ac:dyDescent="0.3">
      <c r="B15" s="148" t="s">
        <v>379</v>
      </c>
      <c r="C15" s="149"/>
      <c r="D15" s="149"/>
      <c r="E15" s="150"/>
      <c r="F15" s="150"/>
      <c r="G15" s="150"/>
      <c r="H15" s="150">
        <f>H16+H24+H44+H45+H46</f>
        <v>-662525.68670000019</v>
      </c>
      <c r="J15" s="45" t="s">
        <v>332</v>
      </c>
    </row>
    <row r="16" spans="2:13" ht="16.5" thickTop="1" thickBot="1" x14ac:dyDescent="0.3">
      <c r="B16" s="148" t="s">
        <v>75</v>
      </c>
      <c r="C16" s="149"/>
      <c r="D16" s="149"/>
      <c r="E16" s="150"/>
      <c r="F16" s="150">
        <f>SUM(F17:F22)</f>
        <v>294253.68</v>
      </c>
      <c r="G16" s="150">
        <f>SUM(G17:G22)</f>
        <v>192414</v>
      </c>
      <c r="H16" s="150">
        <f t="shared" ref="H16:H22" si="1">G16-F16</f>
        <v>-101839.67999999999</v>
      </c>
      <c r="J16" s="21" t="s">
        <v>326</v>
      </c>
      <c r="K16" s="22" t="s">
        <v>327</v>
      </c>
      <c r="L16" s="22" t="s">
        <v>328</v>
      </c>
      <c r="M16" s="23" t="s">
        <v>329</v>
      </c>
    </row>
    <row r="17" spans="2:18" ht="15.75" thickTop="1" x14ac:dyDescent="0.25">
      <c r="B17" s="132" t="s">
        <v>323</v>
      </c>
      <c r="C17" s="132" t="s">
        <v>207</v>
      </c>
      <c r="E17" s="66">
        <v>0</v>
      </c>
      <c r="F17" s="136"/>
      <c r="G17" s="133">
        <f>L17</f>
        <v>151914</v>
      </c>
      <c r="H17" s="25">
        <f t="shared" si="1"/>
        <v>151914</v>
      </c>
      <c r="J17" s="151">
        <v>75957</v>
      </c>
      <c r="K17" s="152">
        <v>2</v>
      </c>
      <c r="L17" s="153">
        <f>J17*K17</f>
        <v>151914</v>
      </c>
      <c r="M17" s="154"/>
    </row>
    <row r="18" spans="2:18" x14ac:dyDescent="0.25">
      <c r="B18" s="132" t="s">
        <v>323</v>
      </c>
      <c r="C18" s="132" t="s">
        <v>206</v>
      </c>
      <c r="E18" s="66">
        <f>'SORTED B VS P'!N102</f>
        <v>48000</v>
      </c>
      <c r="F18" s="136">
        <f>E18*2</f>
        <v>96000</v>
      </c>
      <c r="G18" s="133">
        <v>0</v>
      </c>
      <c r="H18" s="25">
        <f t="shared" si="1"/>
        <v>-96000</v>
      </c>
      <c r="I18" s="66"/>
      <c r="J18" s="151"/>
      <c r="K18" s="153"/>
      <c r="L18" s="18"/>
      <c r="M18" s="155"/>
    </row>
    <row r="19" spans="2:18" ht="15.75" thickBot="1" x14ac:dyDescent="0.3">
      <c r="B19" s="132" t="s">
        <v>323</v>
      </c>
      <c r="C19" s="132" t="s">
        <v>324</v>
      </c>
      <c r="E19" s="145">
        <f>'SORTED B VS P'!N103</f>
        <v>15000</v>
      </c>
      <c r="F19" s="146">
        <f>E19*2</f>
        <v>30000</v>
      </c>
      <c r="G19" s="147">
        <f>L19</f>
        <v>40500</v>
      </c>
      <c r="H19" s="25">
        <f t="shared" si="1"/>
        <v>10500</v>
      </c>
      <c r="I19" s="66"/>
      <c r="J19" s="156">
        <v>15000</v>
      </c>
      <c r="K19" s="157">
        <v>2.7</v>
      </c>
      <c r="L19" s="158">
        <f>J19*K19</f>
        <v>40500</v>
      </c>
      <c r="M19" s="159"/>
    </row>
    <row r="20" spans="2:18" ht="15.75" x14ac:dyDescent="0.25">
      <c r="B20" s="132" t="s">
        <v>376</v>
      </c>
      <c r="C20" s="132" t="s">
        <v>206</v>
      </c>
      <c r="E20" s="145">
        <f>'SORTED B VS P'!M206</f>
        <v>61340.06</v>
      </c>
      <c r="F20" s="146">
        <f>E20*2</f>
        <v>122680.12</v>
      </c>
      <c r="G20">
        <v>0</v>
      </c>
      <c r="H20" s="25">
        <f t="shared" si="1"/>
        <v>-122680.12</v>
      </c>
      <c r="I20" s="66"/>
      <c r="J20" s="164" t="s">
        <v>380</v>
      </c>
      <c r="K20" s="66"/>
      <c r="R20" s="114" t="s">
        <v>381</v>
      </c>
    </row>
    <row r="21" spans="2:18" x14ac:dyDescent="0.25">
      <c r="B21" s="132" t="s">
        <v>377</v>
      </c>
      <c r="C21" s="132" t="s">
        <v>206</v>
      </c>
      <c r="E21" s="145">
        <f>'SORTED B VS P'!M100+'SORTED B VS P'!M214+'SORTED B VS P'!N226</f>
        <v>10647.46</v>
      </c>
      <c r="F21" s="146">
        <f>E21*2</f>
        <v>21294.92</v>
      </c>
      <c r="G21">
        <v>0</v>
      </c>
      <c r="H21" s="25">
        <f t="shared" si="1"/>
        <v>-21294.92</v>
      </c>
      <c r="I21" s="66"/>
      <c r="J21" s="164"/>
      <c r="K21" s="66"/>
    </row>
    <row r="22" spans="2:18" x14ac:dyDescent="0.25">
      <c r="B22" s="132" t="s">
        <v>378</v>
      </c>
      <c r="C22" s="132" t="s">
        <v>206</v>
      </c>
      <c r="E22" s="145">
        <f>'SORTED B VS P'!N224</f>
        <v>12139.32</v>
      </c>
      <c r="F22" s="146">
        <f>E22*2</f>
        <v>24278.639999999999</v>
      </c>
      <c r="G22">
        <v>0</v>
      </c>
      <c r="H22" s="25">
        <f t="shared" si="1"/>
        <v>-24278.639999999999</v>
      </c>
      <c r="I22" s="66"/>
      <c r="J22" s="164" t="s">
        <v>382</v>
      </c>
      <c r="K22" s="66"/>
    </row>
    <row r="23" spans="2:18" ht="4.5" customHeight="1" x14ac:dyDescent="0.25">
      <c r="D23" s="134"/>
      <c r="E23" s="66"/>
      <c r="F23" s="136"/>
      <c r="G23" s="133"/>
      <c r="H23" s="66"/>
      <c r="I23" s="66"/>
      <c r="J23" s="66"/>
      <c r="K23" s="66"/>
    </row>
    <row r="24" spans="2:18" ht="15.75" thickBot="1" x14ac:dyDescent="0.3">
      <c r="B24" s="148" t="s">
        <v>340</v>
      </c>
      <c r="C24" s="149"/>
      <c r="D24" s="149"/>
      <c r="E24" s="150"/>
      <c r="F24" s="150">
        <f t="shared" ref="F24:G24" si="2">SUM(F25:F43)</f>
        <v>952694</v>
      </c>
      <c r="G24" s="150">
        <f t="shared" si="2"/>
        <v>635486</v>
      </c>
      <c r="H24" s="150">
        <f>SUM(H25:H43)</f>
        <v>-317208</v>
      </c>
      <c r="I24" s="66"/>
      <c r="J24" s="66"/>
      <c r="K24" s="66"/>
    </row>
    <row r="25" spans="2:18" ht="15.75" thickTop="1" x14ac:dyDescent="0.25">
      <c r="B25" s="132" t="s">
        <v>337</v>
      </c>
      <c r="E25" s="66"/>
      <c r="F25" s="136">
        <v>100000</v>
      </c>
      <c r="G25" s="136">
        <f>F25</f>
        <v>100000</v>
      </c>
      <c r="H25" s="25">
        <f>G25-F25</f>
        <v>0</v>
      </c>
      <c r="I25" s="66"/>
      <c r="J25" s="160" t="s">
        <v>219</v>
      </c>
      <c r="K25" s="66"/>
    </row>
    <row r="26" spans="2:18" x14ac:dyDescent="0.25">
      <c r="B26" s="132" t="s">
        <v>336</v>
      </c>
      <c r="C26" t="s">
        <v>211</v>
      </c>
      <c r="E26" s="66"/>
      <c r="F26" s="136">
        <v>100000</v>
      </c>
      <c r="G26" s="143">
        <v>0</v>
      </c>
      <c r="H26" s="161">
        <f t="shared" ref="H26:H40" si="3">G26-F26</f>
        <v>-100000</v>
      </c>
      <c r="I26" s="66"/>
      <c r="J26" s="160" t="s">
        <v>335</v>
      </c>
      <c r="K26" s="66"/>
    </row>
    <row r="27" spans="2:18" x14ac:dyDescent="0.25">
      <c r="B27" t="s">
        <v>341</v>
      </c>
      <c r="C27" t="s">
        <v>211</v>
      </c>
      <c r="F27" s="136">
        <v>71000</v>
      </c>
      <c r="G27" s="136">
        <f>F27*1.2</f>
        <v>85200</v>
      </c>
      <c r="H27" s="25">
        <f t="shared" si="3"/>
        <v>14200</v>
      </c>
      <c r="J27" t="s">
        <v>343</v>
      </c>
    </row>
    <row r="28" spans="2:18" x14ac:dyDescent="0.25">
      <c r="B28" t="s">
        <v>342</v>
      </c>
      <c r="C28" t="s">
        <v>211</v>
      </c>
      <c r="F28" s="136">
        <v>68000</v>
      </c>
      <c r="G28" s="136">
        <f>F28*1.1</f>
        <v>74800</v>
      </c>
      <c r="H28" s="25">
        <f t="shared" si="3"/>
        <v>6800</v>
      </c>
      <c r="J28" t="s">
        <v>344</v>
      </c>
    </row>
    <row r="29" spans="2:18" x14ac:dyDescent="0.25">
      <c r="B29" t="s">
        <v>370</v>
      </c>
      <c r="C29" t="s">
        <v>211</v>
      </c>
      <c r="D29" t="s">
        <v>366</v>
      </c>
      <c r="F29" s="136">
        <v>45240</v>
      </c>
      <c r="G29" s="136">
        <v>0</v>
      </c>
      <c r="H29" s="161">
        <f t="shared" si="3"/>
        <v>-45240</v>
      </c>
      <c r="J29" t="s">
        <v>371</v>
      </c>
    </row>
    <row r="30" spans="2:18" x14ac:dyDescent="0.25">
      <c r="B30" t="s">
        <v>370</v>
      </c>
      <c r="C30" t="s">
        <v>211</v>
      </c>
      <c r="D30" t="s">
        <v>367</v>
      </c>
      <c r="F30" s="136">
        <v>49608</v>
      </c>
      <c r="G30" s="136">
        <v>0</v>
      </c>
      <c r="H30" s="161">
        <f>G30-F30</f>
        <v>-49608</v>
      </c>
      <c r="J30" t="s">
        <v>345</v>
      </c>
    </row>
    <row r="31" spans="2:18" x14ac:dyDescent="0.25">
      <c r="B31" t="s">
        <v>346</v>
      </c>
      <c r="C31" t="s">
        <v>211</v>
      </c>
      <c r="D31" t="s">
        <v>347</v>
      </c>
      <c r="F31" s="136">
        <v>51854</v>
      </c>
      <c r="G31" s="136">
        <f>F31</f>
        <v>51854</v>
      </c>
      <c r="H31" s="25">
        <f t="shared" si="3"/>
        <v>0</v>
      </c>
      <c r="J31" t="s">
        <v>373</v>
      </c>
    </row>
    <row r="32" spans="2:18" x14ac:dyDescent="0.25">
      <c r="B32" t="s">
        <v>369</v>
      </c>
      <c r="C32" t="s">
        <v>211</v>
      </c>
      <c r="D32" t="s">
        <v>348</v>
      </c>
      <c r="F32" s="136">
        <v>45032</v>
      </c>
      <c r="G32" s="162">
        <f>F32</f>
        <v>45032</v>
      </c>
      <c r="H32" s="25">
        <f t="shared" si="3"/>
        <v>0</v>
      </c>
      <c r="J32" t="s">
        <v>368</v>
      </c>
    </row>
    <row r="33" spans="2:10" x14ac:dyDescent="0.25">
      <c r="B33" t="s">
        <v>346</v>
      </c>
      <c r="C33" t="s">
        <v>211</v>
      </c>
      <c r="D33" t="s">
        <v>349</v>
      </c>
      <c r="F33" s="136">
        <v>44720</v>
      </c>
      <c r="G33" s="136">
        <f>F33</f>
        <v>44720</v>
      </c>
      <c r="H33" s="25">
        <f t="shared" si="3"/>
        <v>0</v>
      </c>
      <c r="J33" t="s">
        <v>372</v>
      </c>
    </row>
    <row r="34" spans="2:10" x14ac:dyDescent="0.25">
      <c r="B34" t="s">
        <v>352</v>
      </c>
      <c r="C34" t="s">
        <v>211</v>
      </c>
      <c r="D34" t="s">
        <v>350</v>
      </c>
      <c r="F34" s="136">
        <v>79000</v>
      </c>
      <c r="G34" s="136">
        <f>F34</f>
        <v>79000</v>
      </c>
      <c r="H34" s="25">
        <f t="shared" si="3"/>
        <v>0</v>
      </c>
      <c r="J34" t="s">
        <v>360</v>
      </c>
    </row>
    <row r="35" spans="2:10" x14ac:dyDescent="0.25">
      <c r="B35" t="s">
        <v>352</v>
      </c>
      <c r="C35" t="s">
        <v>211</v>
      </c>
      <c r="D35" t="s">
        <v>351</v>
      </c>
      <c r="F35" s="136">
        <v>56080</v>
      </c>
      <c r="G35" s="136">
        <f>F35</f>
        <v>56080</v>
      </c>
      <c r="H35" s="25">
        <f t="shared" si="3"/>
        <v>0</v>
      </c>
      <c r="J35" t="s">
        <v>361</v>
      </c>
    </row>
    <row r="36" spans="2:10" x14ac:dyDescent="0.25">
      <c r="G36" s="136"/>
      <c r="H36" s="25">
        <f t="shared" si="3"/>
        <v>0</v>
      </c>
    </row>
    <row r="37" spans="2:10" x14ac:dyDescent="0.25">
      <c r="B37" t="s">
        <v>354</v>
      </c>
      <c r="C37" t="s">
        <v>206</v>
      </c>
      <c r="D37" t="s">
        <v>353</v>
      </c>
      <c r="F37" s="136">
        <v>61200</v>
      </c>
      <c r="G37" s="136"/>
      <c r="H37" s="25">
        <f t="shared" si="3"/>
        <v>-61200</v>
      </c>
    </row>
    <row r="38" spans="2:10" s="93" customFormat="1" x14ac:dyDescent="0.25">
      <c r="B38" t="s">
        <v>365</v>
      </c>
      <c r="C38" t="s">
        <v>206</v>
      </c>
      <c r="D38" t="s">
        <v>356</v>
      </c>
      <c r="F38" s="136">
        <v>44720</v>
      </c>
      <c r="G38" s="136">
        <f>F38</f>
        <v>44720</v>
      </c>
      <c r="H38" s="25">
        <f t="shared" si="3"/>
        <v>0</v>
      </c>
      <c r="J38" s="144" t="s">
        <v>411</v>
      </c>
    </row>
    <row r="39" spans="2:10" x14ac:dyDescent="0.25">
      <c r="B39" t="s">
        <v>355</v>
      </c>
      <c r="C39" t="s">
        <v>206</v>
      </c>
      <c r="D39" t="s">
        <v>357</v>
      </c>
      <c r="F39" s="136">
        <v>40560</v>
      </c>
      <c r="G39" s="136"/>
      <c r="H39" s="161">
        <f t="shared" si="3"/>
        <v>-40560</v>
      </c>
      <c r="J39" t="s">
        <v>374</v>
      </c>
    </row>
    <row r="40" spans="2:10" x14ac:dyDescent="0.25">
      <c r="B40" t="s">
        <v>358</v>
      </c>
      <c r="C40" t="s">
        <v>206</v>
      </c>
      <c r="D40" t="s">
        <v>359</v>
      </c>
      <c r="F40" s="136">
        <v>41600</v>
      </c>
      <c r="G40" s="136">
        <v>0</v>
      </c>
      <c r="H40" s="161">
        <f t="shared" si="3"/>
        <v>-41600</v>
      </c>
      <c r="J40" t="s">
        <v>362</v>
      </c>
    </row>
    <row r="41" spans="2:10" x14ac:dyDescent="0.25">
      <c r="F41" s="136"/>
      <c r="G41" s="136"/>
      <c r="H41" s="25"/>
    </row>
    <row r="42" spans="2:10" ht="16.899999999999999" customHeight="1" x14ac:dyDescent="0.25">
      <c r="B42" t="s">
        <v>346</v>
      </c>
      <c r="C42" t="s">
        <v>207</v>
      </c>
      <c r="D42" t="s">
        <v>363</v>
      </c>
      <c r="F42" s="136">
        <v>54080</v>
      </c>
      <c r="G42" s="25">
        <f>F42</f>
        <v>54080</v>
      </c>
      <c r="J42" t="s">
        <v>375</v>
      </c>
    </row>
    <row r="43" spans="2:10" ht="4.5" customHeight="1" x14ac:dyDescent="0.25">
      <c r="G43" s="45"/>
    </row>
    <row r="44" spans="2:10" ht="15.75" thickBot="1" x14ac:dyDescent="0.3">
      <c r="B44" s="148" t="s">
        <v>364</v>
      </c>
      <c r="C44" s="149"/>
      <c r="D44" s="149"/>
      <c r="E44" s="150"/>
      <c r="F44" s="150">
        <f>SUM(F45:F58)</f>
        <v>0</v>
      </c>
      <c r="G44" s="150">
        <f>SUM(G45:G58)</f>
        <v>0</v>
      </c>
      <c r="H44" s="150">
        <f>-'[1]Summary Savings'!$E$3</f>
        <v>-243478.00670000014</v>
      </c>
      <c r="I44" s="66"/>
      <c r="J44" s="66"/>
    </row>
    <row r="45" spans="2:10" ht="16.5" thickTop="1" thickBot="1" x14ac:dyDescent="0.3">
      <c r="B45" s="148" t="s">
        <v>338</v>
      </c>
      <c r="C45" s="149"/>
      <c r="D45" s="149"/>
      <c r="E45" s="150"/>
      <c r="F45" s="150"/>
      <c r="G45" s="150"/>
      <c r="H45" s="150"/>
    </row>
    <row r="46" spans="2:10" ht="16.5" thickTop="1" thickBot="1" x14ac:dyDescent="0.3">
      <c r="B46" s="148" t="s">
        <v>339</v>
      </c>
      <c r="C46" s="149"/>
      <c r="D46" s="149"/>
      <c r="E46" s="150"/>
      <c r="F46" s="150"/>
      <c r="G46" s="150"/>
      <c r="H46" s="150"/>
    </row>
    <row r="47" spans="2:10" ht="15.75" thickTop="1" x14ac:dyDescent="0.25"/>
    <row r="74" ht="36.6" customHeight="1" x14ac:dyDescent="0.25"/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D1DDE-7602-48D4-AD8B-371554E1E193}">
  <dimension ref="A4:T61"/>
  <sheetViews>
    <sheetView showGridLines="0" topLeftCell="B1" zoomScale="90" zoomScaleNormal="90" workbookViewId="0">
      <selection activeCell="R31" sqref="R31"/>
    </sheetView>
  </sheetViews>
  <sheetFormatPr defaultRowHeight="15" x14ac:dyDescent="0.25"/>
  <cols>
    <col min="2" max="2" width="24.28515625" bestFit="1" customWidth="1"/>
    <col min="3" max="3" width="3" bestFit="1" customWidth="1"/>
    <col min="4" max="4" width="25.5703125" bestFit="1" customWidth="1"/>
    <col min="5" max="5" width="17.28515625" bestFit="1" customWidth="1"/>
    <col min="6" max="6" width="11.7109375" bestFit="1" customWidth="1"/>
    <col min="7" max="7" width="13.28515625" bestFit="1" customWidth="1"/>
    <col min="8" max="8" width="10.28515625" customWidth="1"/>
    <col min="9" max="9" width="12.28515625" customWidth="1"/>
    <col min="10" max="10" width="7.7109375" bestFit="1" customWidth="1"/>
    <col min="11" max="11" width="12.28515625" customWidth="1"/>
    <col min="12" max="12" width="8.7109375" customWidth="1"/>
    <col min="13" max="13" width="14.5703125" customWidth="1"/>
    <col min="14" max="14" width="12.5703125" customWidth="1"/>
    <col min="16" max="16" width="24.140625" bestFit="1" customWidth="1"/>
    <col min="17" max="20" width="12.140625" customWidth="1"/>
    <col min="21" max="21" width="10.28515625" bestFit="1" customWidth="1"/>
  </cols>
  <sheetData>
    <row r="4" spans="2:20" x14ac:dyDescent="0.25">
      <c r="D4" s="52" t="s">
        <v>169</v>
      </c>
      <c r="E4" s="16" t="s">
        <v>176</v>
      </c>
    </row>
    <row r="5" spans="2:20" x14ac:dyDescent="0.25">
      <c r="D5" s="109" t="s">
        <v>271</v>
      </c>
    </row>
    <row r="6" spans="2:20" x14ac:dyDescent="0.25">
      <c r="D6" s="52" t="s">
        <v>203</v>
      </c>
      <c r="E6" s="52" t="s">
        <v>204</v>
      </c>
    </row>
    <row r="7" spans="2:20" x14ac:dyDescent="0.25">
      <c r="D7" s="52" t="s">
        <v>205</v>
      </c>
      <c r="E7" s="18" t="s">
        <v>208</v>
      </c>
      <c r="F7" s="18" t="s">
        <v>209</v>
      </c>
    </row>
    <row r="8" spans="2:20" x14ac:dyDescent="0.25">
      <c r="D8" s="24" t="s">
        <v>175</v>
      </c>
      <c r="E8" s="68">
        <v>-962160.67</v>
      </c>
      <c r="F8" s="26">
        <v>-962160.67</v>
      </c>
    </row>
    <row r="9" spans="2:20" x14ac:dyDescent="0.25">
      <c r="D9" s="24" t="s">
        <v>192</v>
      </c>
      <c r="E9" s="25">
        <v>315753.08</v>
      </c>
      <c r="F9" s="30">
        <v>315753.08</v>
      </c>
    </row>
    <row r="10" spans="2:20" x14ac:dyDescent="0.25">
      <c r="D10" s="24" t="s">
        <v>193</v>
      </c>
      <c r="E10" s="68">
        <v>12414.36</v>
      </c>
      <c r="F10" s="30">
        <v>12414.36</v>
      </c>
    </row>
    <row r="11" spans="2:20" x14ac:dyDescent="0.25">
      <c r="D11" s="24" t="s">
        <v>191</v>
      </c>
      <c r="E11" s="25">
        <v>82744.569999999992</v>
      </c>
      <c r="F11" s="30">
        <v>82744.569999999992</v>
      </c>
    </row>
    <row r="12" spans="2:20" x14ac:dyDescent="0.25">
      <c r="D12" s="24" t="s">
        <v>209</v>
      </c>
      <c r="E12" s="25">
        <v>-551248.66000000015</v>
      </c>
      <c r="F12" s="26">
        <v>-551248.66000000015</v>
      </c>
    </row>
    <row r="13" spans="2:20" ht="30.75" thickBot="1" x14ac:dyDescent="0.3">
      <c r="F13" s="26"/>
      <c r="R13" s="87" t="s">
        <v>407</v>
      </c>
    </row>
    <row r="14" spans="2:20" x14ac:dyDescent="0.25">
      <c r="B14" s="24"/>
      <c r="C14" s="25"/>
      <c r="D14" s="26"/>
      <c r="E14" s="26"/>
      <c r="F14" s="26"/>
      <c r="I14" s="135" t="s">
        <v>237</v>
      </c>
      <c r="K14" s="195" t="str">
        <f>I14</f>
        <v>Forecast</v>
      </c>
      <c r="T14" s="71" t="s">
        <v>410</v>
      </c>
    </row>
    <row r="15" spans="2:20" x14ac:dyDescent="0.25">
      <c r="E15" s="71" t="s">
        <v>384</v>
      </c>
      <c r="G15" s="71" t="s">
        <v>383</v>
      </c>
      <c r="I15" s="71" t="s">
        <v>394</v>
      </c>
      <c r="J15" s="71"/>
      <c r="K15" s="189" t="s">
        <v>385</v>
      </c>
      <c r="L15" s="71"/>
      <c r="M15" s="71" t="s">
        <v>391</v>
      </c>
      <c r="N15" s="187" t="s">
        <v>393</v>
      </c>
      <c r="Q15" s="18" t="s">
        <v>408</v>
      </c>
      <c r="R15" t="str">
        <f>G15</f>
        <v>Jan-Jun2026</v>
      </c>
      <c r="S15" t="str">
        <f>I15</f>
        <v>Jul-Dec2026</v>
      </c>
      <c r="T15" s="71" t="s">
        <v>409</v>
      </c>
    </row>
    <row r="16" spans="2:20" ht="15.75" thickBot="1" x14ac:dyDescent="0.3">
      <c r="B16" s="167"/>
      <c r="C16" s="167"/>
      <c r="D16" s="167" t="s">
        <v>57</v>
      </c>
      <c r="E16" s="168">
        <f>-[2]Pivot!$D$5</f>
        <v>870156.16</v>
      </c>
      <c r="F16" s="178" t="s">
        <v>387</v>
      </c>
      <c r="G16" s="168">
        <f>-'26 EBITDA ADJ'!D6</f>
        <v>962160.67</v>
      </c>
      <c r="H16" s="178" t="s">
        <v>387</v>
      </c>
      <c r="I16" s="168">
        <f>450000*2</f>
        <v>900000</v>
      </c>
      <c r="J16" s="178" t="s">
        <v>387</v>
      </c>
      <c r="K16" s="190">
        <f>G16+I16</f>
        <v>1862160.67</v>
      </c>
      <c r="L16" s="71" t="s">
        <v>387</v>
      </c>
      <c r="M16" s="168">
        <f>450000*4</f>
        <v>1800000</v>
      </c>
      <c r="N16" s="176" t="s">
        <v>392</v>
      </c>
      <c r="P16" s="25">
        <f>Q16</f>
        <v>1924321.34</v>
      </c>
      <c r="Q16" s="25">
        <f>G16*2</f>
        <v>1924321.34</v>
      </c>
      <c r="R16" s="25">
        <f>551308/6*5+410852+41000</f>
        <v>911275.33333333337</v>
      </c>
      <c r="S16" s="25">
        <f>I16</f>
        <v>900000</v>
      </c>
      <c r="T16" s="26">
        <f>R16+S16</f>
        <v>1811275.3333333335</v>
      </c>
    </row>
    <row r="17" spans="1:20" x14ac:dyDescent="0.25">
      <c r="A17" t="s">
        <v>415</v>
      </c>
      <c r="B17" s="1">
        <v>60700</v>
      </c>
      <c r="C17" s="1">
        <v>50</v>
      </c>
      <c r="D17" s="1" t="s">
        <v>77</v>
      </c>
      <c r="E17" s="166">
        <v>169152.01</v>
      </c>
      <c r="F17" s="179">
        <f t="shared" ref="F17:F29" si="0">E17/E$16</f>
        <v>0.19439270532774255</v>
      </c>
      <c r="G17" s="166">
        <v>192924.91</v>
      </c>
      <c r="H17" s="179">
        <f t="shared" ref="H17:H29" si="1">G17/G$16</f>
        <v>0.20051215562573349</v>
      </c>
      <c r="I17" s="166">
        <f>H17*I$16</f>
        <v>180460.94006316015</v>
      </c>
      <c r="J17" s="179">
        <f t="shared" ref="J17:J29" si="2">I17/I$16</f>
        <v>0.20051215562573349</v>
      </c>
      <c r="K17" s="191">
        <f t="shared" ref="K17:K29" si="3">G17+I17</f>
        <v>373385.85006316018</v>
      </c>
      <c r="L17" s="117">
        <f t="shared" ref="L17:L25" si="4">K17/K$16</f>
        <v>0.20051215562573352</v>
      </c>
      <c r="M17" s="25">
        <f>N17*M$16</f>
        <v>360921.88012632035</v>
      </c>
      <c r="N17" s="177">
        <f>L17</f>
        <v>0.20051215562573352</v>
      </c>
      <c r="Q17" s="25">
        <f>G17*2</f>
        <v>385849.82</v>
      </c>
      <c r="R17" s="25">
        <f>I17</f>
        <v>180460.94006316015</v>
      </c>
      <c r="S17" s="25">
        <f>I17</f>
        <v>180460.94006316015</v>
      </c>
      <c r="T17" s="26">
        <f>R17+S17</f>
        <v>360921.88012632029</v>
      </c>
    </row>
    <row r="18" spans="1:20" x14ac:dyDescent="0.25">
      <c r="A18" t="s">
        <v>415</v>
      </c>
      <c r="B18" s="1">
        <v>60710</v>
      </c>
      <c r="C18" s="1">
        <v>50</v>
      </c>
      <c r="D18" s="1" t="s">
        <v>78</v>
      </c>
      <c r="E18" s="166">
        <v>11359.5</v>
      </c>
      <c r="F18" s="179">
        <f t="shared" si="0"/>
        <v>1.3054553334426776E-2</v>
      </c>
      <c r="G18" s="183">
        <v>16086.61</v>
      </c>
      <c r="H18" s="179">
        <f t="shared" si="1"/>
        <v>1.6719255423317189E-2</v>
      </c>
      <c r="I18" s="183">
        <f>F18*I16</f>
        <v>11749.098000984099</v>
      </c>
      <c r="J18" s="179">
        <f t="shared" si="2"/>
        <v>1.3054553334426776E-2</v>
      </c>
      <c r="K18" s="192">
        <f t="shared" si="3"/>
        <v>27835.708000984101</v>
      </c>
      <c r="L18" s="117">
        <f t="shared" si="4"/>
        <v>1.4948069975607476E-2</v>
      </c>
      <c r="M18" s="25">
        <f t="shared" ref="M18:M30" si="5">N18*M$16</f>
        <v>23498.196001968197</v>
      </c>
      <c r="N18" s="177">
        <f>J18</f>
        <v>1.3054553334426776E-2</v>
      </c>
      <c r="O18" t="s">
        <v>390</v>
      </c>
      <c r="Q18" s="25">
        <f>G18*2</f>
        <v>32173.22</v>
      </c>
      <c r="R18" s="25">
        <f>I18</f>
        <v>11749.098000984099</v>
      </c>
      <c r="S18" s="25">
        <f t="shared" ref="S18:S31" si="6">I18</f>
        <v>11749.098000984099</v>
      </c>
      <c r="T18" s="26">
        <f t="shared" ref="T18:T31" si="7">R18+S18</f>
        <v>23498.196001968197</v>
      </c>
    </row>
    <row r="19" spans="1:20" x14ac:dyDescent="0.25">
      <c r="A19" t="s">
        <v>415</v>
      </c>
      <c r="B19" s="1">
        <v>60720</v>
      </c>
      <c r="C19" s="1">
        <v>50</v>
      </c>
      <c r="D19" s="1" t="s">
        <v>79</v>
      </c>
      <c r="E19" s="166">
        <v>10905.8</v>
      </c>
      <c r="F19" s="179">
        <f t="shared" si="0"/>
        <v>1.2533152669975926E-2</v>
      </c>
      <c r="G19" s="166">
        <v>3777.6</v>
      </c>
      <c r="H19" s="179">
        <f t="shared" si="1"/>
        <v>3.9261633922326091E-3</v>
      </c>
      <c r="I19" s="166">
        <f>H19*I$16</f>
        <v>3533.547053009348</v>
      </c>
      <c r="J19" s="179">
        <f t="shared" si="2"/>
        <v>3.9261633922326091E-3</v>
      </c>
      <c r="K19" s="191">
        <f t="shared" si="3"/>
        <v>7311.1470530093484</v>
      </c>
      <c r="L19" s="117">
        <f t="shared" si="4"/>
        <v>3.9261633922326091E-3</v>
      </c>
      <c r="M19" s="25">
        <f t="shared" si="5"/>
        <v>7067.094106018696</v>
      </c>
      <c r="N19" s="177">
        <f>J19</f>
        <v>3.9261633922326091E-3</v>
      </c>
      <c r="Q19" s="25">
        <f t="shared" ref="Q19:Q29" si="8">G19*2</f>
        <v>7555.2</v>
      </c>
      <c r="R19" s="25">
        <f t="shared" ref="R19:R29" si="9">I19</f>
        <v>3533.547053009348</v>
      </c>
      <c r="S19" s="25">
        <f t="shared" si="6"/>
        <v>3533.547053009348</v>
      </c>
      <c r="T19" s="26">
        <f t="shared" si="7"/>
        <v>7067.094106018696</v>
      </c>
    </row>
    <row r="20" spans="1:20" x14ac:dyDescent="0.25">
      <c r="A20" t="s">
        <v>415</v>
      </c>
      <c r="B20" s="1">
        <v>60730</v>
      </c>
      <c r="C20" s="1">
        <v>50</v>
      </c>
      <c r="D20" s="1" t="s">
        <v>80</v>
      </c>
      <c r="E20" s="166">
        <v>6821.6</v>
      </c>
      <c r="F20" s="179">
        <f t="shared" si="0"/>
        <v>7.8395123928100448E-3</v>
      </c>
      <c r="G20" s="166">
        <v>3916.4</v>
      </c>
      <c r="H20" s="179">
        <f t="shared" si="1"/>
        <v>4.0704220429213763E-3</v>
      </c>
      <c r="I20" s="166">
        <f>H20*I$16</f>
        <v>3663.3798386292387</v>
      </c>
      <c r="J20" s="179">
        <f t="shared" si="2"/>
        <v>4.0704220429213763E-3</v>
      </c>
      <c r="K20" s="191">
        <f t="shared" si="3"/>
        <v>7579.7798386292388</v>
      </c>
      <c r="L20" s="117">
        <f t="shared" si="4"/>
        <v>4.0704220429213763E-3</v>
      </c>
      <c r="M20" s="25">
        <f t="shared" si="5"/>
        <v>7326.7596772584775</v>
      </c>
      <c r="N20" s="177">
        <f t="shared" ref="N20:N30" si="10">J20</f>
        <v>4.0704220429213763E-3</v>
      </c>
      <c r="Q20" s="25">
        <f t="shared" si="8"/>
        <v>7832.8</v>
      </c>
      <c r="R20" s="25">
        <f t="shared" si="9"/>
        <v>3663.3798386292387</v>
      </c>
      <c r="S20" s="25">
        <f t="shared" si="6"/>
        <v>3663.3798386292387</v>
      </c>
      <c r="T20" s="26">
        <f t="shared" si="7"/>
        <v>7326.7596772584775</v>
      </c>
    </row>
    <row r="21" spans="1:20" x14ac:dyDescent="0.25">
      <c r="A21" t="s">
        <v>415</v>
      </c>
      <c r="B21" s="173">
        <v>60750</v>
      </c>
      <c r="C21" s="173">
        <v>50</v>
      </c>
      <c r="D21" s="173" t="s">
        <v>81</v>
      </c>
      <c r="E21" s="174">
        <v>-11914.34</v>
      </c>
      <c r="F21" s="180">
        <f t="shared" si="0"/>
        <v>-1.3692186009462945E-2</v>
      </c>
      <c r="G21" s="174">
        <v>-8500.32</v>
      </c>
      <c r="H21" s="180">
        <f t="shared" si="1"/>
        <v>-8.8346159482906323E-3</v>
      </c>
      <c r="I21" s="172">
        <f>H21*I$16</f>
        <v>-7951.1543534615694</v>
      </c>
      <c r="J21" s="180">
        <f t="shared" si="2"/>
        <v>-8.8346159482906323E-3</v>
      </c>
      <c r="K21" s="193">
        <f t="shared" si="3"/>
        <v>-16451.47435346157</v>
      </c>
      <c r="L21" s="175">
        <f t="shared" si="4"/>
        <v>-8.8346159482906323E-3</v>
      </c>
      <c r="M21" s="25">
        <f t="shared" si="5"/>
        <v>-15902.308706923139</v>
      </c>
      <c r="N21" s="177">
        <f t="shared" si="10"/>
        <v>-8.8346159482906323E-3</v>
      </c>
      <c r="Q21" s="25">
        <f t="shared" si="8"/>
        <v>-17000.64</v>
      </c>
      <c r="R21" s="25">
        <f t="shared" si="9"/>
        <v>-7951.1543534615694</v>
      </c>
      <c r="S21" s="25">
        <f t="shared" si="6"/>
        <v>-7951.1543534615694</v>
      </c>
      <c r="T21" s="26">
        <f t="shared" si="7"/>
        <v>-15902.308706923139</v>
      </c>
    </row>
    <row r="22" spans="1:20" x14ac:dyDescent="0.25">
      <c r="A22" t="s">
        <v>415</v>
      </c>
      <c r="B22" s="1">
        <v>60751</v>
      </c>
      <c r="C22" s="1">
        <v>50</v>
      </c>
      <c r="D22" s="1" t="s">
        <v>82</v>
      </c>
      <c r="E22" s="166">
        <v>619.41</v>
      </c>
      <c r="F22" s="179">
        <f t="shared" si="0"/>
        <v>7.1183774645691179E-4</v>
      </c>
      <c r="G22" s="166">
        <v>30</v>
      </c>
      <c r="H22" s="179">
        <f t="shared" si="1"/>
        <v>3.1179823635900646E-5</v>
      </c>
      <c r="I22" s="166">
        <f t="shared" ref="I22:I30" si="11">H22*I$16</f>
        <v>28.061841272310581</v>
      </c>
      <c r="J22" s="179">
        <f t="shared" si="2"/>
        <v>3.1179823635900646E-5</v>
      </c>
      <c r="K22" s="191">
        <f t="shared" si="3"/>
        <v>58.061841272310581</v>
      </c>
      <c r="L22" s="117">
        <f t="shared" si="4"/>
        <v>3.1179823635900646E-5</v>
      </c>
      <c r="M22" s="25">
        <f t="shared" si="5"/>
        <v>56.123682544621161</v>
      </c>
      <c r="N22" s="177">
        <f t="shared" si="10"/>
        <v>3.1179823635900646E-5</v>
      </c>
      <c r="Q22" s="25">
        <f t="shared" si="8"/>
        <v>60</v>
      </c>
      <c r="R22" s="25">
        <f t="shared" si="9"/>
        <v>28.061841272310581</v>
      </c>
      <c r="S22" s="25">
        <f t="shared" si="6"/>
        <v>28.061841272310581</v>
      </c>
      <c r="T22" s="26">
        <f t="shared" si="7"/>
        <v>56.123682544621161</v>
      </c>
    </row>
    <row r="23" spans="1:20" x14ac:dyDescent="0.25">
      <c r="A23" t="s">
        <v>415</v>
      </c>
      <c r="B23" s="1">
        <v>60752</v>
      </c>
      <c r="C23" s="1">
        <v>50</v>
      </c>
      <c r="D23" s="1" t="s">
        <v>83</v>
      </c>
      <c r="E23" s="166">
        <v>3400.2</v>
      </c>
      <c r="F23" s="179">
        <f t="shared" si="0"/>
        <v>3.9075744749080439E-3</v>
      </c>
      <c r="G23" s="166">
        <v>800</v>
      </c>
      <c r="H23" s="179">
        <f t="shared" si="1"/>
        <v>8.314619636240172E-4</v>
      </c>
      <c r="I23" s="166">
        <f t="shared" si="11"/>
        <v>748.31576726161552</v>
      </c>
      <c r="J23" s="179">
        <f t="shared" si="2"/>
        <v>8.314619636240172E-4</v>
      </c>
      <c r="K23" s="191">
        <f t="shared" si="3"/>
        <v>1548.3157672616155</v>
      </c>
      <c r="L23" s="117">
        <f t="shared" si="4"/>
        <v>8.314619636240172E-4</v>
      </c>
      <c r="M23" s="25">
        <f t="shared" si="5"/>
        <v>1496.631534523231</v>
      </c>
      <c r="N23" s="177">
        <f t="shared" si="10"/>
        <v>8.314619636240172E-4</v>
      </c>
      <c r="Q23" s="25">
        <f t="shared" si="8"/>
        <v>1600</v>
      </c>
      <c r="R23" s="25">
        <f t="shared" si="9"/>
        <v>748.31576726161552</v>
      </c>
      <c r="S23" s="25">
        <f t="shared" si="6"/>
        <v>748.31576726161552</v>
      </c>
      <c r="T23" s="26">
        <f t="shared" si="7"/>
        <v>1496.631534523231</v>
      </c>
    </row>
    <row r="24" spans="1:20" x14ac:dyDescent="0.25">
      <c r="A24" t="s">
        <v>415</v>
      </c>
      <c r="B24" s="1">
        <v>60753</v>
      </c>
      <c r="C24" s="1">
        <v>50</v>
      </c>
      <c r="D24" s="1" t="s">
        <v>84</v>
      </c>
      <c r="E24" s="166">
        <v>1257.5999999999999</v>
      </c>
      <c r="F24" s="179">
        <f t="shared" si="0"/>
        <v>1.4452578259056396E-3</v>
      </c>
      <c r="G24" s="186">
        <v>480</v>
      </c>
      <c r="H24" s="179">
        <f t="shared" si="1"/>
        <v>4.9887717817441034E-4</v>
      </c>
      <c r="I24" s="166">
        <f t="shared" si="11"/>
        <v>448.98946035696929</v>
      </c>
      <c r="J24" s="179">
        <f t="shared" si="2"/>
        <v>4.9887717817441034E-4</v>
      </c>
      <c r="K24" s="191">
        <f t="shared" si="3"/>
        <v>928.98946035696929</v>
      </c>
      <c r="L24" s="117">
        <f t="shared" si="4"/>
        <v>4.9887717817441034E-4</v>
      </c>
      <c r="M24" s="25">
        <f t="shared" si="5"/>
        <v>897.97892071393858</v>
      </c>
      <c r="N24" s="177">
        <f t="shared" si="10"/>
        <v>4.9887717817441034E-4</v>
      </c>
      <c r="Q24" s="25">
        <f t="shared" si="8"/>
        <v>960</v>
      </c>
      <c r="R24" s="25">
        <f t="shared" si="9"/>
        <v>448.98946035696929</v>
      </c>
      <c r="S24" s="25">
        <f t="shared" si="6"/>
        <v>448.98946035696929</v>
      </c>
      <c r="T24" s="26">
        <f t="shared" si="7"/>
        <v>897.97892071393858</v>
      </c>
    </row>
    <row r="25" spans="1:20" x14ac:dyDescent="0.25">
      <c r="A25" t="s">
        <v>416</v>
      </c>
      <c r="B25" s="1">
        <v>60770</v>
      </c>
      <c r="C25" s="1">
        <v>50</v>
      </c>
      <c r="D25" s="1" t="s">
        <v>92</v>
      </c>
      <c r="E25" s="186">
        <v>56669.65</v>
      </c>
      <c r="F25" s="179">
        <f t="shared" si="0"/>
        <v>6.5125839021814194E-2</v>
      </c>
      <c r="G25" s="186">
        <v>28614.880000000001</v>
      </c>
      <c r="H25" s="179">
        <f t="shared" si="1"/>
        <v>2.9740230392082019E-2</v>
      </c>
      <c r="I25" s="166">
        <f t="shared" si="11"/>
        <v>26766.207352873818</v>
      </c>
      <c r="J25" s="179">
        <f t="shared" si="2"/>
        <v>2.9740230392082019E-2</v>
      </c>
      <c r="K25" s="191">
        <f t="shared" si="3"/>
        <v>55381.087352873816</v>
      </c>
      <c r="L25" s="117">
        <f t="shared" si="4"/>
        <v>2.9740230392082019E-2</v>
      </c>
      <c r="M25" s="25">
        <f t="shared" si="5"/>
        <v>53532.414705747637</v>
      </c>
      <c r="N25" s="177">
        <f t="shared" si="10"/>
        <v>2.9740230392082019E-2</v>
      </c>
      <c r="Q25" s="25">
        <f t="shared" si="8"/>
        <v>57229.760000000002</v>
      </c>
      <c r="R25" s="25">
        <f t="shared" si="9"/>
        <v>26766.207352873818</v>
      </c>
      <c r="S25" s="25">
        <f t="shared" si="6"/>
        <v>26766.207352873818</v>
      </c>
      <c r="T25" s="26">
        <f t="shared" si="7"/>
        <v>53532.414705747637</v>
      </c>
    </row>
    <row r="26" spans="1:20" x14ac:dyDescent="0.25">
      <c r="A26" t="s">
        <v>416</v>
      </c>
      <c r="B26" s="1">
        <v>60840</v>
      </c>
      <c r="C26" s="1">
        <v>50</v>
      </c>
      <c r="D26" s="1" t="s">
        <v>101</v>
      </c>
      <c r="E26" s="186">
        <v>40683.75</v>
      </c>
      <c r="F26" s="179">
        <f t="shared" si="0"/>
        <v>4.6754538863461009E-2</v>
      </c>
      <c r="G26" s="186">
        <v>22463.200000000001</v>
      </c>
      <c r="H26" s="179">
        <f t="shared" si="1"/>
        <v>2.334662047659878E-2</v>
      </c>
      <c r="I26" s="166">
        <f t="shared" si="11"/>
        <v>21011.958428938902</v>
      </c>
      <c r="J26" s="179">
        <f t="shared" si="2"/>
        <v>2.334662047659878E-2</v>
      </c>
      <c r="K26" s="191">
        <f t="shared" si="3"/>
        <v>43475.158428938899</v>
      </c>
      <c r="L26" s="117">
        <f t="shared" ref="L26:L30" si="12">K26/K$16</f>
        <v>2.334662047659878E-2</v>
      </c>
      <c r="M26" s="25">
        <f t="shared" si="5"/>
        <v>42023.916857877804</v>
      </c>
      <c r="N26" s="177">
        <f t="shared" si="10"/>
        <v>2.334662047659878E-2</v>
      </c>
      <c r="Q26" s="25">
        <f t="shared" si="8"/>
        <v>44926.400000000001</v>
      </c>
      <c r="R26" s="25">
        <f t="shared" si="9"/>
        <v>21011.958428938902</v>
      </c>
      <c r="S26" s="25">
        <f t="shared" si="6"/>
        <v>21011.958428938902</v>
      </c>
      <c r="T26" s="26">
        <f t="shared" si="7"/>
        <v>42023.916857877804</v>
      </c>
    </row>
    <row r="27" spans="1:20" x14ac:dyDescent="0.25">
      <c r="A27" t="s">
        <v>416</v>
      </c>
      <c r="B27">
        <v>60841</v>
      </c>
      <c r="C27">
        <v>50</v>
      </c>
      <c r="D27" t="s">
        <v>102</v>
      </c>
      <c r="E27" s="186">
        <v>87.33</v>
      </c>
      <c r="F27" s="179">
        <f t="shared" si="0"/>
        <v>1.0036129606897226E-4</v>
      </c>
      <c r="G27" s="186">
        <v>0</v>
      </c>
      <c r="H27" s="179">
        <f t="shared" si="1"/>
        <v>0</v>
      </c>
      <c r="I27" s="166">
        <f t="shared" si="11"/>
        <v>0</v>
      </c>
      <c r="J27" s="179">
        <f t="shared" si="2"/>
        <v>0</v>
      </c>
      <c r="K27" s="191">
        <f t="shared" si="3"/>
        <v>0</v>
      </c>
      <c r="L27" s="117">
        <f t="shared" si="12"/>
        <v>0</v>
      </c>
      <c r="M27" s="25">
        <f t="shared" si="5"/>
        <v>0</v>
      </c>
      <c r="N27" s="177">
        <f t="shared" si="10"/>
        <v>0</v>
      </c>
      <c r="Q27" s="25">
        <f t="shared" si="8"/>
        <v>0</v>
      </c>
      <c r="R27" s="25">
        <f t="shared" si="9"/>
        <v>0</v>
      </c>
      <c r="S27" s="25">
        <f t="shared" si="6"/>
        <v>0</v>
      </c>
      <c r="T27" s="26">
        <f t="shared" si="7"/>
        <v>0</v>
      </c>
    </row>
    <row r="28" spans="1:20" x14ac:dyDescent="0.25">
      <c r="A28" t="s">
        <v>416</v>
      </c>
      <c r="B28" s="1">
        <v>60842</v>
      </c>
      <c r="C28" s="1">
        <v>50</v>
      </c>
      <c r="D28" s="1" t="s">
        <v>103</v>
      </c>
      <c r="E28" s="186">
        <v>1498.5</v>
      </c>
      <c r="F28" s="179">
        <f t="shared" si="0"/>
        <v>1.7221046852096064E-3</v>
      </c>
      <c r="G28" s="186">
        <v>2422</v>
      </c>
      <c r="H28" s="179">
        <f t="shared" si="1"/>
        <v>2.5172510948717119E-3</v>
      </c>
      <c r="I28" s="166">
        <f t="shared" si="11"/>
        <v>2265.5259853845409</v>
      </c>
      <c r="J28" s="179">
        <f t="shared" si="2"/>
        <v>2.5172510948717123E-3</v>
      </c>
      <c r="K28" s="191">
        <f t="shared" si="3"/>
        <v>4687.5259853845409</v>
      </c>
      <c r="L28" s="117">
        <f t="shared" si="12"/>
        <v>2.5172510948717123E-3</v>
      </c>
      <c r="M28" s="25">
        <f t="shared" si="5"/>
        <v>4531.0519707690819</v>
      </c>
      <c r="N28" s="177">
        <f t="shared" si="10"/>
        <v>2.5172510948717123E-3</v>
      </c>
      <c r="Q28" s="25">
        <f t="shared" si="8"/>
        <v>4844</v>
      </c>
      <c r="R28" s="25">
        <f t="shared" si="9"/>
        <v>2265.5259853845409</v>
      </c>
      <c r="S28" s="25">
        <f t="shared" si="6"/>
        <v>2265.5259853845409</v>
      </c>
      <c r="T28" s="26">
        <f t="shared" si="7"/>
        <v>4531.0519707690819</v>
      </c>
    </row>
    <row r="29" spans="1:20" x14ac:dyDescent="0.25">
      <c r="A29" t="s">
        <v>416</v>
      </c>
      <c r="B29">
        <v>60843</v>
      </c>
      <c r="C29">
        <v>50</v>
      </c>
      <c r="D29" t="s">
        <v>104</v>
      </c>
      <c r="E29" s="186">
        <v>810</v>
      </c>
      <c r="F29" s="179">
        <f t="shared" si="0"/>
        <v>9.3086739741059807E-4</v>
      </c>
      <c r="G29" s="186">
        <v>0</v>
      </c>
      <c r="H29" s="179">
        <f t="shared" si="1"/>
        <v>0</v>
      </c>
      <c r="I29" s="166">
        <f t="shared" si="11"/>
        <v>0</v>
      </c>
      <c r="J29" s="179">
        <f t="shared" si="2"/>
        <v>0</v>
      </c>
      <c r="K29" s="191">
        <f t="shared" si="3"/>
        <v>0</v>
      </c>
      <c r="L29" s="117">
        <f t="shared" si="12"/>
        <v>0</v>
      </c>
      <c r="M29" s="25">
        <f t="shared" si="5"/>
        <v>0</v>
      </c>
      <c r="N29" s="177">
        <f t="shared" si="10"/>
        <v>0</v>
      </c>
      <c r="Q29" s="25">
        <f t="shared" si="8"/>
        <v>0</v>
      </c>
      <c r="R29" s="25">
        <f t="shared" si="9"/>
        <v>0</v>
      </c>
      <c r="S29" s="25">
        <f t="shared" si="6"/>
        <v>0</v>
      </c>
      <c r="T29" s="26">
        <f t="shared" si="7"/>
        <v>0</v>
      </c>
    </row>
    <row r="30" spans="1:20" ht="16.149999999999999" customHeight="1" x14ac:dyDescent="0.25">
      <c r="B30" s="106"/>
      <c r="C30" s="106"/>
      <c r="D30" s="185" t="s">
        <v>388</v>
      </c>
      <c r="E30" s="106"/>
      <c r="F30" s="181"/>
      <c r="G30" s="184">
        <v>-12000</v>
      </c>
      <c r="H30" s="181"/>
      <c r="I30" s="183">
        <f t="shared" si="11"/>
        <v>0</v>
      </c>
      <c r="J30" s="181"/>
      <c r="K30" s="192">
        <f>G30+I30</f>
        <v>-12000</v>
      </c>
      <c r="L30" s="117">
        <f t="shared" si="12"/>
        <v>-6.4441270795392754E-3</v>
      </c>
      <c r="M30" s="25">
        <f t="shared" si="5"/>
        <v>0</v>
      </c>
      <c r="N30" s="177">
        <f t="shared" si="10"/>
        <v>0</v>
      </c>
      <c r="O30" t="s">
        <v>389</v>
      </c>
      <c r="Q30" s="25">
        <f>G30*2</f>
        <v>-24000</v>
      </c>
      <c r="R30" s="25"/>
      <c r="S30" s="25">
        <f t="shared" si="6"/>
        <v>0</v>
      </c>
      <c r="T30" s="26">
        <f t="shared" si="7"/>
        <v>0</v>
      </c>
    </row>
    <row r="31" spans="1:20" ht="15.75" thickBot="1" x14ac:dyDescent="0.3">
      <c r="B31" s="169"/>
      <c r="C31" s="169"/>
      <c r="D31" s="167" t="s">
        <v>386</v>
      </c>
      <c r="E31" s="170">
        <f>SUM(E17:E30)</f>
        <v>291351.01000000007</v>
      </c>
      <c r="F31" s="182">
        <f>E31/E$16</f>
        <v>0.33482611902672743</v>
      </c>
      <c r="G31" s="170">
        <f>SUM(G17:G30)</f>
        <v>251015.28000000003</v>
      </c>
      <c r="H31" s="182">
        <f>G31/G$16</f>
        <v>0.26088707201054062</v>
      </c>
      <c r="I31" s="170"/>
      <c r="J31" s="182">
        <f>I31/I$16</f>
        <v>0</v>
      </c>
      <c r="K31" s="194">
        <f>SUM(K17:K30)</f>
        <v>493740.14943840937</v>
      </c>
      <c r="L31" s="171">
        <f>K31/K$16</f>
        <v>0.26514368893765189</v>
      </c>
      <c r="M31" s="170">
        <f>SUM(M17:M30)</f>
        <v>485449.73887681885</v>
      </c>
      <c r="N31" s="177">
        <f>M31/M$16</f>
        <v>0.26969429937601047</v>
      </c>
      <c r="Q31" s="49">
        <f>G34*2</f>
        <v>-82171.44</v>
      </c>
      <c r="R31" s="49">
        <v>0</v>
      </c>
      <c r="S31" s="49">
        <f t="shared" si="6"/>
        <v>0</v>
      </c>
      <c r="T31" s="44">
        <f t="shared" si="7"/>
        <v>0</v>
      </c>
    </row>
    <row r="32" spans="1:20" x14ac:dyDescent="0.25">
      <c r="D32" s="45"/>
      <c r="E32" s="26">
        <f>E16-E31</f>
        <v>578805.14999999991</v>
      </c>
      <c r="F32" s="182">
        <f>E32/E$16</f>
        <v>0.66517388097327257</v>
      </c>
      <c r="G32" s="26">
        <f>G16-G31</f>
        <v>711145.39</v>
      </c>
      <c r="H32" s="182"/>
      <c r="I32" s="26">
        <f>I16-I31</f>
        <v>900000</v>
      </c>
      <c r="J32" s="182"/>
      <c r="K32" s="26">
        <f>K16-K31</f>
        <v>1368420.5205615906</v>
      </c>
      <c r="L32" s="171"/>
      <c r="M32" s="26">
        <f>M16-M31</f>
        <v>1314550.2611231811</v>
      </c>
      <c r="N32" s="177"/>
      <c r="P32" s="25">
        <f>Q32</f>
        <v>1504462.22</v>
      </c>
      <c r="Q32" s="25">
        <f>Q16-SUM(Q17:Q31)</f>
        <v>1504462.22</v>
      </c>
      <c r="R32" s="25">
        <f>R16-SUM(R17:R31)</f>
        <v>668550.46389492392</v>
      </c>
      <c r="S32" s="25">
        <f>S16-SUM(S17:S31)</f>
        <v>657275.13056159066</v>
      </c>
      <c r="T32" s="26">
        <f>T16-SUM(T17:T31)</f>
        <v>1325825.5944565148</v>
      </c>
    </row>
    <row r="33" spans="2:20" ht="15.75" thickBot="1" x14ac:dyDescent="0.3">
      <c r="G33" s="188" t="s">
        <v>279</v>
      </c>
      <c r="H33" s="10"/>
      <c r="I33" s="10"/>
      <c r="J33" s="10"/>
      <c r="K33" s="10"/>
      <c r="P33" s="25">
        <f>G32-G34</f>
        <v>752231.11</v>
      </c>
      <c r="Q33" s="25">
        <f>Q32/2</f>
        <v>752231.11</v>
      </c>
      <c r="T33" s="25">
        <f>Q32-T32</f>
        <v>178636.62554348516</v>
      </c>
    </row>
    <row r="34" spans="2:20" ht="15.75" thickBot="1" x14ac:dyDescent="0.3">
      <c r="B34" s="204">
        <v>60850</v>
      </c>
      <c r="C34" s="205">
        <v>50</v>
      </c>
      <c r="D34" s="205" t="s">
        <v>105</v>
      </c>
      <c r="E34" s="206">
        <v>-118069.05</v>
      </c>
      <c r="F34" s="79"/>
      <c r="G34" s="207">
        <v>-41085.72</v>
      </c>
      <c r="H34" s="207"/>
      <c r="I34" s="208"/>
      <c r="J34" s="79"/>
      <c r="K34" s="208">
        <v>0</v>
      </c>
      <c r="L34" s="79"/>
      <c r="M34" s="215" t="s">
        <v>406</v>
      </c>
      <c r="N34" s="209"/>
      <c r="P34" s="25">
        <f>P33-Q33</f>
        <v>0</v>
      </c>
      <c r="T34" s="66">
        <f>T33*3.5</f>
        <v>625228.18940219807</v>
      </c>
    </row>
    <row r="35" spans="2:20" x14ac:dyDescent="0.25">
      <c r="B35" s="210" t="s">
        <v>404</v>
      </c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213"/>
    </row>
    <row r="36" spans="2:20" ht="15.75" thickBot="1" x14ac:dyDescent="0.3">
      <c r="B36" s="211" t="s">
        <v>405</v>
      </c>
      <c r="C36" s="212"/>
      <c r="D36" s="212"/>
      <c r="E36" s="212"/>
      <c r="F36" s="212"/>
      <c r="G36" s="212"/>
      <c r="H36" s="212"/>
      <c r="I36" s="212"/>
      <c r="J36" s="212"/>
      <c r="K36" s="212"/>
      <c r="L36" s="212"/>
      <c r="M36" s="212"/>
      <c r="N36" s="214"/>
    </row>
    <row r="38" spans="2:20" x14ac:dyDescent="0.25">
      <c r="D38" t="s">
        <v>418</v>
      </c>
      <c r="G38" s="49">
        <f>'SORTED B VS P'!M172+'SORTED B VS P'!M176+'SORTED B VS P'!M180+'SORTED B VS P'!M184+'SORTED B VS P'!M188+'SORTED B VS P'!M192</f>
        <v>106237.88</v>
      </c>
      <c r="I38" s="25">
        <f>G38</f>
        <v>106237.88</v>
      </c>
      <c r="K38" s="25">
        <f>G38+I38</f>
        <v>212475.76</v>
      </c>
      <c r="M38" s="25">
        <f>SUM(G17:G29)*2</f>
        <v>526030.56000000006</v>
      </c>
      <c r="N38" s="25">
        <f>SUM(M17:M30)</f>
        <v>485449.73887681885</v>
      </c>
      <c r="P38" s="49">
        <f>-G38*2</f>
        <v>-212475.76</v>
      </c>
      <c r="Q38" s="49">
        <f>-G38*2</f>
        <v>-212475.76</v>
      </c>
      <c r="R38" s="49">
        <f>-G38</f>
        <v>-106237.88</v>
      </c>
      <c r="S38" s="49">
        <f>-I38</f>
        <v>-106237.88</v>
      </c>
      <c r="T38" s="49">
        <f>R38+S38</f>
        <v>-212475.76</v>
      </c>
    </row>
    <row r="39" spans="2:20" x14ac:dyDescent="0.25">
      <c r="G39" s="25">
        <f>SUM(G17:G29)+G38+G34+G30</f>
        <v>316167.44000000006</v>
      </c>
      <c r="I39" s="25">
        <f>SUM(I17:I29)+I38+I34</f>
        <v>348962.7494384094</v>
      </c>
      <c r="K39" s="25">
        <f>SUM(K17:K29)+K38+K34</f>
        <v>718215.90943840938</v>
      </c>
      <c r="N39" s="25">
        <f>N38-M38</f>
        <v>-40580.821123181202</v>
      </c>
      <c r="P39" s="25">
        <f>P32+P38</f>
        <v>1291986.46</v>
      </c>
      <c r="Q39" s="25">
        <f>Q32+Q38</f>
        <v>1291986.46</v>
      </c>
      <c r="R39" s="25">
        <f>R32+R38</f>
        <v>562312.58389492391</v>
      </c>
      <c r="S39" s="25">
        <f>S32+S38</f>
        <v>551037.25056159066</v>
      </c>
      <c r="T39" s="25">
        <f>R39+S39</f>
        <v>1113349.8344565146</v>
      </c>
    </row>
    <row r="40" spans="2:20" x14ac:dyDescent="0.25">
      <c r="T40" s="25">
        <f>T39-Q39</f>
        <v>-178636.6255434854</v>
      </c>
    </row>
    <row r="41" spans="2:20" x14ac:dyDescent="0.25">
      <c r="D41" t="s">
        <v>417</v>
      </c>
      <c r="G41" s="25">
        <f>'26 EBITDA ADJ'!D7+'26 EBITDA ADJ'!D12-12000</f>
        <v>316167.44</v>
      </c>
      <c r="I41" s="25">
        <f>G41*2</f>
        <v>632334.88</v>
      </c>
      <c r="K41" s="25">
        <f>G41+I41</f>
        <v>948502.32000000007</v>
      </c>
      <c r="T41" s="25">
        <f>T40*3.5</f>
        <v>-625228.18940219888</v>
      </c>
    </row>
    <row r="42" spans="2:20" x14ac:dyDescent="0.25">
      <c r="D42" t="s">
        <v>419</v>
      </c>
      <c r="G42" s="25">
        <f>G16-G41</f>
        <v>645993.23</v>
      </c>
    </row>
    <row r="43" spans="2:20" x14ac:dyDescent="0.25">
      <c r="G43" s="49">
        <f>Pivot!D7+Pivot!D12+Pivot!D14+Pivot!D15+Pivot!D18</f>
        <v>103410.31999999998</v>
      </c>
      <c r="Q43" s="49">
        <f>-G43</f>
        <v>-103410.31999999998</v>
      </c>
      <c r="R43" s="49">
        <f>Q43</f>
        <v>-103410.31999999998</v>
      </c>
      <c r="S43" s="49">
        <f>R43</f>
        <v>-103410.31999999998</v>
      </c>
    </row>
    <row r="44" spans="2:20" x14ac:dyDescent="0.25">
      <c r="G44" s="218">
        <f>G42-G43</f>
        <v>542582.91</v>
      </c>
      <c r="Q44" s="25">
        <f>Q39+Q43</f>
        <v>1188576.1399999999</v>
      </c>
      <c r="R44" s="25">
        <f t="shared" ref="R44:S44" si="13">R39+R43</f>
        <v>458902.26389492396</v>
      </c>
      <c r="S44" s="25">
        <f t="shared" si="13"/>
        <v>447626.93056159071</v>
      </c>
    </row>
    <row r="45" spans="2:20" x14ac:dyDescent="0.25">
      <c r="F45" t="s">
        <v>420</v>
      </c>
      <c r="G45" s="25">
        <f>-'26 EBITDA ADJ'!D22+12000</f>
        <v>542582.91000000015</v>
      </c>
      <c r="P45" s="25">
        <f>Q45-G44</f>
        <v>51705.159999999916</v>
      </c>
      <c r="Q45" s="25">
        <f>Q44/2</f>
        <v>594288.06999999995</v>
      </c>
    </row>
    <row r="46" spans="2:20" x14ac:dyDescent="0.25">
      <c r="Q46" s="25" t="s">
        <v>219</v>
      </c>
    </row>
    <row r="47" spans="2:20" x14ac:dyDescent="0.25">
      <c r="L47" t="s">
        <v>219</v>
      </c>
    </row>
    <row r="49" spans="8:14" ht="15.75" thickBot="1" x14ac:dyDescent="0.3"/>
    <row r="50" spans="8:14" x14ac:dyDescent="0.25">
      <c r="J50" s="198" t="s">
        <v>402</v>
      </c>
      <c r="K50" s="199"/>
      <c r="L50" s="199"/>
      <c r="M50" s="199"/>
      <c r="N50" s="200"/>
    </row>
    <row r="51" spans="8:14" ht="15.75" thickBot="1" x14ac:dyDescent="0.3">
      <c r="J51" s="201" t="s">
        <v>403</v>
      </c>
      <c r="K51" s="202"/>
      <c r="L51" s="202"/>
      <c r="M51" s="202"/>
      <c r="N51" s="203"/>
    </row>
    <row r="52" spans="8:14" x14ac:dyDescent="0.25">
      <c r="J52" t="s">
        <v>219</v>
      </c>
    </row>
    <row r="54" spans="8:14" x14ac:dyDescent="0.25">
      <c r="H54" s="50" t="s">
        <v>401</v>
      </c>
    </row>
    <row r="55" spans="8:14" x14ac:dyDescent="0.25">
      <c r="H55" s="196">
        <v>14930</v>
      </c>
      <c r="I55" s="197" t="s">
        <v>400</v>
      </c>
    </row>
    <row r="56" spans="8:14" x14ac:dyDescent="0.25">
      <c r="H56" s="196">
        <v>9466.39</v>
      </c>
      <c r="I56" s="197" t="s">
        <v>396</v>
      </c>
    </row>
    <row r="57" spans="8:14" x14ac:dyDescent="0.25">
      <c r="H57" s="196">
        <v>8319.56</v>
      </c>
      <c r="I57" s="197" t="s">
        <v>395</v>
      </c>
    </row>
    <row r="58" spans="8:14" x14ac:dyDescent="0.25">
      <c r="H58" s="196">
        <v>4031.56</v>
      </c>
      <c r="I58" s="197" t="s">
        <v>398</v>
      </c>
    </row>
    <row r="59" spans="8:14" x14ac:dyDescent="0.25">
      <c r="H59" s="196">
        <v>4338</v>
      </c>
      <c r="I59" s="197" t="s">
        <v>397</v>
      </c>
    </row>
    <row r="60" spans="8:14" x14ac:dyDescent="0.25">
      <c r="H60" s="196">
        <v>4031</v>
      </c>
      <c r="I60" s="197" t="s">
        <v>399</v>
      </c>
    </row>
    <row r="61" spans="8:14" x14ac:dyDescent="0.25">
      <c r="H61" s="196">
        <f>SUM(H55:H60)</f>
        <v>45116.509999999995</v>
      </c>
      <c r="I61" s="197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E8B46-4FDF-464A-824A-47B2E28B20BA}">
  <sheetPr>
    <tabColor rgb="FF00FF99"/>
  </sheetPr>
  <dimension ref="A1:AF59"/>
  <sheetViews>
    <sheetView showGridLines="0" zoomScale="85" zoomScaleNormal="85" workbookViewId="0">
      <selection activeCell="I10" sqref="I10"/>
    </sheetView>
  </sheetViews>
  <sheetFormatPr defaultRowHeight="15" outlineLevelRow="1" outlineLevelCol="1" x14ac:dyDescent="0.25"/>
  <cols>
    <col min="1" max="1" width="27.28515625" bestFit="1" customWidth="1"/>
    <col min="2" max="2" width="16.85546875" bestFit="1" customWidth="1"/>
    <col min="3" max="3" width="12.5703125" bestFit="1" customWidth="1"/>
    <col min="4" max="4" width="11" bestFit="1" customWidth="1"/>
    <col min="5" max="5" width="12.5703125" bestFit="1" customWidth="1"/>
    <col min="6" max="6" width="11.7109375" customWidth="1" outlineLevel="1"/>
    <col min="7" max="7" width="7.28515625" customWidth="1" outlineLevel="1"/>
    <col min="8" max="8" width="7" customWidth="1" outlineLevel="1"/>
    <col min="9" max="9" width="7.140625" customWidth="1" outlineLevel="1"/>
    <col min="10" max="10" width="7.7109375" customWidth="1" outlineLevel="1"/>
    <col min="11" max="11" width="2.140625" customWidth="1"/>
    <col min="12" max="12" width="13.28515625" bestFit="1" customWidth="1"/>
    <col min="13" max="13" width="4.140625" customWidth="1"/>
    <col min="14" max="14" width="11.7109375" customWidth="1"/>
    <col min="15" max="15" width="11.28515625" customWidth="1"/>
    <col min="16" max="16" width="2.140625" customWidth="1"/>
    <col min="17" max="17" width="12.85546875" customWidth="1"/>
    <col min="18" max="18" width="13" customWidth="1"/>
    <col min="19" max="19" width="11.140625" customWidth="1"/>
    <col min="20" max="20" width="13.28515625" customWidth="1"/>
    <col min="21" max="21" width="14.42578125" customWidth="1"/>
    <col min="22" max="22" width="27.28515625" customWidth="1"/>
    <col min="23" max="23" width="12.5703125" bestFit="1" customWidth="1"/>
    <col min="24" max="24" width="13.7109375" customWidth="1"/>
    <col min="25" max="25" width="13.140625" customWidth="1"/>
    <col min="26" max="27" width="11.140625" customWidth="1"/>
    <col min="28" max="28" width="87" customWidth="1"/>
    <col min="29" max="32" width="17.5703125" customWidth="1"/>
  </cols>
  <sheetData>
    <row r="1" spans="1:32" ht="15.75" thickBot="1" x14ac:dyDescent="0.3">
      <c r="V1" s="256" t="s">
        <v>446</v>
      </c>
      <c r="W1" s="257"/>
      <c r="X1" s="258">
        <f>(551308+410852)*2</f>
        <v>1924320</v>
      </c>
      <c r="Y1" s="258">
        <f>(410852+444994)*2</f>
        <v>1711692</v>
      </c>
      <c r="Z1" s="259">
        <f>Y1-X1</f>
        <v>-212628</v>
      </c>
      <c r="AA1" s="255"/>
    </row>
    <row r="2" spans="1:32" ht="15.75" hidden="1" thickBot="1" x14ac:dyDescent="0.3">
      <c r="A2" s="52" t="s">
        <v>169</v>
      </c>
      <c r="B2" s="16" t="s">
        <v>176</v>
      </c>
      <c r="K2" s="17"/>
      <c r="P2" s="17"/>
    </row>
    <row r="3" spans="1:32" outlineLevel="1" x14ac:dyDescent="0.25">
      <c r="A3" s="109" t="s">
        <v>271</v>
      </c>
      <c r="K3" s="17"/>
      <c r="L3" s="85" t="s">
        <v>246</v>
      </c>
      <c r="M3" s="79"/>
      <c r="N3" s="22" t="s">
        <v>208</v>
      </c>
      <c r="O3" s="80" t="str">
        <f>N3</f>
        <v>Pixelle</v>
      </c>
      <c r="P3" s="17"/>
      <c r="Q3" s="71" t="s">
        <v>270</v>
      </c>
      <c r="V3" s="228"/>
      <c r="W3" s="79"/>
      <c r="X3" s="79"/>
      <c r="Y3" s="79"/>
      <c r="Z3" s="209"/>
      <c r="AA3" s="209"/>
      <c r="AB3" s="209"/>
      <c r="AC3" s="71" t="s">
        <v>414</v>
      </c>
    </row>
    <row r="4" spans="1:32" ht="15.75" outlineLevel="1" thickBot="1" x14ac:dyDescent="0.3">
      <c r="A4" s="52" t="s">
        <v>203</v>
      </c>
      <c r="B4" s="52" t="s">
        <v>204</v>
      </c>
      <c r="K4" s="17"/>
      <c r="L4" s="84" t="s">
        <v>219</v>
      </c>
      <c r="M4" s="81"/>
      <c r="N4" s="82" t="s">
        <v>236</v>
      </c>
      <c r="O4" s="83" t="s">
        <v>240</v>
      </c>
      <c r="P4" s="17"/>
      <c r="S4" s="75" t="s">
        <v>244</v>
      </c>
      <c r="T4" s="18" t="s">
        <v>412</v>
      </c>
      <c r="V4" s="229" t="s">
        <v>262</v>
      </c>
      <c r="W4" s="71" t="s">
        <v>250</v>
      </c>
      <c r="X4" s="71" t="s">
        <v>413</v>
      </c>
      <c r="Y4" s="75" t="s">
        <v>244</v>
      </c>
      <c r="Z4" s="230" t="s">
        <v>226</v>
      </c>
      <c r="AA4" s="230" t="s">
        <v>443</v>
      </c>
      <c r="AB4" s="245" t="s">
        <v>426</v>
      </c>
      <c r="AE4" s="75" t="s">
        <v>244</v>
      </c>
      <c r="AF4" s="18" t="s">
        <v>412</v>
      </c>
    </row>
    <row r="5" spans="1:32" outlineLevel="1" x14ac:dyDescent="0.25">
      <c r="A5" s="52" t="s">
        <v>205</v>
      </c>
      <c r="B5" s="18" t="s">
        <v>206</v>
      </c>
      <c r="C5" s="18" t="s">
        <v>207</v>
      </c>
      <c r="D5" s="18" t="s">
        <v>208</v>
      </c>
      <c r="E5" s="18" t="s">
        <v>209</v>
      </c>
      <c r="F5" s="18" t="s">
        <v>247</v>
      </c>
      <c r="G5" s="18" t="str">
        <f>B5</f>
        <v>Angola</v>
      </c>
      <c r="H5" s="18" t="str">
        <f>C5</f>
        <v>Hillsboro</v>
      </c>
      <c r="I5" s="18" t="str">
        <f>D5</f>
        <v>Pixelle</v>
      </c>
      <c r="J5" s="18" t="s">
        <v>210</v>
      </c>
      <c r="K5" s="19"/>
      <c r="L5" t="s">
        <v>238</v>
      </c>
      <c r="N5" s="18" t="s">
        <v>239</v>
      </c>
      <c r="O5" s="18" t="s">
        <v>242</v>
      </c>
      <c r="P5" s="19"/>
      <c r="Q5" s="72" t="str">
        <f>B5</f>
        <v>Angola</v>
      </c>
      <c r="R5" s="72" t="str">
        <f>C5</f>
        <v>Hillsboro</v>
      </c>
      <c r="S5" s="72" t="str">
        <f>D5</f>
        <v>Pixelle</v>
      </c>
      <c r="T5" s="76" t="str">
        <f>E5</f>
        <v>Grand Total</v>
      </c>
      <c r="V5" s="231"/>
      <c r="W5" s="71" t="s">
        <v>247</v>
      </c>
      <c r="X5" s="71" t="s">
        <v>220</v>
      </c>
      <c r="Y5" s="75" t="s">
        <v>220</v>
      </c>
      <c r="Z5" s="232"/>
      <c r="AA5" s="230" t="s">
        <v>408</v>
      </c>
      <c r="AB5" s="242"/>
      <c r="AC5" s="72">
        <f>M5</f>
        <v>0</v>
      </c>
      <c r="AD5" s="72" t="str">
        <f>N5</f>
        <v>Avg/Day</v>
      </c>
      <c r="AE5" s="72" t="str">
        <f>O5</f>
        <v>5Days Sls</v>
      </c>
      <c r="AF5" s="76">
        <f>P5</f>
        <v>0</v>
      </c>
    </row>
    <row r="6" spans="1:32" outlineLevel="1" x14ac:dyDescent="0.25">
      <c r="A6" s="24" t="s">
        <v>175</v>
      </c>
      <c r="B6" s="25">
        <v>-1500193.93</v>
      </c>
      <c r="C6" s="25">
        <v>-2232833.0299999998</v>
      </c>
      <c r="D6" s="68">
        <v>-962160.67</v>
      </c>
      <c r="E6" s="26">
        <v>-4695187.63</v>
      </c>
      <c r="F6" s="26"/>
      <c r="G6" s="338" t="s">
        <v>213</v>
      </c>
      <c r="H6" s="338"/>
      <c r="I6" s="338"/>
      <c r="J6" s="338"/>
      <c r="K6" s="27"/>
      <c r="L6" s="69" t="s">
        <v>241</v>
      </c>
      <c r="M6" s="69"/>
      <c r="N6" s="225">
        <f>D6+O6</f>
        <v>-91884.670000000042</v>
      </c>
      <c r="O6" s="70">
        <f>435138*2</f>
        <v>870276</v>
      </c>
      <c r="P6" s="27"/>
      <c r="Q6" s="25">
        <f t="shared" ref="Q6:S20" si="0">B6</f>
        <v>-1500193.93</v>
      </c>
      <c r="R6" s="25">
        <f t="shared" si="0"/>
        <v>-2232833.0299999998</v>
      </c>
      <c r="S6" s="68">
        <f>-O6</f>
        <v>-870276</v>
      </c>
      <c r="T6" s="77">
        <f>SUM(Q6:S6)</f>
        <v>-4603302.96</v>
      </c>
      <c r="U6" s="226">
        <f>T6*2</f>
        <v>-9206605.9199999999</v>
      </c>
      <c r="V6" s="229" t="s">
        <v>231</v>
      </c>
      <c r="W6" s="252">
        <f>-E6</f>
        <v>4695187.63</v>
      </c>
      <c r="X6" s="252">
        <f>W6*2</f>
        <v>9390375.2599999998</v>
      </c>
      <c r="Y6" s="252">
        <f>((410852+444994)/2)*4-B6*2-C6*2</f>
        <v>9177745.9199999981</v>
      </c>
      <c r="Z6" s="234">
        <f>Y6-X6</f>
        <v>-212629.34000000171</v>
      </c>
      <c r="AA6" s="251"/>
      <c r="AB6" s="242" t="s">
        <v>442</v>
      </c>
      <c r="AC6" s="25">
        <f t="shared" ref="AC6:AC21" si="1">Q6*2</f>
        <v>-3000387.86</v>
      </c>
      <c r="AD6" s="25">
        <f t="shared" ref="AD6:AD21" si="2">R6*2</f>
        <v>-4465666.0599999996</v>
      </c>
      <c r="AE6" s="68">
        <v>1800000</v>
      </c>
      <c r="AF6" s="77">
        <f>SUM(AC6:AE6)</f>
        <v>-5666053.9199999999</v>
      </c>
    </row>
    <row r="7" spans="1:32" outlineLevel="1" x14ac:dyDescent="0.25">
      <c r="A7" s="24" t="s">
        <v>192</v>
      </c>
      <c r="B7" s="25">
        <v>343188.12</v>
      </c>
      <c r="C7" s="25">
        <v>498256.51</v>
      </c>
      <c r="D7" s="25">
        <v>315753.08</v>
      </c>
      <c r="E7" s="30">
        <v>1157197.71</v>
      </c>
      <c r="F7" s="26"/>
      <c r="G7" s="31">
        <f>-B7/B$6</f>
        <v>0.22876250405839199</v>
      </c>
      <c r="H7" s="31">
        <f>-C7/C$6</f>
        <v>0.22314991909627924</v>
      </c>
      <c r="I7" s="31">
        <f>-D7/D$6</f>
        <v>0.32817084489641424</v>
      </c>
      <c r="J7" s="31">
        <f>-E7/E$6</f>
        <v>0.24646463596173684</v>
      </c>
      <c r="K7" s="27"/>
      <c r="N7" s="20">
        <f>5/6</f>
        <v>0.83333333333333337</v>
      </c>
      <c r="O7" s="66">
        <f>N7*551308</f>
        <v>459423.33333333337</v>
      </c>
      <c r="P7" s="27"/>
      <c r="Q7" s="25">
        <f t="shared" si="0"/>
        <v>343188.12</v>
      </c>
      <c r="R7" s="25">
        <f t="shared" si="0"/>
        <v>498256.51</v>
      </c>
      <c r="S7" s="25">
        <f>D7</f>
        <v>315753.08</v>
      </c>
      <c r="T7" s="77">
        <f t="shared" ref="T7:T21" si="3">SUM(Q7:S7)</f>
        <v>1157197.71</v>
      </c>
      <c r="U7" s="226">
        <f t="shared" ref="U7:U19" si="4">T7*2</f>
        <v>2314395.42</v>
      </c>
      <c r="V7" s="229" t="s">
        <v>249</v>
      </c>
      <c r="W7" s="70">
        <f>F22</f>
        <v>467828</v>
      </c>
      <c r="X7" s="70">
        <f>W7*2</f>
        <v>935656</v>
      </c>
      <c r="Z7" s="232"/>
      <c r="AA7" s="230"/>
      <c r="AB7" s="242"/>
      <c r="AC7" s="25">
        <f t="shared" si="1"/>
        <v>686376.24</v>
      </c>
      <c r="AD7" s="25">
        <f t="shared" si="2"/>
        <v>996513.02</v>
      </c>
      <c r="AE7" s="25">
        <f>O7</f>
        <v>459423.33333333337</v>
      </c>
      <c r="AF7" s="77">
        <f t="shared" ref="AF7:AF21" si="5">SUM(AC7:AE7)</f>
        <v>2142312.5933333333</v>
      </c>
    </row>
    <row r="8" spans="1:32" outlineLevel="1" x14ac:dyDescent="0.25">
      <c r="A8" s="24" t="s">
        <v>177</v>
      </c>
      <c r="B8" s="25">
        <v>855851.1</v>
      </c>
      <c r="C8" s="25">
        <v>1143410.8</v>
      </c>
      <c r="D8" s="25">
        <v>22188.07</v>
      </c>
      <c r="E8" s="30">
        <v>2021449.97</v>
      </c>
      <c r="F8" s="26"/>
      <c r="G8" s="31">
        <f t="shared" ref="G8:J22" si="6">-B8/B$6</f>
        <v>0.57049364277857062</v>
      </c>
      <c r="H8" s="31">
        <f t="shared" si="6"/>
        <v>0.5120897015752226</v>
      </c>
      <c r="I8" s="31">
        <f t="shared" si="6"/>
        <v>2.3060670314033933E-2</v>
      </c>
      <c r="J8" s="31">
        <f t="shared" si="6"/>
        <v>0.43053656835435139</v>
      </c>
      <c r="K8" s="27"/>
      <c r="N8" s="66"/>
      <c r="O8" s="67">
        <v>410852</v>
      </c>
      <c r="P8" s="27"/>
      <c r="Q8" s="25">
        <f t="shared" si="0"/>
        <v>855851.1</v>
      </c>
      <c r="R8" s="25">
        <f t="shared" si="0"/>
        <v>1143410.8</v>
      </c>
      <c r="S8" s="25">
        <f>D8</f>
        <v>22188.07</v>
      </c>
      <c r="T8" s="77">
        <f t="shared" si="3"/>
        <v>2021449.97</v>
      </c>
      <c r="U8" s="226">
        <f t="shared" si="4"/>
        <v>4042899.94</v>
      </c>
      <c r="V8" s="231" t="s">
        <v>259</v>
      </c>
      <c r="W8" s="97">
        <f>-'[3]2-T5Y IS (Cont.)'!$D$66</f>
        <v>-133786</v>
      </c>
      <c r="X8" s="97">
        <f>W8*2</f>
        <v>-267572</v>
      </c>
      <c r="Z8" s="232"/>
      <c r="AA8" s="230"/>
      <c r="AB8" s="242"/>
      <c r="AC8" s="25">
        <f t="shared" si="1"/>
        <v>1711702.2</v>
      </c>
      <c r="AD8" s="25">
        <f t="shared" si="2"/>
        <v>2286821.6</v>
      </c>
      <c r="AE8" s="25">
        <f>O8</f>
        <v>410852</v>
      </c>
      <c r="AF8" s="77">
        <f t="shared" si="5"/>
        <v>4409375.8</v>
      </c>
    </row>
    <row r="9" spans="1:32" ht="15.75" outlineLevel="1" thickBot="1" x14ac:dyDescent="0.3">
      <c r="A9" s="24" t="s">
        <v>200</v>
      </c>
      <c r="B9" s="25"/>
      <c r="C9" s="25">
        <v>-19607.13</v>
      </c>
      <c r="D9" s="25"/>
      <c r="E9" s="26">
        <v>-19607.13</v>
      </c>
      <c r="F9" s="26"/>
      <c r="G9" s="31">
        <f t="shared" si="6"/>
        <v>0</v>
      </c>
      <c r="H9" s="31">
        <f t="shared" si="6"/>
        <v>-8.7812790909851425E-3</v>
      </c>
      <c r="I9" s="31">
        <f t="shared" si="6"/>
        <v>0</v>
      </c>
      <c r="J9" s="31">
        <f t="shared" si="6"/>
        <v>-4.1760056349441355E-3</v>
      </c>
      <c r="K9" s="27"/>
      <c r="N9" s="66"/>
      <c r="O9" s="25">
        <f ca="1">AVERAGE(O7:O9)</f>
        <v>0</v>
      </c>
      <c r="P9" s="27"/>
      <c r="Q9" s="25">
        <f t="shared" si="0"/>
        <v>0</v>
      </c>
      <c r="R9" s="25">
        <f t="shared" si="0"/>
        <v>-19607.13</v>
      </c>
      <c r="S9" s="25">
        <f t="shared" si="0"/>
        <v>0</v>
      </c>
      <c r="T9" s="77">
        <f t="shared" si="3"/>
        <v>-19607.13</v>
      </c>
      <c r="U9" s="226">
        <f t="shared" si="4"/>
        <v>-39214.26</v>
      </c>
      <c r="V9" s="222" t="s">
        <v>261</v>
      </c>
      <c r="W9" s="223">
        <f>W7+W8</f>
        <v>334042</v>
      </c>
      <c r="X9" s="223">
        <f>W9*2</f>
        <v>668084</v>
      </c>
      <c r="Y9" s="223">
        <f>X9</f>
        <v>668084</v>
      </c>
      <c r="Z9" s="233">
        <f>Y9-X9</f>
        <v>0</v>
      </c>
      <c r="AA9" s="251"/>
      <c r="AB9" s="242"/>
      <c r="AC9" s="25">
        <f t="shared" si="1"/>
        <v>0</v>
      </c>
      <c r="AD9" s="25">
        <f t="shared" si="2"/>
        <v>-39214.26</v>
      </c>
      <c r="AE9" s="25">
        <f t="shared" ref="AE9:AE11" ca="1" si="7">O9</f>
        <v>0</v>
      </c>
      <c r="AF9" s="77">
        <f t="shared" ca="1" si="5"/>
        <v>-19607.13</v>
      </c>
    </row>
    <row r="10" spans="1:32" ht="15.75" outlineLevel="1" thickTop="1" x14ac:dyDescent="0.25">
      <c r="A10" s="24" t="s">
        <v>188</v>
      </c>
      <c r="B10" s="25"/>
      <c r="C10" s="25">
        <v>11708.17</v>
      </c>
      <c r="D10" s="25"/>
      <c r="E10" s="30">
        <v>11708.17</v>
      </c>
      <c r="F10" s="26"/>
      <c r="G10" s="31">
        <f t="shared" si="6"/>
        <v>0</v>
      </c>
      <c r="H10" s="31">
        <f t="shared" si="6"/>
        <v>5.2436388402942969E-3</v>
      </c>
      <c r="I10" s="31">
        <f t="shared" si="6"/>
        <v>0</v>
      </c>
      <c r="J10" s="31">
        <f t="shared" si="6"/>
        <v>2.4936532728086097E-3</v>
      </c>
      <c r="K10" s="27"/>
      <c r="N10" s="66"/>
      <c r="P10" s="27"/>
      <c r="Q10" s="25">
        <f t="shared" si="0"/>
        <v>0</v>
      </c>
      <c r="R10" s="25">
        <f t="shared" si="0"/>
        <v>11708.17</v>
      </c>
      <c r="S10" s="25">
        <f t="shared" si="0"/>
        <v>0</v>
      </c>
      <c r="T10" s="77">
        <f t="shared" si="3"/>
        <v>11708.17</v>
      </c>
      <c r="U10" s="226">
        <f t="shared" si="4"/>
        <v>23416.34</v>
      </c>
      <c r="V10" s="231" t="s">
        <v>251</v>
      </c>
      <c r="W10" s="97">
        <f>'SORTED B VS P'!N288+'SORTED B VS P'!M292</f>
        <v>1784.75</v>
      </c>
      <c r="X10" s="97">
        <f>W10*2</f>
        <v>3569.5</v>
      </c>
      <c r="Y10" s="97">
        <f>X10</f>
        <v>3569.5</v>
      </c>
      <c r="Z10" s="234">
        <f t="shared" ref="Z10:Z22" si="8">Y10-X10</f>
        <v>0</v>
      </c>
      <c r="AA10" s="251"/>
      <c r="AB10" s="242"/>
      <c r="AC10" s="25">
        <f t="shared" si="1"/>
        <v>0</v>
      </c>
      <c r="AD10" s="25">
        <f t="shared" si="2"/>
        <v>23416.34</v>
      </c>
      <c r="AE10" s="25">
        <f t="shared" si="7"/>
        <v>0</v>
      </c>
      <c r="AF10" s="77">
        <f t="shared" si="5"/>
        <v>23416.34</v>
      </c>
    </row>
    <row r="11" spans="1:32" outlineLevel="1" x14ac:dyDescent="0.25">
      <c r="A11" s="24" t="s">
        <v>198</v>
      </c>
      <c r="B11" s="25">
        <v>5732.8</v>
      </c>
      <c r="C11" s="25">
        <v>7801.630000000001</v>
      </c>
      <c r="D11" s="25"/>
      <c r="E11" s="26">
        <v>13534.43</v>
      </c>
      <c r="F11" s="26"/>
      <c r="G11" s="31">
        <f t="shared" si="6"/>
        <v>3.8213726141392936E-3</v>
      </c>
      <c r="H11" s="31">
        <f t="shared" si="6"/>
        <v>3.4940498887191763E-3</v>
      </c>
      <c r="I11" s="31">
        <f t="shared" si="6"/>
        <v>0</v>
      </c>
      <c r="J11" s="31">
        <f t="shared" si="6"/>
        <v>2.8826174940318628E-3</v>
      </c>
      <c r="K11" s="27"/>
      <c r="L11" s="74"/>
      <c r="N11" s="66"/>
      <c r="O11" s="25"/>
      <c r="P11" s="27"/>
      <c r="Q11" s="25">
        <f t="shared" si="0"/>
        <v>5732.8</v>
      </c>
      <c r="R11" s="25">
        <f t="shared" si="0"/>
        <v>7801.630000000001</v>
      </c>
      <c r="S11" s="25">
        <f t="shared" si="0"/>
        <v>0</v>
      </c>
      <c r="T11" s="77">
        <f t="shared" si="3"/>
        <v>13534.43</v>
      </c>
      <c r="U11" s="226">
        <f t="shared" si="4"/>
        <v>27068.86</v>
      </c>
      <c r="V11" s="231" t="s">
        <v>252</v>
      </c>
      <c r="W11" s="97">
        <f>('SORTED B VS P'!N195+'SORTED B VS P'!N196+'SORTED B VS P'!N197+'SORTED B VS P'!N198+'SORTED B VS P'!N199+'SORTED B VS P'!N200+'SORTED B VS P'!N201+'SORTED B VS P'!N202++'SORTED B VS P'!N203+'SORTED B VS P'!N204)</f>
        <v>106590.78000000003</v>
      </c>
      <c r="X11" s="97">
        <f t="shared" ref="X11" si="9">W11*2</f>
        <v>213181.56000000006</v>
      </c>
      <c r="Y11" s="97">
        <f t="shared" ref="Y11" si="10">X11</f>
        <v>213181.56000000006</v>
      </c>
      <c r="Z11" s="234">
        <f t="shared" si="8"/>
        <v>0</v>
      </c>
      <c r="AA11" s="251"/>
      <c r="AB11" s="242"/>
      <c r="AC11" s="25">
        <f t="shared" si="1"/>
        <v>11465.6</v>
      </c>
      <c r="AD11" s="25">
        <f t="shared" si="2"/>
        <v>15603.260000000002</v>
      </c>
      <c r="AE11" s="25">
        <f t="shared" si="7"/>
        <v>0</v>
      </c>
      <c r="AF11" s="77">
        <f t="shared" si="5"/>
        <v>27068.86</v>
      </c>
    </row>
    <row r="12" spans="1:32" outlineLevel="1" x14ac:dyDescent="0.25">
      <c r="A12" s="24" t="s">
        <v>193</v>
      </c>
      <c r="B12" s="25">
        <v>87123.010000000009</v>
      </c>
      <c r="C12" s="25">
        <v>115278.5</v>
      </c>
      <c r="D12" s="68">
        <v>12414.36</v>
      </c>
      <c r="E12" s="30">
        <v>214815.87</v>
      </c>
      <c r="F12" s="26"/>
      <c r="G12" s="31">
        <f t="shared" si="6"/>
        <v>5.8074498408349121E-2</v>
      </c>
      <c r="H12" s="31">
        <f t="shared" si="6"/>
        <v>5.1628804505816549E-2</v>
      </c>
      <c r="I12" s="31">
        <f t="shared" si="6"/>
        <v>1.2902585178419317E-2</v>
      </c>
      <c r="J12" s="31">
        <f t="shared" si="6"/>
        <v>4.5752350476353593E-2</v>
      </c>
      <c r="K12" s="27"/>
      <c r="L12" s="69" t="s">
        <v>235</v>
      </c>
      <c r="M12" s="69"/>
      <c r="N12" s="70">
        <v>-41085</v>
      </c>
      <c r="O12" s="70">
        <f>D12-N12</f>
        <v>53499.360000000001</v>
      </c>
      <c r="P12" s="27"/>
      <c r="Q12" s="25">
        <f t="shared" si="0"/>
        <v>87123.010000000009</v>
      </c>
      <c r="R12" s="25">
        <f t="shared" si="0"/>
        <v>115278.5</v>
      </c>
      <c r="S12" s="68">
        <f>D12</f>
        <v>12414.36</v>
      </c>
      <c r="T12" s="77">
        <f t="shared" si="3"/>
        <v>214815.87</v>
      </c>
      <c r="U12" s="226">
        <f t="shared" si="4"/>
        <v>429631.74</v>
      </c>
      <c r="V12" s="231" t="s">
        <v>254</v>
      </c>
      <c r="W12" s="97">
        <f>'SORTED B VS P'!N212</f>
        <v>17884.740000000002</v>
      </c>
      <c r="X12" s="97">
        <f>W12*2</f>
        <v>35769.480000000003</v>
      </c>
      <c r="Y12" s="97">
        <f>X12</f>
        <v>35769.480000000003</v>
      </c>
      <c r="Z12" s="234">
        <f>Y12-X12</f>
        <v>0</v>
      </c>
      <c r="AA12" s="251"/>
      <c r="AB12" s="242"/>
      <c r="AC12" s="25">
        <f t="shared" si="1"/>
        <v>174246.02000000002</v>
      </c>
      <c r="AD12" s="25">
        <f t="shared" si="2"/>
        <v>230557</v>
      </c>
      <c r="AE12" s="68"/>
      <c r="AF12" s="77">
        <f t="shared" si="5"/>
        <v>404803.02</v>
      </c>
    </row>
    <row r="13" spans="1:32" outlineLevel="1" x14ac:dyDescent="0.25">
      <c r="A13" s="24" t="s">
        <v>191</v>
      </c>
      <c r="B13" s="25">
        <v>186209.89</v>
      </c>
      <c r="C13" s="25">
        <v>202999.64</v>
      </c>
      <c r="D13" s="25">
        <v>82744.569999999992</v>
      </c>
      <c r="E13" s="30">
        <v>471954.10000000003</v>
      </c>
      <c r="F13" s="26"/>
      <c r="G13" s="31">
        <f t="shared" si="6"/>
        <v>0.12412387910408358</v>
      </c>
      <c r="H13" s="31">
        <f t="shared" si="6"/>
        <v>9.0915727809705513E-2</v>
      </c>
      <c r="I13" s="31">
        <f t="shared" si="6"/>
        <v>8.5998703314281166E-2</v>
      </c>
      <c r="J13" s="31">
        <f t="shared" si="6"/>
        <v>0.10051868789746322</v>
      </c>
      <c r="K13" s="27"/>
      <c r="P13" s="27"/>
      <c r="Q13" s="25">
        <f t="shared" si="0"/>
        <v>186209.89</v>
      </c>
      <c r="R13" s="25">
        <f t="shared" si="0"/>
        <v>202999.64</v>
      </c>
      <c r="S13" s="25">
        <f t="shared" si="0"/>
        <v>82744.569999999992</v>
      </c>
      <c r="T13" s="77">
        <f t="shared" si="3"/>
        <v>471954.10000000003</v>
      </c>
      <c r="U13" s="226">
        <f t="shared" si="4"/>
        <v>943908.20000000007</v>
      </c>
      <c r="V13" s="231" t="s">
        <v>253</v>
      </c>
      <c r="W13" s="220">
        <v>0</v>
      </c>
      <c r="X13" s="220">
        <f>W13*2</f>
        <v>0</v>
      </c>
      <c r="Y13" s="221">
        <f>-AB33</f>
        <v>-66414</v>
      </c>
      <c r="Z13" s="234">
        <f>Y13-X13</f>
        <v>-66414</v>
      </c>
      <c r="AA13" s="251">
        <f>Z13*3.5</f>
        <v>-232449</v>
      </c>
      <c r="AB13" s="242"/>
      <c r="AC13" s="25">
        <f t="shared" si="1"/>
        <v>372419.78</v>
      </c>
      <c r="AD13" s="25">
        <f t="shared" si="2"/>
        <v>405999.28</v>
      </c>
      <c r="AE13" s="25">
        <f t="shared" ref="AE13:AE20" si="11">O13</f>
        <v>0</v>
      </c>
      <c r="AF13" s="77">
        <f t="shared" si="5"/>
        <v>778419.06</v>
      </c>
    </row>
    <row r="14" spans="1:32" outlineLevel="1" x14ac:dyDescent="0.25">
      <c r="A14" s="24" t="s">
        <v>194</v>
      </c>
      <c r="B14" s="25">
        <v>36556.54</v>
      </c>
      <c r="C14" s="25">
        <v>177818.79000000004</v>
      </c>
      <c r="D14" s="25"/>
      <c r="E14" s="39">
        <v>214375.33000000005</v>
      </c>
      <c r="F14" s="26"/>
      <c r="G14" s="31">
        <f t="shared" si="6"/>
        <v>2.4367876225175771E-2</v>
      </c>
      <c r="H14" s="31">
        <f t="shared" si="6"/>
        <v>7.9638193994290771E-2</v>
      </c>
      <c r="I14" s="31">
        <f t="shared" si="6"/>
        <v>0</v>
      </c>
      <c r="J14" s="31">
        <f t="shared" si="6"/>
        <v>4.5658522490186412E-2</v>
      </c>
      <c r="K14" s="27"/>
      <c r="P14" s="27"/>
      <c r="Q14" s="25">
        <f t="shared" si="0"/>
        <v>36556.54</v>
      </c>
      <c r="R14" s="25">
        <f t="shared" si="0"/>
        <v>177818.79000000004</v>
      </c>
      <c r="S14" s="25">
        <f t="shared" si="0"/>
        <v>0</v>
      </c>
      <c r="T14" s="77">
        <f t="shared" si="3"/>
        <v>214375.33000000005</v>
      </c>
      <c r="U14" s="226">
        <f t="shared" si="4"/>
        <v>428750.66000000009</v>
      </c>
      <c r="V14" s="235" t="s">
        <v>445</v>
      </c>
      <c r="Y14" s="101">
        <f>Y13*0.35</f>
        <v>-23244.899999999998</v>
      </c>
      <c r="Z14" s="253">
        <f>Y14-X14</f>
        <v>-23244.899999999998</v>
      </c>
      <c r="AA14" s="254">
        <f>Z14*3.5</f>
        <v>-81357.149999999994</v>
      </c>
      <c r="AB14" s="242" t="s">
        <v>444</v>
      </c>
      <c r="AC14" s="25">
        <f t="shared" si="1"/>
        <v>73113.08</v>
      </c>
      <c r="AD14" s="25">
        <f t="shared" si="2"/>
        <v>355637.58000000007</v>
      </c>
      <c r="AE14" s="25">
        <f t="shared" si="11"/>
        <v>0</v>
      </c>
      <c r="AF14" s="77">
        <f t="shared" si="5"/>
        <v>428750.66000000009</v>
      </c>
    </row>
    <row r="15" spans="1:32" outlineLevel="1" x14ac:dyDescent="0.25">
      <c r="A15" s="24" t="s">
        <v>179</v>
      </c>
      <c r="B15" s="25">
        <v>40430.47</v>
      </c>
      <c r="C15" s="25">
        <v>340312.03</v>
      </c>
      <c r="D15" s="25">
        <v>19495.37</v>
      </c>
      <c r="E15" s="39">
        <v>400237.87</v>
      </c>
      <c r="F15" s="26"/>
      <c r="G15" s="31">
        <f t="shared" si="6"/>
        <v>2.6950162370007726E-2</v>
      </c>
      <c r="H15" s="31">
        <f t="shared" si="6"/>
        <v>0.15241266383451882</v>
      </c>
      <c r="I15" s="31">
        <f t="shared" si="6"/>
        <v>2.0262073277220943E-2</v>
      </c>
      <c r="J15" s="31">
        <f t="shared" si="6"/>
        <v>8.5244275956656498E-2</v>
      </c>
      <c r="K15" s="27"/>
      <c r="P15" s="27"/>
      <c r="Q15" s="25">
        <f t="shared" si="0"/>
        <v>40430.47</v>
      </c>
      <c r="R15" s="25">
        <f t="shared" si="0"/>
        <v>340312.03</v>
      </c>
      <c r="S15" s="25">
        <f t="shared" si="0"/>
        <v>19495.37</v>
      </c>
      <c r="T15" s="77">
        <f t="shared" si="3"/>
        <v>400237.87</v>
      </c>
      <c r="U15" s="226">
        <f t="shared" si="4"/>
        <v>800475.74</v>
      </c>
      <c r="V15" s="231" t="s">
        <v>441</v>
      </c>
      <c r="W15" s="97">
        <v>0</v>
      </c>
      <c r="X15" s="97">
        <f>W15*2</f>
        <v>0</v>
      </c>
      <c r="Y15" s="97">
        <v>100000</v>
      </c>
      <c r="Z15" s="234">
        <f>Y15-X15</f>
        <v>100000</v>
      </c>
      <c r="AA15" s="251">
        <f>Z15*3.5</f>
        <v>350000</v>
      </c>
      <c r="AB15" s="242"/>
      <c r="AC15" s="25">
        <f t="shared" si="1"/>
        <v>80860.94</v>
      </c>
      <c r="AD15" s="25">
        <f t="shared" si="2"/>
        <v>680624.06</v>
      </c>
      <c r="AE15" s="25">
        <f t="shared" si="11"/>
        <v>0</v>
      </c>
      <c r="AF15" s="77">
        <f t="shared" si="5"/>
        <v>761485</v>
      </c>
    </row>
    <row r="16" spans="1:32" outlineLevel="1" x14ac:dyDescent="0.25">
      <c r="A16" s="24" t="s">
        <v>195</v>
      </c>
      <c r="B16" s="25">
        <v>971.64</v>
      </c>
      <c r="C16" s="25">
        <v>12346.79</v>
      </c>
      <c r="D16" s="25">
        <v>825.31</v>
      </c>
      <c r="E16" s="39">
        <v>14143.74</v>
      </c>
      <c r="F16" s="26"/>
      <c r="G16" s="31">
        <f t="shared" si="6"/>
        <v>6.4767626409473612E-4</v>
      </c>
      <c r="H16" s="31">
        <f t="shared" si="6"/>
        <v>5.5296521657062737E-3</v>
      </c>
      <c r="I16" s="31">
        <f t="shared" si="6"/>
        <v>8.5776734149817192E-4</v>
      </c>
      <c r="J16" s="31">
        <f t="shared" si="6"/>
        <v>3.0123907955516573E-3</v>
      </c>
      <c r="K16" s="27"/>
      <c r="P16" s="27"/>
      <c r="Q16" s="25">
        <f t="shared" si="0"/>
        <v>971.64</v>
      </c>
      <c r="R16" s="25">
        <f t="shared" si="0"/>
        <v>12346.79</v>
      </c>
      <c r="S16" s="25">
        <f t="shared" si="0"/>
        <v>825.31</v>
      </c>
      <c r="T16" s="77">
        <f t="shared" si="3"/>
        <v>14143.74</v>
      </c>
      <c r="U16" s="226">
        <f t="shared" si="4"/>
        <v>28287.48</v>
      </c>
      <c r="V16" s="231" t="s">
        <v>256</v>
      </c>
      <c r="Y16" s="97"/>
      <c r="Z16" s="234"/>
      <c r="AA16" s="251"/>
      <c r="AB16" s="242"/>
      <c r="AC16" s="25">
        <f t="shared" si="1"/>
        <v>1943.28</v>
      </c>
      <c r="AD16" s="25">
        <f t="shared" si="2"/>
        <v>24693.58</v>
      </c>
      <c r="AE16" s="25">
        <f t="shared" si="11"/>
        <v>0</v>
      </c>
      <c r="AF16" s="77">
        <f t="shared" si="5"/>
        <v>26636.86</v>
      </c>
    </row>
    <row r="17" spans="1:32" outlineLevel="1" x14ac:dyDescent="0.25">
      <c r="A17" s="24" t="s">
        <v>196</v>
      </c>
      <c r="B17" s="25">
        <v>-186087.67999999999</v>
      </c>
      <c r="C17" s="25">
        <v>-145148.51999999999</v>
      </c>
      <c r="D17" s="25"/>
      <c r="E17" s="26">
        <v>-331236.19999999995</v>
      </c>
      <c r="F17" s="339" t="s">
        <v>248</v>
      </c>
      <c r="G17" s="31">
        <f t="shared" si="6"/>
        <v>-0.12404241630280427</v>
      </c>
      <c r="H17" s="31">
        <f t="shared" si="6"/>
        <v>-6.5006437136054016E-2</v>
      </c>
      <c r="I17" s="31">
        <f t="shared" si="6"/>
        <v>0</v>
      </c>
      <c r="J17" s="31">
        <f t="shared" si="6"/>
        <v>-7.0548021954130083E-2</v>
      </c>
      <c r="K17" s="27"/>
      <c r="P17" s="27"/>
      <c r="Q17" s="25">
        <f t="shared" si="0"/>
        <v>-186087.67999999999</v>
      </c>
      <c r="R17" s="25">
        <f t="shared" si="0"/>
        <v>-145148.51999999999</v>
      </c>
      <c r="S17" s="25">
        <f t="shared" si="0"/>
        <v>0</v>
      </c>
      <c r="T17" s="77">
        <f t="shared" si="3"/>
        <v>-331236.19999999995</v>
      </c>
      <c r="U17" s="226">
        <f t="shared" si="4"/>
        <v>-662472.39999999991</v>
      </c>
      <c r="V17" s="231" t="s">
        <v>257</v>
      </c>
      <c r="Y17" s="97"/>
      <c r="Z17" s="234"/>
      <c r="AA17" s="251"/>
      <c r="AB17" s="242"/>
      <c r="AC17" s="25">
        <f t="shared" si="1"/>
        <v>-372175.35999999999</v>
      </c>
      <c r="AD17" s="25">
        <f t="shared" si="2"/>
        <v>-290297.03999999998</v>
      </c>
      <c r="AE17" s="25">
        <f t="shared" si="11"/>
        <v>0</v>
      </c>
      <c r="AF17" s="77">
        <f t="shared" si="5"/>
        <v>-662472.39999999991</v>
      </c>
    </row>
    <row r="18" spans="1:32" outlineLevel="1" x14ac:dyDescent="0.25">
      <c r="A18" s="24" t="s">
        <v>197</v>
      </c>
      <c r="B18" s="25">
        <v>145827.64000000001</v>
      </c>
      <c r="C18" s="25">
        <v>125457.9</v>
      </c>
      <c r="D18" s="25"/>
      <c r="E18" s="26">
        <v>271285.54000000004</v>
      </c>
      <c r="F18" s="339"/>
      <c r="G18" s="31">
        <f t="shared" si="6"/>
        <v>9.720585924514441E-2</v>
      </c>
      <c r="H18" s="31">
        <f t="shared" si="6"/>
        <v>5.6187766086566719E-2</v>
      </c>
      <c r="I18" s="31">
        <f t="shared" si="6"/>
        <v>0</v>
      </c>
      <c r="J18" s="31">
        <f t="shared" si="6"/>
        <v>5.777948856966128E-2</v>
      </c>
      <c r="K18" s="27"/>
      <c r="P18" s="27"/>
      <c r="Q18" s="25">
        <f t="shared" si="0"/>
        <v>145827.64000000001</v>
      </c>
      <c r="R18" s="25">
        <f t="shared" si="0"/>
        <v>125457.9</v>
      </c>
      <c r="S18" s="25">
        <f t="shared" si="0"/>
        <v>0</v>
      </c>
      <c r="T18" s="77">
        <f t="shared" si="3"/>
        <v>271285.54000000004</v>
      </c>
      <c r="U18" s="226">
        <f t="shared" si="4"/>
        <v>542571.08000000007</v>
      </c>
      <c r="V18" s="231" t="s">
        <v>258</v>
      </c>
      <c r="Y18" s="97"/>
      <c r="Z18" s="234"/>
      <c r="AA18" s="251"/>
      <c r="AB18" s="242"/>
      <c r="AC18" s="25">
        <f t="shared" si="1"/>
        <v>291655.28000000003</v>
      </c>
      <c r="AD18" s="25">
        <f t="shared" si="2"/>
        <v>250915.8</v>
      </c>
      <c r="AE18" s="25">
        <f t="shared" si="11"/>
        <v>0</v>
      </c>
      <c r="AF18" s="77">
        <f t="shared" si="5"/>
        <v>542571.08000000007</v>
      </c>
    </row>
    <row r="19" spans="1:32" outlineLevel="1" x14ac:dyDescent="0.25">
      <c r="A19" s="24" t="s">
        <v>199</v>
      </c>
      <c r="B19" s="25">
        <v>-2555.0700000000002</v>
      </c>
      <c r="C19" s="25">
        <v>-56104.61</v>
      </c>
      <c r="D19" s="25">
        <v>-21843</v>
      </c>
      <c r="E19" s="26">
        <v>-80502.679999999993</v>
      </c>
      <c r="F19" s="339"/>
      <c r="G19" s="31">
        <f t="shared" si="6"/>
        <v>-1.7031598041461215E-3</v>
      </c>
      <c r="H19" s="31">
        <f t="shared" si="6"/>
        <v>-2.5127096046227874E-2</v>
      </c>
      <c r="I19" s="31">
        <f t="shared" si="6"/>
        <v>-2.2702029589299257E-2</v>
      </c>
      <c r="J19" s="31">
        <f t="shared" si="6"/>
        <v>-1.7145785502932071E-2</v>
      </c>
      <c r="K19" s="27"/>
      <c r="P19" s="27"/>
      <c r="Q19" s="25">
        <f t="shared" si="0"/>
        <v>-2555.0700000000002</v>
      </c>
      <c r="R19" s="25">
        <f t="shared" si="0"/>
        <v>-56104.61</v>
      </c>
      <c r="S19" s="25">
        <f t="shared" si="0"/>
        <v>-21843</v>
      </c>
      <c r="T19" s="77">
        <f t="shared" si="3"/>
        <v>-80502.679999999993</v>
      </c>
      <c r="U19" s="226">
        <f t="shared" si="4"/>
        <v>-161005.35999999999</v>
      </c>
      <c r="V19" s="231" t="s">
        <v>423</v>
      </c>
      <c r="W19" s="97"/>
      <c r="X19" s="97"/>
      <c r="Y19" s="221">
        <f>N6</f>
        <v>-91884.670000000042</v>
      </c>
      <c r="Z19" s="234">
        <f t="shared" si="8"/>
        <v>-91884.670000000042</v>
      </c>
      <c r="AA19" s="251">
        <f t="shared" ref="AA19:AA22" si="12">Z19*3.5</f>
        <v>-321596.34500000015</v>
      </c>
      <c r="AB19" s="242" t="s">
        <v>427</v>
      </c>
      <c r="AC19" s="25">
        <f t="shared" si="1"/>
        <v>-5110.1400000000003</v>
      </c>
      <c r="AD19" s="25">
        <f t="shared" si="2"/>
        <v>-112209.22</v>
      </c>
      <c r="AE19" s="25">
        <f t="shared" si="11"/>
        <v>0</v>
      </c>
      <c r="AF19" s="77">
        <f t="shared" si="5"/>
        <v>-117319.36</v>
      </c>
    </row>
    <row r="20" spans="1:32" outlineLevel="1" x14ac:dyDescent="0.25">
      <c r="A20" s="24" t="s">
        <v>201</v>
      </c>
      <c r="B20" s="25">
        <v>4.33</v>
      </c>
      <c r="C20" s="68">
        <v>-132001.54999999999</v>
      </c>
      <c r="D20" s="25"/>
      <c r="E20" s="26">
        <v>-131997.22</v>
      </c>
      <c r="F20" s="339"/>
      <c r="G20" s="31">
        <f t="shared" si="6"/>
        <v>2.8862935074000736E-6</v>
      </c>
      <c r="H20" s="31">
        <f t="shared" si="6"/>
        <v>-5.9118415137382661E-2</v>
      </c>
      <c r="I20" s="31">
        <f t="shared" si="6"/>
        <v>0</v>
      </c>
      <c r="J20" s="31">
        <f t="shared" si="6"/>
        <v>-2.8113300341098404E-2</v>
      </c>
      <c r="K20" s="27"/>
      <c r="P20" s="27"/>
      <c r="Q20" s="25">
        <f>B20</f>
        <v>4.33</v>
      </c>
      <c r="R20" s="68">
        <v>0</v>
      </c>
      <c r="S20" s="25">
        <f t="shared" si="0"/>
        <v>0</v>
      </c>
      <c r="T20" s="77">
        <f t="shared" si="3"/>
        <v>4.33</v>
      </c>
      <c r="V20" s="231" t="s">
        <v>424</v>
      </c>
      <c r="Y20" s="221">
        <f>Y19</f>
        <v>-91884.670000000042</v>
      </c>
      <c r="Z20" s="234">
        <f t="shared" si="8"/>
        <v>-91884.670000000042</v>
      </c>
      <c r="AA20" s="251">
        <f t="shared" si="12"/>
        <v>-321596.34500000015</v>
      </c>
      <c r="AB20" s="242" t="s">
        <v>425</v>
      </c>
      <c r="AC20" s="25">
        <f t="shared" si="1"/>
        <v>8.66</v>
      </c>
      <c r="AD20" s="25">
        <f t="shared" si="2"/>
        <v>0</v>
      </c>
      <c r="AE20" s="25">
        <f t="shared" si="11"/>
        <v>0</v>
      </c>
      <c r="AF20" s="77">
        <f t="shared" si="5"/>
        <v>8.66</v>
      </c>
    </row>
    <row r="21" spans="1:32" outlineLevel="1" x14ac:dyDescent="0.25">
      <c r="A21" s="24" t="s">
        <v>202</v>
      </c>
      <c r="B21" s="25">
        <v>0</v>
      </c>
      <c r="C21" s="25">
        <v>0</v>
      </c>
      <c r="D21" s="25">
        <v>0</v>
      </c>
      <c r="E21" s="26">
        <v>0</v>
      </c>
      <c r="F21" s="339"/>
      <c r="G21" s="31">
        <f t="shared" si="6"/>
        <v>0</v>
      </c>
      <c r="H21" s="31">
        <f t="shared" si="6"/>
        <v>0</v>
      </c>
      <c r="I21" s="31">
        <f t="shared" si="6"/>
        <v>0</v>
      </c>
      <c r="J21" s="31">
        <f t="shared" si="6"/>
        <v>0</v>
      </c>
      <c r="K21" s="27"/>
      <c r="P21" s="27"/>
      <c r="Q21" s="49">
        <f>B21</f>
        <v>0</v>
      </c>
      <c r="R21" s="49">
        <f>C21</f>
        <v>0</v>
      </c>
      <c r="S21" s="73"/>
      <c r="T21" s="78">
        <f t="shared" si="3"/>
        <v>0</v>
      </c>
      <c r="V21" s="231" t="s">
        <v>428</v>
      </c>
      <c r="Y21" s="221">
        <f>'[4]Pixelle P&amp;L'!$D$29</f>
        <v>10185.940642794274</v>
      </c>
      <c r="Z21" s="234">
        <f t="shared" si="8"/>
        <v>10185.940642794274</v>
      </c>
      <c r="AA21" s="251">
        <f t="shared" si="12"/>
        <v>35650.792249779959</v>
      </c>
      <c r="AB21" s="243"/>
      <c r="AC21" s="25">
        <f t="shared" si="1"/>
        <v>0</v>
      </c>
      <c r="AD21" s="25">
        <f t="shared" si="2"/>
        <v>0</v>
      </c>
      <c r="AE21" s="73"/>
      <c r="AF21" s="78">
        <f t="shared" si="5"/>
        <v>0</v>
      </c>
    </row>
    <row r="22" spans="1:32" outlineLevel="1" x14ac:dyDescent="0.25">
      <c r="A22" s="24" t="s">
        <v>209</v>
      </c>
      <c r="B22" s="25">
        <v>13058.859999999948</v>
      </c>
      <c r="C22" s="25">
        <v>49695.920000000391</v>
      </c>
      <c r="D22" s="25">
        <v>-530582.91000000015</v>
      </c>
      <c r="E22" s="26">
        <v>-467828.12999999966</v>
      </c>
      <c r="F22" s="70">
        <f>'[3]2-T5Y IS (Cont.)'!$D$70</f>
        <v>467828</v>
      </c>
      <c r="G22" s="31">
        <f t="shared" si="6"/>
        <v>8.7047812545141736E-3</v>
      </c>
      <c r="H22" s="31">
        <f t="shared" si="6"/>
        <v>2.2256890386470319E-2</v>
      </c>
      <c r="I22" s="31">
        <f t="shared" si="6"/>
        <v>-0.55144938526743159</v>
      </c>
      <c r="J22" s="31">
        <f t="shared" si="6"/>
        <v>-9.9639922164303299E-2</v>
      </c>
      <c r="K22" s="27"/>
      <c r="P22" s="27"/>
      <c r="Q22" s="25">
        <f>SUM(Q6:Q21)</f>
        <v>13058.859999999948</v>
      </c>
      <c r="R22" s="25">
        <f>SUM(R6:R21)</f>
        <v>181697.47000000038</v>
      </c>
      <c r="S22" s="25">
        <f>SUM(S6:S21)</f>
        <v>-438698.23999999999</v>
      </c>
      <c r="T22" s="77">
        <f>SUM(T6:T21)</f>
        <v>-243941.90999999971</v>
      </c>
      <c r="U22" s="226">
        <f>SUM(U6:U21)</f>
        <v>-487892.4799999994</v>
      </c>
      <c r="V22" s="231" t="s">
        <v>429</v>
      </c>
      <c r="W22" s="73"/>
      <c r="X22" s="73"/>
      <c r="Y22" s="240">
        <f>Y21</f>
        <v>10185.940642794274</v>
      </c>
      <c r="Z22" s="241">
        <f t="shared" si="8"/>
        <v>10185.940642794274</v>
      </c>
      <c r="AA22" s="251">
        <f t="shared" si="12"/>
        <v>35650.792249779959</v>
      </c>
      <c r="AB22" s="243"/>
      <c r="AC22" s="25">
        <f>SUM(AC6:AC21)</f>
        <v>26117.719999999896</v>
      </c>
      <c r="AD22" s="25">
        <f>SUM(AD6:AD21)</f>
        <v>363394.94000000076</v>
      </c>
      <c r="AE22" s="25">
        <f ca="1">SUM(AE6:AE21)</f>
        <v>-438698.23999999999</v>
      </c>
      <c r="AF22" s="77">
        <f ca="1">SUM(AF6:AF21)</f>
        <v>-243941.90999999971</v>
      </c>
    </row>
    <row r="23" spans="1:32" s="93" customFormat="1" ht="15.75" outlineLevel="1" thickBot="1" x14ac:dyDescent="0.3">
      <c r="A23" s="88" t="s">
        <v>245</v>
      </c>
      <c r="B23" s="89">
        <f>-B22*2</f>
        <v>-26117.719999999896</v>
      </c>
      <c r="C23" s="89">
        <f>-(C22-C20)*2</f>
        <v>-363394.94000000076</v>
      </c>
      <c r="D23" s="89">
        <f t="shared" ref="D23" si="13">-D22*2</f>
        <v>1061165.8200000003</v>
      </c>
      <c r="E23" s="89">
        <f>-(E22-E20)*2</f>
        <v>671661.81999999937</v>
      </c>
      <c r="F23" s="96">
        <f>(F22+C20)*2</f>
        <v>671652.9</v>
      </c>
      <c r="G23" s="90" t="s">
        <v>219</v>
      </c>
      <c r="H23" s="91"/>
      <c r="I23" s="91"/>
      <c r="J23" s="91"/>
      <c r="K23" s="92"/>
      <c r="L23" s="91" t="s">
        <v>243</v>
      </c>
      <c r="M23" s="91"/>
      <c r="N23" s="89">
        <f>N6+N12</f>
        <v>-132969.67000000004</v>
      </c>
      <c r="P23" s="92"/>
      <c r="Q23" s="89">
        <f>-Q22*2</f>
        <v>-26117.719999999896</v>
      </c>
      <c r="R23" s="89">
        <f t="shared" ref="R23:U23" si="14">-R22*2</f>
        <v>-363394.94000000076</v>
      </c>
      <c r="S23" s="89">
        <f t="shared" si="14"/>
        <v>877396.47999999998</v>
      </c>
      <c r="T23" s="94">
        <f>-T22*2</f>
        <v>487883.81999999942</v>
      </c>
      <c r="U23" s="227">
        <f t="shared" si="14"/>
        <v>975784.9599999988</v>
      </c>
      <c r="V23" s="236" t="s">
        <v>262</v>
      </c>
      <c r="W23" s="89">
        <f>SUM(W9:W22)</f>
        <v>460302.27</v>
      </c>
      <c r="X23" s="89">
        <f>SUM(X9:X22)</f>
        <v>920604.54</v>
      </c>
      <c r="Y23" s="89">
        <f>SUM(Y9:Y22)</f>
        <v>767548.18128558842</v>
      </c>
      <c r="Z23" s="234">
        <f>Y23-X23</f>
        <v>-153056.35871441162</v>
      </c>
      <c r="AA23" s="251">
        <f>SUM(AA10:AA22)</f>
        <v>-535697.25550044049</v>
      </c>
      <c r="AB23" s="244"/>
      <c r="AC23" s="89">
        <f>-AC22*2</f>
        <v>-52235.439999999791</v>
      </c>
      <c r="AD23" s="89">
        <f t="shared" ref="AD23:AE23" si="15">-AD22*2</f>
        <v>-726789.88000000152</v>
      </c>
      <c r="AE23" s="89">
        <f t="shared" ca="1" si="15"/>
        <v>877396.47999999998</v>
      </c>
      <c r="AF23" s="94">
        <f ca="1">-AF22*2</f>
        <v>487883.81999999942</v>
      </c>
    </row>
    <row r="24" spans="1:32" ht="15.75" outlineLevel="1" thickBot="1" x14ac:dyDescent="0.3">
      <c r="A24" s="24">
        <v>2025</v>
      </c>
      <c r="B24" s="25">
        <f>[2]Pivot!B$22</f>
        <v>-188567.02000000002</v>
      </c>
      <c r="C24" s="25">
        <f>[2]Pivot!C$22</f>
        <v>507482.25999999937</v>
      </c>
      <c r="D24" s="25">
        <f>[2]Pivot!D$22</f>
        <v>-393948.69000000018</v>
      </c>
      <c r="E24" s="25">
        <f>[2]Pivot!E$22</f>
        <v>-75033.44999999975</v>
      </c>
      <c r="F24" s="96">
        <f>E22-C20</f>
        <v>-335826.57999999967</v>
      </c>
      <c r="K24" s="27"/>
      <c r="P24" s="27"/>
      <c r="Q24" s="105" t="s">
        <v>264</v>
      </c>
      <c r="R24" s="57"/>
      <c r="S24" s="103" t="s">
        <v>219</v>
      </c>
      <c r="T24" s="104">
        <f>T23-E23</f>
        <v>-183777.99999999994</v>
      </c>
      <c r="V24" s="84" t="s">
        <v>263</v>
      </c>
      <c r="W24" s="237"/>
      <c r="X24" s="238">
        <f>3.5*X23</f>
        <v>3222115.89</v>
      </c>
      <c r="Y24" s="238">
        <f>3.5*Y23</f>
        <v>2686418.6344995596</v>
      </c>
      <c r="Z24" s="42">
        <f>Z23*3.5</f>
        <v>-535697.25550044072</v>
      </c>
      <c r="AA24" s="42"/>
      <c r="AB24" s="239"/>
      <c r="AC24" s="105" t="s">
        <v>264</v>
      </c>
      <c r="AD24" s="57"/>
      <c r="AE24" s="103" t="s">
        <v>219</v>
      </c>
      <c r="AF24" s="104">
        <f ca="1">AF23-P23</f>
        <v>-183777.99999999994</v>
      </c>
    </row>
    <row r="25" spans="1:32" x14ac:dyDescent="0.25">
      <c r="A25" s="24"/>
      <c r="B25" s="25"/>
      <c r="C25" s="25"/>
      <c r="D25" s="25"/>
      <c r="E25" s="26"/>
      <c r="F25" s="26">
        <f>F22+C20</f>
        <v>335826.45</v>
      </c>
      <c r="K25" s="27"/>
      <c r="L25">
        <f>551308+410852</f>
        <v>962160</v>
      </c>
      <c r="P25" s="27"/>
    </row>
    <row r="26" spans="1:32" ht="16.899999999999999" customHeight="1" x14ac:dyDescent="0.25">
      <c r="A26" s="61" t="s">
        <v>222</v>
      </c>
      <c r="B26" s="25"/>
      <c r="D26" s="46"/>
      <c r="F26" s="26">
        <f>F25*2</f>
        <v>671652.9</v>
      </c>
      <c r="G26" t="s">
        <v>272</v>
      </c>
      <c r="L26">
        <f>L25*2</f>
        <v>1924320</v>
      </c>
      <c r="Q26" t="s">
        <v>266</v>
      </c>
      <c r="W26" s="97">
        <v>0</v>
      </c>
      <c r="X26" s="97">
        <f>W26*2</f>
        <v>0</v>
      </c>
      <c r="Y26" s="97">
        <f>X26</f>
        <v>0</v>
      </c>
      <c r="Z26" s="234">
        <f>Y26-X26</f>
        <v>0</v>
      </c>
      <c r="AA26" s="251"/>
    </row>
    <row r="27" spans="1:32" x14ac:dyDescent="0.25">
      <c r="A27" s="45" t="str">
        <f t="shared" ref="A27:A43" si="16">A6</f>
        <v>1. Sales</v>
      </c>
      <c r="B27" s="26">
        <f t="shared" ref="B27:E40" si="17">B6*2</f>
        <v>-3000387.86</v>
      </c>
      <c r="C27" s="26">
        <f t="shared" si="17"/>
        <v>-4465666.0599999996</v>
      </c>
      <c r="D27" s="26">
        <f t="shared" si="17"/>
        <v>-1924321.34</v>
      </c>
      <c r="E27" s="26">
        <f t="shared" si="17"/>
        <v>-9390375.2599999998</v>
      </c>
      <c r="F27" s="26"/>
      <c r="G27" s="55">
        <f>B27/[2]Pivot!B5-1</f>
        <v>-0.11822123402099038</v>
      </c>
      <c r="H27" s="55">
        <f>C27/[2]Pivot!C5-1</f>
        <v>4.812564491626814E-2</v>
      </c>
      <c r="I27" s="55">
        <f>D27/[2]Pivot!D5-1</f>
        <v>1.2114666636388578</v>
      </c>
      <c r="J27" s="55">
        <f>E27/[2]Pivot!E5-1</f>
        <v>0.10042202158201596</v>
      </c>
      <c r="O27" s="45"/>
      <c r="Q27" t="s">
        <v>265</v>
      </c>
      <c r="W27" s="97">
        <v>0</v>
      </c>
      <c r="X27" s="97">
        <f>W27*2</f>
        <v>0</v>
      </c>
      <c r="Y27" s="97">
        <f>X27</f>
        <v>0</v>
      </c>
      <c r="Z27" s="234">
        <f>Y27-X27</f>
        <v>0</v>
      </c>
      <c r="AA27" s="251"/>
    </row>
    <row r="28" spans="1:32" ht="15.75" thickBot="1" x14ac:dyDescent="0.3">
      <c r="A28" t="str">
        <f t="shared" si="16"/>
        <v>2. Variable cost Labor</v>
      </c>
      <c r="B28" s="25">
        <f t="shared" si="17"/>
        <v>686376.24</v>
      </c>
      <c r="C28" s="25">
        <f t="shared" si="17"/>
        <v>996513.02</v>
      </c>
      <c r="D28" s="25">
        <f t="shared" si="17"/>
        <v>631506.16</v>
      </c>
      <c r="E28" s="25">
        <f t="shared" si="17"/>
        <v>2314395.42</v>
      </c>
      <c r="F28" s="25"/>
      <c r="G28" s="20">
        <f>G7-[2]Pivot!F6</f>
        <v>2.7699236319948334E-2</v>
      </c>
      <c r="H28" s="20">
        <f>H7-[2]Pivot!G6</f>
        <v>-6.6119333704392491E-4</v>
      </c>
      <c r="I28" s="20">
        <f>I7-[2]Pivot!H6</f>
        <v>-1.7588736923933979E-2</v>
      </c>
      <c r="J28" s="20">
        <f>J7-[2]Pivot!I6</f>
        <v>1.9288971535425803E-2</v>
      </c>
      <c r="L28" s="106" t="s">
        <v>279</v>
      </c>
      <c r="Q28" t="s">
        <v>267</v>
      </c>
    </row>
    <row r="29" spans="1:32" x14ac:dyDescent="0.25">
      <c r="A29" t="str">
        <f t="shared" si="16"/>
        <v>2. Variable cost Mat</v>
      </c>
      <c r="B29" s="25">
        <f t="shared" si="17"/>
        <v>1711702.2</v>
      </c>
      <c r="C29" s="25">
        <f t="shared" si="17"/>
        <v>2286821.6</v>
      </c>
      <c r="D29" s="25">
        <f t="shared" si="17"/>
        <v>44376.14</v>
      </c>
      <c r="E29" s="25">
        <f t="shared" si="17"/>
        <v>4042899.94</v>
      </c>
      <c r="F29" s="25"/>
      <c r="G29" s="20">
        <f>G8-[2]Pivot!F7</f>
        <v>2.8061848681763646E-2</v>
      </c>
      <c r="H29" s="20">
        <f>H8-[2]Pivot!G7</f>
        <v>5.7809978811815821E-3</v>
      </c>
      <c r="I29" s="20">
        <f>I8-[2]Pivot!H7</f>
        <v>-4.2176287903475107E-3</v>
      </c>
      <c r="J29" s="20">
        <f>J8-[2]Pivot!I7</f>
        <v>-4.1329143880725561E-2</v>
      </c>
      <c r="Q29" t="s">
        <v>268</v>
      </c>
      <c r="U29" s="45" t="s">
        <v>334</v>
      </c>
      <c r="X29" s="21" t="s">
        <v>322</v>
      </c>
      <c r="Y29" s="22"/>
      <c r="Z29" s="137" t="s">
        <v>321</v>
      </c>
      <c r="AA29" s="137"/>
      <c r="AB29" s="138"/>
    </row>
    <row r="30" spans="1:32" ht="15.75" thickBot="1" x14ac:dyDescent="0.3">
      <c r="A30" t="str">
        <f t="shared" si="16"/>
        <v>2a. Variable cost Mat</v>
      </c>
      <c r="B30" s="25">
        <f t="shared" si="17"/>
        <v>0</v>
      </c>
      <c r="C30" s="25">
        <f t="shared" si="17"/>
        <v>-39214.26</v>
      </c>
      <c r="D30" s="25">
        <f t="shared" si="17"/>
        <v>0</v>
      </c>
      <c r="E30" s="25">
        <f t="shared" si="17"/>
        <v>-39214.26</v>
      </c>
      <c r="F30" s="25"/>
      <c r="G30" s="20">
        <f>G9-[2]Pivot!F8</f>
        <v>0</v>
      </c>
      <c r="H30" s="20">
        <f>H9-[2]Pivot!G8</f>
        <v>3.5708312855650681E-3</v>
      </c>
      <c r="I30" s="20">
        <f>I9-[2]Pivot!H8</f>
        <v>0</v>
      </c>
      <c r="J30" s="20">
        <f>J9-[2]Pivot!I8</f>
        <v>1.9912277721189815E-3</v>
      </c>
      <c r="Q30" t="s">
        <v>269</v>
      </c>
      <c r="U30" s="45" t="s">
        <v>333</v>
      </c>
      <c r="X30" s="139" t="s">
        <v>320</v>
      </c>
      <c r="Y30" s="140" t="s">
        <v>325</v>
      </c>
      <c r="Z30" s="141" t="s">
        <v>330</v>
      </c>
      <c r="AA30" s="141"/>
      <c r="AB30" s="142" t="s">
        <v>331</v>
      </c>
    </row>
    <row r="31" spans="1:32" x14ac:dyDescent="0.25">
      <c r="A31" t="str">
        <f t="shared" si="16"/>
        <v>2a. Variable cost Mat Out/Env</v>
      </c>
      <c r="B31" s="25">
        <f t="shared" si="17"/>
        <v>0</v>
      </c>
      <c r="C31" s="25">
        <f t="shared" si="17"/>
        <v>23416.34</v>
      </c>
      <c r="D31" s="25">
        <f t="shared" si="17"/>
        <v>0</v>
      </c>
      <c r="E31" s="25">
        <f t="shared" si="17"/>
        <v>23416.34</v>
      </c>
      <c r="F31" s="25"/>
      <c r="G31" s="20">
        <f>G10-[2]Pivot!F9</f>
        <v>-1.5188439138852266E-4</v>
      </c>
      <c r="H31" s="20">
        <f>H10-[2]Pivot!G9</f>
        <v>-1.6654386119445723E-3</v>
      </c>
      <c r="I31" s="20">
        <f>I10-[2]Pivot!H9</f>
        <v>0</v>
      </c>
      <c r="J31" s="20">
        <f>J10-[2]Pivot!I9</f>
        <v>-1.0165140234664853E-3</v>
      </c>
    </row>
    <row r="32" spans="1:32" ht="15.75" thickBot="1" x14ac:dyDescent="0.3">
      <c r="A32" t="str">
        <f t="shared" si="16"/>
        <v>8c. Frt Exp</v>
      </c>
      <c r="B32" s="25">
        <f t="shared" si="17"/>
        <v>11465.6</v>
      </c>
      <c r="C32" s="25">
        <f t="shared" si="17"/>
        <v>15603.260000000002</v>
      </c>
      <c r="D32" s="25">
        <f t="shared" si="17"/>
        <v>0</v>
      </c>
      <c r="E32" s="25">
        <f t="shared" si="17"/>
        <v>27068.86</v>
      </c>
      <c r="F32" s="25"/>
      <c r="G32" s="20">
        <f>G11-[2]Pivot!F10</f>
        <v>-1.074285606793022E-3</v>
      </c>
      <c r="H32" s="20">
        <f>H11-[2]Pivot!G10</f>
        <v>4.2578790585130061E-5</v>
      </c>
      <c r="I32" s="20">
        <f>I11-[2]Pivot!H10</f>
        <v>-1.0336075768285085E-4</v>
      </c>
      <c r="J32" s="20">
        <f>J11-[2]Pivot!I10</f>
        <v>-8.0330677749630838E-4</v>
      </c>
      <c r="U32" s="148" t="s">
        <v>379</v>
      </c>
      <c r="V32" s="149"/>
    </row>
    <row r="33" spans="1:28" ht="16.5" thickTop="1" thickBot="1" x14ac:dyDescent="0.3">
      <c r="A33" t="str">
        <f t="shared" si="16"/>
        <v>3. Mfg IDL</v>
      </c>
      <c r="B33" s="25">
        <f t="shared" si="17"/>
        <v>174246.02000000002</v>
      </c>
      <c r="C33" s="25">
        <f t="shared" si="17"/>
        <v>230557</v>
      </c>
      <c r="D33" s="68">
        <f t="shared" si="17"/>
        <v>24828.720000000001</v>
      </c>
      <c r="E33" s="25">
        <f t="shared" si="17"/>
        <v>429631.74</v>
      </c>
      <c r="F33" s="25"/>
      <c r="G33" s="20">
        <f>G12-[2]Pivot!F11</f>
        <v>6.8685189719281045E-3</v>
      </c>
      <c r="H33" s="20">
        <f>H12-[2]Pivot!G11</f>
        <v>-1.3437408742119593E-2</v>
      </c>
      <c r="I33" s="59">
        <f>I12-[2]Pivot!H11</f>
        <v>-0.10173112608554506</v>
      </c>
      <c r="J33" s="20">
        <f>J12-[2]Pivot!I11</f>
        <v>-1.88415892591728E-2</v>
      </c>
      <c r="U33" s="148" t="s">
        <v>75</v>
      </c>
      <c r="V33" s="149"/>
      <c r="W33" s="149"/>
      <c r="X33" s="150"/>
      <c r="Y33" s="150">
        <f t="shared" ref="Y33:Z33" si="18">SUM(Y34:Y36)</f>
        <v>126000</v>
      </c>
      <c r="Z33" s="150">
        <f t="shared" si="18"/>
        <v>192414</v>
      </c>
      <c r="AA33" s="150"/>
      <c r="AB33" s="219">
        <f>SUM(AB34:AB36)</f>
        <v>66414</v>
      </c>
    </row>
    <row r="34" spans="1:28" ht="15.75" thickTop="1" x14ac:dyDescent="0.25">
      <c r="A34" t="str">
        <f t="shared" si="16"/>
        <v>4. Mfg OVHD</v>
      </c>
      <c r="B34" s="25">
        <f t="shared" si="17"/>
        <v>372419.78</v>
      </c>
      <c r="C34" s="25">
        <f t="shared" si="17"/>
        <v>405999.28</v>
      </c>
      <c r="D34" s="25">
        <f t="shared" si="17"/>
        <v>165489.13999999998</v>
      </c>
      <c r="E34" s="25">
        <f t="shared" si="17"/>
        <v>943908.20000000007</v>
      </c>
      <c r="F34" s="25"/>
      <c r="G34" s="20">
        <f>G13-[2]Pivot!F13</f>
        <v>1.0265792472237315E-2</v>
      </c>
      <c r="H34" s="20">
        <f>H13-[2]Pivot!G13</f>
        <v>5.6745890257395709E-3</v>
      </c>
      <c r="I34" s="20">
        <f>I13-[2]Pivot!H13</f>
        <v>-7.4265472715915493E-2</v>
      </c>
      <c r="J34" s="20">
        <f>J13-[2]Pivot!I13</f>
        <v>-3.7834037836262518E-3</v>
      </c>
      <c r="U34" s="132" t="s">
        <v>323</v>
      </c>
      <c r="V34" s="132" t="s">
        <v>207</v>
      </c>
      <c r="X34" s="66">
        <v>0</v>
      </c>
      <c r="Y34" s="136"/>
      <c r="Z34" s="133">
        <v>151914</v>
      </c>
      <c r="AA34" s="133"/>
      <c r="AB34" s="25">
        <v>151914</v>
      </c>
    </row>
    <row r="35" spans="1:28" x14ac:dyDescent="0.25">
      <c r="A35" t="str">
        <f t="shared" si="16"/>
        <v>7. Selling</v>
      </c>
      <c r="B35" s="25">
        <f t="shared" si="17"/>
        <v>73113.08</v>
      </c>
      <c r="C35" s="25">
        <f t="shared" si="17"/>
        <v>355637.58000000007</v>
      </c>
      <c r="D35" s="25">
        <f t="shared" si="17"/>
        <v>0</v>
      </c>
      <c r="E35" s="25">
        <f t="shared" si="17"/>
        <v>428750.66000000009</v>
      </c>
      <c r="F35" s="25"/>
      <c r="G35" s="20">
        <f>G14-[2]Pivot!F14</f>
        <v>2.7032889501947301E-3</v>
      </c>
      <c r="H35" s="20">
        <f>H14-[2]Pivot!G14</f>
        <v>-9.7894050012387462E-3</v>
      </c>
      <c r="I35" s="20">
        <f>I14-[2]Pivot!H14</f>
        <v>0</v>
      </c>
      <c r="J35" s="20">
        <f>J14-[2]Pivot!I14</f>
        <v>-7.630031245658711E-3</v>
      </c>
      <c r="U35" s="132" t="s">
        <v>323</v>
      </c>
      <c r="V35" s="132" t="s">
        <v>206</v>
      </c>
      <c r="X35" s="66">
        <v>48000</v>
      </c>
      <c r="Y35" s="136">
        <v>96000</v>
      </c>
      <c r="Z35" s="133">
        <v>0</v>
      </c>
      <c r="AA35" s="133"/>
      <c r="AB35" s="25">
        <v>-96000</v>
      </c>
    </row>
    <row r="36" spans="1:28" x14ac:dyDescent="0.25">
      <c r="A36" t="str">
        <f t="shared" si="16"/>
        <v>8. Admin</v>
      </c>
      <c r="B36" s="25">
        <f t="shared" si="17"/>
        <v>80860.94</v>
      </c>
      <c r="C36" s="25">
        <f t="shared" si="17"/>
        <v>680624.06</v>
      </c>
      <c r="D36" s="25">
        <f t="shared" si="17"/>
        <v>38990.74</v>
      </c>
      <c r="E36" s="25">
        <f t="shared" si="17"/>
        <v>800475.74</v>
      </c>
      <c r="F36" s="25"/>
      <c r="G36" s="20">
        <f>G15-[2]Pivot!F15</f>
        <v>-6.5113526303768945E-4</v>
      </c>
      <c r="H36" s="20">
        <f>H15-[2]Pivot!G15</f>
        <v>-3.1254649652578959E-2</v>
      </c>
      <c r="I36" s="20">
        <f>I15-[2]Pivot!H15</f>
        <v>-1.7910396822858558E-2</v>
      </c>
      <c r="J36" s="20">
        <f>J15-[2]Pivot!I15</f>
        <v>-2.1356513666192151E-2</v>
      </c>
      <c r="U36" s="132" t="s">
        <v>323</v>
      </c>
      <c r="V36" s="132" t="s">
        <v>324</v>
      </c>
      <c r="X36" s="145">
        <v>15000</v>
      </c>
      <c r="Y36" s="146">
        <v>30000</v>
      </c>
      <c r="Z36" s="147">
        <v>40500</v>
      </c>
      <c r="AA36" s="147"/>
      <c r="AB36" s="25">
        <v>10500</v>
      </c>
    </row>
    <row r="37" spans="1:28" x14ac:dyDescent="0.25">
      <c r="A37" t="str">
        <f t="shared" si="16"/>
        <v>8. Admin IT</v>
      </c>
      <c r="B37" s="25">
        <f t="shared" si="17"/>
        <v>1943.28</v>
      </c>
      <c r="C37" s="25">
        <f t="shared" si="17"/>
        <v>24693.58</v>
      </c>
      <c r="D37" s="25">
        <f t="shared" si="17"/>
        <v>1650.62</v>
      </c>
      <c r="E37" s="25">
        <f t="shared" si="17"/>
        <v>28287.48</v>
      </c>
      <c r="F37" s="25"/>
      <c r="G37" s="20">
        <f>G16-[2]Pivot!F16</f>
        <v>-1.6828979397431009E-4</v>
      </c>
      <c r="H37" s="20">
        <f>H16-[2]Pivot!G16</f>
        <v>8.1743290709224755E-4</v>
      </c>
      <c r="I37" s="20">
        <f>I16-[2]Pivot!H16</f>
        <v>-8.3706637662433136E-4</v>
      </c>
      <c r="J37" s="20">
        <f>J16-[2]Pivot!I16</f>
        <v>1.6146244772633281E-4</v>
      </c>
    </row>
    <row r="38" spans="1:28" x14ac:dyDescent="0.25">
      <c r="A38" t="str">
        <f t="shared" si="16"/>
        <v>8a. Frt Income</v>
      </c>
      <c r="B38" s="25">
        <f t="shared" si="17"/>
        <v>-372175.35999999999</v>
      </c>
      <c r="C38" s="25">
        <f t="shared" si="17"/>
        <v>-290297.03999999998</v>
      </c>
      <c r="D38" s="25">
        <f t="shared" si="17"/>
        <v>0</v>
      </c>
      <c r="E38" s="25">
        <f t="shared" si="17"/>
        <v>-662472.39999999991</v>
      </c>
      <c r="F38" s="25"/>
      <c r="G38" s="20">
        <f>G17-[2]Pivot!F17</f>
        <v>-3.3929055107747144E-2</v>
      </c>
      <c r="H38" s="20">
        <f>H17-[2]Pivot!G17</f>
        <v>8.0304336142830723E-4</v>
      </c>
      <c r="I38" s="20">
        <f>I17-[2]Pivot!H17</f>
        <v>0</v>
      </c>
      <c r="J38" s="20">
        <f>J17-[2]Pivot!I17</f>
        <v>-1.7581262773750245E-3</v>
      </c>
    </row>
    <row r="39" spans="1:28" x14ac:dyDescent="0.25">
      <c r="A39" t="str">
        <f t="shared" si="16"/>
        <v>8b. Frt Exp</v>
      </c>
      <c r="B39" s="25">
        <f t="shared" si="17"/>
        <v>291655.28000000003</v>
      </c>
      <c r="C39" s="25">
        <f t="shared" si="17"/>
        <v>250915.8</v>
      </c>
      <c r="D39" s="25">
        <f t="shared" si="17"/>
        <v>0</v>
      </c>
      <c r="E39" s="25">
        <f t="shared" si="17"/>
        <v>542571.08000000007</v>
      </c>
      <c r="F39" s="25"/>
      <c r="G39" s="20">
        <f>G18-[2]Pivot!F18</f>
        <v>2.4880993070616544E-2</v>
      </c>
      <c r="H39" s="20">
        <f>H18-[2]Pivot!G18</f>
        <v>3.7073920580797462E-3</v>
      </c>
      <c r="I39" s="20">
        <f>I18-[2]Pivot!H18</f>
        <v>0</v>
      </c>
      <c r="J39" s="20">
        <f>J18-[2]Pivot!I18</f>
        <v>2.7376810475735064E-3</v>
      </c>
    </row>
    <row r="40" spans="1:28" x14ac:dyDescent="0.25">
      <c r="A40" t="str">
        <f t="shared" si="16"/>
        <v>9. Scrap &amp; Misc Inc</v>
      </c>
      <c r="B40" s="25">
        <f t="shared" si="17"/>
        <v>-5110.1400000000003</v>
      </c>
      <c r="C40" s="25">
        <f t="shared" si="17"/>
        <v>-112209.22</v>
      </c>
      <c r="D40" s="62">
        <f t="shared" si="17"/>
        <v>-43686</v>
      </c>
      <c r="E40" s="25">
        <f t="shared" si="17"/>
        <v>-161005.35999999999</v>
      </c>
      <c r="F40" s="62" t="s">
        <v>274</v>
      </c>
      <c r="G40" s="20">
        <f>G19-[2]Pivot!F19</f>
        <v>-3.8598201392491894E-4</v>
      </c>
      <c r="H40" s="20">
        <f>H19-[2]Pivot!G19</f>
        <v>2.1395681111018895E-3</v>
      </c>
      <c r="I40" s="20">
        <f>I19-[2]Pivot!H19</f>
        <v>-1.7749470269372132E-2</v>
      </c>
      <c r="J40" s="20">
        <f>J19-[2]Pivot!I19</f>
        <v>-2.5016966531727341E-3</v>
      </c>
    </row>
    <row r="41" spans="1:28" x14ac:dyDescent="0.25">
      <c r="A41" t="str">
        <f t="shared" si="16"/>
        <v>91. Other Inc/Exp</v>
      </c>
      <c r="B41" s="25">
        <f>B20*2</f>
        <v>8.66</v>
      </c>
      <c r="C41" s="68">
        <v>0</v>
      </c>
      <c r="D41" s="25">
        <f>D20*2</f>
        <v>0</v>
      </c>
      <c r="E41" s="68">
        <v>0</v>
      </c>
      <c r="F41" s="25"/>
      <c r="G41" s="20">
        <f>G20-[2]Pivot!F20</f>
        <v>3.3682702529684201E-6</v>
      </c>
      <c r="H41" s="20">
        <v>0</v>
      </c>
      <c r="I41" s="20">
        <f>I20-[2]Pivot!H20</f>
        <v>0</v>
      </c>
      <c r="J41" s="20">
        <f>J20-[2]Pivot!I20</f>
        <v>-2.984211612544797E-2</v>
      </c>
    </row>
    <row r="42" spans="1:28" x14ac:dyDescent="0.25">
      <c r="A42" t="str">
        <f t="shared" si="16"/>
        <v>99. Elim</v>
      </c>
      <c r="B42" s="25">
        <f>B21*2</f>
        <v>0</v>
      </c>
      <c r="C42" s="25">
        <f>C21*2</f>
        <v>0</v>
      </c>
      <c r="D42" s="25">
        <f>D21*2</f>
        <v>0</v>
      </c>
      <c r="E42" s="25">
        <f>E21*2</f>
        <v>0</v>
      </c>
      <c r="F42" s="25"/>
      <c r="G42" s="20">
        <f>G21-[2]Pivot!F21</f>
        <v>0</v>
      </c>
      <c r="H42" s="20">
        <f>H21-[2]Pivot!G21</f>
        <v>0</v>
      </c>
      <c r="I42" s="20">
        <f>I21-[2]Pivot!H21</f>
        <v>0</v>
      </c>
      <c r="J42" s="20">
        <f>J21-[2]Pivot!I21</f>
        <v>0</v>
      </c>
    </row>
    <row r="43" spans="1:28" ht="15.75" thickBot="1" x14ac:dyDescent="0.3">
      <c r="A43" s="53" t="str">
        <f t="shared" si="16"/>
        <v>Grand Total</v>
      </c>
      <c r="B43" s="54">
        <f>SUM(B27:B42)</f>
        <v>26117.719999999896</v>
      </c>
      <c r="C43" s="54">
        <f>SUM(C27:C42)</f>
        <v>363394.94000000076</v>
      </c>
      <c r="D43" s="54">
        <f>SUM(D27:D42)</f>
        <v>-1061165.8200000003</v>
      </c>
      <c r="E43" s="54">
        <f>SUM(E27:E42)</f>
        <v>-671661.81999999925</v>
      </c>
      <c r="F43" s="86"/>
      <c r="G43" s="20">
        <f>G22-[2]Pivot!F22</f>
        <v>6.412241456007596E-2</v>
      </c>
      <c r="H43" s="20">
        <f>H22-[2]Pivot!G22</f>
        <v>-9.6853039442466468E-2</v>
      </c>
      <c r="I43" s="20">
        <f>I22-[2]Pivot!H22</f>
        <v>-9.8716062090129508E-2</v>
      </c>
      <c r="J43" s="20">
        <f>J22-[2]Pivot!I22</f>
        <v>-9.0847040256059636E-2</v>
      </c>
    </row>
    <row r="44" spans="1:28" ht="15.75" thickTop="1" x14ac:dyDescent="0.25">
      <c r="A44" t="s">
        <v>227</v>
      </c>
      <c r="B44" s="25">
        <f>-B43</f>
        <v>-26117.719999999896</v>
      </c>
      <c r="C44" s="25">
        <f t="shared" ref="C44:E44" si="19">-C43</f>
        <v>-363394.94000000076</v>
      </c>
      <c r="D44" s="25">
        <f t="shared" si="19"/>
        <v>1061165.8200000003</v>
      </c>
      <c r="E44" s="25">
        <f t="shared" si="19"/>
        <v>671661.81999999925</v>
      </c>
      <c r="F44" s="25"/>
    </row>
    <row r="45" spans="1:28" x14ac:dyDescent="0.25">
      <c r="A45" s="24">
        <v>2025</v>
      </c>
      <c r="B45" s="49">
        <f>-[2]Pivot!B$22</f>
        <v>188567.02000000002</v>
      </c>
      <c r="C45" s="49">
        <f>-[2]Pivot!C$22</f>
        <v>-507482.25999999937</v>
      </c>
      <c r="D45" s="49">
        <f>-[2]Pivot!D$22</f>
        <v>393948.69000000018</v>
      </c>
      <c r="E45" s="49">
        <f>-[2]Pivot!E$22</f>
        <v>75033.44999999975</v>
      </c>
      <c r="F45" s="25"/>
    </row>
    <row r="46" spans="1:28" x14ac:dyDescent="0.25">
      <c r="A46" t="s">
        <v>229</v>
      </c>
      <c r="B46" s="65">
        <f>B44-B45</f>
        <v>-214684.7399999999</v>
      </c>
      <c r="C46" s="64">
        <f t="shared" ref="C46:E46" si="20">C44-C45</f>
        <v>144087.31999999861</v>
      </c>
      <c r="D46" s="64">
        <f t="shared" si="20"/>
        <v>667217.13000000012</v>
      </c>
      <c r="E46" s="64">
        <f t="shared" si="20"/>
        <v>596628.36999999953</v>
      </c>
      <c r="F46" s="64"/>
    </row>
    <row r="47" spans="1:28" x14ac:dyDescent="0.25">
      <c r="B47" s="25"/>
      <c r="C47" s="25"/>
      <c r="D47" s="25"/>
    </row>
    <row r="48" spans="1:28" x14ac:dyDescent="0.25">
      <c r="A48" s="45" t="s">
        <v>273</v>
      </c>
      <c r="B48" s="25"/>
      <c r="C48" s="25"/>
      <c r="D48" s="25"/>
    </row>
    <row r="49" spans="1:10" x14ac:dyDescent="0.25">
      <c r="A49" t="s">
        <v>231</v>
      </c>
      <c r="B49" s="25">
        <f>-400000*0.15</f>
        <v>-60000</v>
      </c>
      <c r="C49" s="25">
        <f>200000*0.15</f>
        <v>30000</v>
      </c>
      <c r="D49" s="25">
        <f>-(D27-[2]Pivot!$D$5)*0.6</f>
        <v>632499.10800000012</v>
      </c>
      <c r="E49" s="25">
        <f>SUM(B49:D49)</f>
        <v>602499.10800000012</v>
      </c>
      <c r="F49" s="25"/>
    </row>
    <row r="50" spans="1:10" x14ac:dyDescent="0.25">
      <c r="A50" t="s">
        <v>228</v>
      </c>
      <c r="B50" s="25">
        <f>0.06*B27</f>
        <v>-180023.27159999998</v>
      </c>
      <c r="C50" s="25"/>
      <c r="D50" s="25"/>
      <c r="E50" s="25">
        <f t="shared" ref="E50:E55" si="21">SUM(B50:D50)</f>
        <v>-180023.27159999998</v>
      </c>
      <c r="F50" s="25"/>
    </row>
    <row r="51" spans="1:10" x14ac:dyDescent="0.25">
      <c r="A51" t="s">
        <v>233</v>
      </c>
      <c r="B51" s="25"/>
      <c r="C51" s="25">
        <f>[2]Pivot!$C$11-C33</f>
        <v>46665.469999999972</v>
      </c>
      <c r="D51" s="25"/>
      <c r="E51" s="25">
        <f t="shared" si="21"/>
        <v>46665.469999999972</v>
      </c>
      <c r="F51" s="25"/>
    </row>
    <row r="52" spans="1:10" x14ac:dyDescent="0.25">
      <c r="A52" t="str">
        <f>A34</f>
        <v>4. Mfg OVHD</v>
      </c>
      <c r="B52" s="25"/>
      <c r="C52" s="25">
        <f>[2]Pivot!$C$13-C34</f>
        <v>-42819.100000000035</v>
      </c>
      <c r="D52" s="25"/>
      <c r="E52" s="25">
        <f t="shared" si="21"/>
        <v>-42819.100000000035</v>
      </c>
      <c r="F52" s="25"/>
    </row>
    <row r="53" spans="1:10" x14ac:dyDescent="0.25">
      <c r="A53" s="63" t="s">
        <v>232</v>
      </c>
      <c r="B53" s="25"/>
      <c r="C53" s="25">
        <f>-(C36-[2]Pivot!$C$15)</f>
        <v>101912.73999999999</v>
      </c>
      <c r="D53" s="25"/>
      <c r="E53" s="25">
        <f t="shared" si="21"/>
        <v>101912.73999999999</v>
      </c>
      <c r="F53" s="25" t="s">
        <v>277</v>
      </c>
    </row>
    <row r="54" spans="1:10" x14ac:dyDescent="0.25">
      <c r="A54" s="63" t="s">
        <v>234</v>
      </c>
      <c r="B54" s="25"/>
      <c r="C54" s="25">
        <f>C40-[2]Pivot!$C$19-[2]Pivot!$C$20</f>
        <v>-10790.670000000006</v>
      </c>
      <c r="D54" s="38">
        <f>-D40+[2]Pivot!$D$19</f>
        <v>39376.5</v>
      </c>
      <c r="E54" s="25">
        <f t="shared" si="21"/>
        <v>28585.829999999994</v>
      </c>
      <c r="F54" s="25"/>
    </row>
    <row r="55" spans="1:10" x14ac:dyDescent="0.25">
      <c r="A55" t="s">
        <v>230</v>
      </c>
      <c r="B55" s="49">
        <v>20000</v>
      </c>
      <c r="C55" s="49">
        <v>16000</v>
      </c>
      <c r="D55" s="49"/>
      <c r="E55" s="49">
        <f t="shared" si="21"/>
        <v>36000</v>
      </c>
      <c r="F55" s="25"/>
    </row>
    <row r="56" spans="1:10" x14ac:dyDescent="0.25">
      <c r="B56" s="25">
        <f>SUM(B49:B55)</f>
        <v>-220023.27159999998</v>
      </c>
      <c r="C56" s="25">
        <f>SUM(C49:C55)</f>
        <v>140968.43999999992</v>
      </c>
      <c r="D56" s="25">
        <f t="shared" ref="D56:E56" si="22">SUM(D49:D55)</f>
        <v>671875.60800000012</v>
      </c>
      <c r="E56" s="25">
        <f t="shared" si="22"/>
        <v>592820.77639999997</v>
      </c>
      <c r="F56" s="25"/>
    </row>
    <row r="58" spans="1:10" ht="36.6" customHeight="1" x14ac:dyDescent="0.25">
      <c r="A58" s="340" t="s">
        <v>278</v>
      </c>
      <c r="B58" s="340"/>
      <c r="C58" s="340"/>
      <c r="D58" s="340"/>
      <c r="E58" s="340"/>
      <c r="F58" s="340"/>
      <c r="G58" s="340"/>
      <c r="H58" s="340"/>
      <c r="I58" s="340"/>
      <c r="J58" s="340"/>
    </row>
    <row r="59" spans="1:10" ht="15.75" x14ac:dyDescent="0.25">
      <c r="A59" s="114"/>
    </row>
  </sheetData>
  <mergeCells count="3">
    <mergeCell ref="G6:J6"/>
    <mergeCell ref="F17:F21"/>
    <mergeCell ref="A58:J58"/>
  </mergeCells>
  <phoneticPr fontId="19" type="noConversion"/>
  <conditionalFormatting sqref="G28:J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3068F-3E45-4FC0-9999-88492276B209}">
  <dimension ref="A1:AE59"/>
  <sheetViews>
    <sheetView topLeftCell="A3" zoomScale="85" zoomScaleNormal="85" workbookViewId="0">
      <selection activeCell="B17" sqref="B17"/>
    </sheetView>
  </sheetViews>
  <sheetFormatPr defaultRowHeight="15" outlineLevelRow="1" outlineLevelCol="1" x14ac:dyDescent="0.25"/>
  <cols>
    <col min="1" max="1" width="27.28515625" bestFit="1" customWidth="1"/>
    <col min="2" max="2" width="16.85546875" bestFit="1" customWidth="1"/>
    <col min="3" max="3" width="12.5703125" bestFit="1" customWidth="1"/>
    <col min="4" max="4" width="11" bestFit="1" customWidth="1"/>
    <col min="5" max="5" width="12.5703125" bestFit="1" customWidth="1"/>
    <col min="6" max="6" width="11.7109375" customWidth="1" outlineLevel="1"/>
    <col min="7" max="7" width="7.28515625" customWidth="1" outlineLevel="1"/>
    <col min="8" max="8" width="7" customWidth="1" outlineLevel="1"/>
    <col min="9" max="9" width="7.140625" customWidth="1" outlineLevel="1"/>
    <col min="10" max="10" width="7.7109375" customWidth="1" outlineLevel="1"/>
    <col min="11" max="11" width="2.140625" customWidth="1"/>
    <col min="12" max="12" width="13.28515625" bestFit="1" customWidth="1"/>
    <col min="13" max="13" width="4.140625" customWidth="1"/>
    <col min="14" max="14" width="11.7109375" customWidth="1"/>
    <col min="15" max="15" width="11.28515625" customWidth="1"/>
    <col min="16" max="16" width="2.140625" customWidth="1"/>
    <col min="17" max="17" width="12.85546875" customWidth="1"/>
    <col min="18" max="18" width="13" customWidth="1"/>
    <col min="19" max="19" width="11.140625" customWidth="1"/>
    <col min="20" max="20" width="13.28515625" customWidth="1"/>
    <col min="21" max="21" width="14.42578125" customWidth="1"/>
    <col min="22" max="22" width="27.28515625" customWidth="1"/>
    <col min="23" max="23" width="10" bestFit="1" customWidth="1"/>
    <col min="24" max="24" width="11.28515625" customWidth="1"/>
    <col min="25" max="25" width="10.5703125" customWidth="1"/>
    <col min="26" max="26" width="10.7109375" bestFit="1" customWidth="1"/>
    <col min="27" max="27" width="11.7109375" customWidth="1"/>
    <col min="28" max="31" width="17.5703125" customWidth="1"/>
  </cols>
  <sheetData>
    <row r="1" spans="1:31" ht="15.75" thickBot="1" x14ac:dyDescent="0.3"/>
    <row r="2" spans="1:31" ht="15.75" hidden="1" thickBot="1" x14ac:dyDescent="0.3">
      <c r="A2" s="52" t="s">
        <v>169</v>
      </c>
      <c r="B2" s="16" t="s">
        <v>176</v>
      </c>
      <c r="K2" s="17"/>
      <c r="P2" s="17"/>
    </row>
    <row r="3" spans="1:31" outlineLevel="1" x14ac:dyDescent="0.25">
      <c r="A3" s="109" t="s">
        <v>271</v>
      </c>
      <c r="K3" s="17"/>
      <c r="L3" s="85" t="s">
        <v>246</v>
      </c>
      <c r="M3" s="79"/>
      <c r="N3" s="22" t="s">
        <v>208</v>
      </c>
      <c r="O3" s="80" t="str">
        <f>N3</f>
        <v>Pixelle</v>
      </c>
      <c r="P3" s="17"/>
      <c r="Q3" s="71" t="s">
        <v>270</v>
      </c>
      <c r="X3" s="71" t="s">
        <v>413</v>
      </c>
      <c r="Y3" s="75" t="s">
        <v>244</v>
      </c>
      <c r="AB3" s="71" t="s">
        <v>414</v>
      </c>
    </row>
    <row r="4" spans="1:31" ht="15.75" outlineLevel="1" thickBot="1" x14ac:dyDescent="0.3">
      <c r="A4" s="52" t="s">
        <v>203</v>
      </c>
      <c r="B4" s="52" t="s">
        <v>204</v>
      </c>
      <c r="K4" s="17"/>
      <c r="L4" s="84" t="s">
        <v>219</v>
      </c>
      <c r="M4" s="81"/>
      <c r="N4" s="82" t="s">
        <v>236</v>
      </c>
      <c r="O4" s="83" t="s">
        <v>240</v>
      </c>
      <c r="P4" s="17"/>
      <c r="S4" s="75" t="s">
        <v>244</v>
      </c>
      <c r="T4" s="18" t="s">
        <v>412</v>
      </c>
      <c r="V4" s="45" t="s">
        <v>262</v>
      </c>
      <c r="W4" s="71" t="s">
        <v>250</v>
      </c>
      <c r="X4" s="71" t="s">
        <v>220</v>
      </c>
      <c r="Y4" s="75" t="s">
        <v>220</v>
      </c>
      <c r="Z4" s="102" t="s">
        <v>226</v>
      </c>
      <c r="AD4" s="75" t="s">
        <v>244</v>
      </c>
      <c r="AE4" s="18" t="s">
        <v>412</v>
      </c>
    </row>
    <row r="5" spans="1:31" outlineLevel="1" x14ac:dyDescent="0.25">
      <c r="A5" s="52" t="s">
        <v>205</v>
      </c>
      <c r="B5" s="18" t="s">
        <v>206</v>
      </c>
      <c r="C5" s="18" t="s">
        <v>207</v>
      </c>
      <c r="D5" s="18" t="s">
        <v>208</v>
      </c>
      <c r="E5" s="18" t="s">
        <v>209</v>
      </c>
      <c r="F5" s="18" t="s">
        <v>247</v>
      </c>
      <c r="G5" s="18" t="str">
        <f>B5</f>
        <v>Angola</v>
      </c>
      <c r="H5" s="18" t="str">
        <f>C5</f>
        <v>Hillsboro</v>
      </c>
      <c r="I5" s="18" t="str">
        <f>D5</f>
        <v>Pixelle</v>
      </c>
      <c r="J5" s="18" t="s">
        <v>210</v>
      </c>
      <c r="K5" s="19"/>
      <c r="L5" t="s">
        <v>238</v>
      </c>
      <c r="N5" s="18" t="s">
        <v>239</v>
      </c>
      <c r="O5" s="18" t="s">
        <v>242</v>
      </c>
      <c r="P5" s="19"/>
      <c r="Q5" s="72" t="str">
        <f>B5</f>
        <v>Angola</v>
      </c>
      <c r="R5" s="72" t="str">
        <f>C5</f>
        <v>Hillsboro</v>
      </c>
      <c r="S5" s="72" t="str">
        <f>D5</f>
        <v>Pixelle</v>
      </c>
      <c r="T5" s="76" t="str">
        <f>E5</f>
        <v>Grand Total</v>
      </c>
      <c r="W5" s="71" t="s">
        <v>247</v>
      </c>
      <c r="Z5" s="57"/>
      <c r="AB5" s="72">
        <f>M5</f>
        <v>0</v>
      </c>
      <c r="AC5" s="72" t="str">
        <f>N5</f>
        <v>Avg/Day</v>
      </c>
      <c r="AD5" s="72" t="str">
        <f>O5</f>
        <v>5Days Sls</v>
      </c>
      <c r="AE5" s="76">
        <f>P5</f>
        <v>0</v>
      </c>
    </row>
    <row r="6" spans="1:31" outlineLevel="1" x14ac:dyDescent="0.25">
      <c r="A6" s="24" t="s">
        <v>175</v>
      </c>
      <c r="B6" s="25">
        <v>-1500193.93</v>
      </c>
      <c r="C6" s="25">
        <v>-2232833.0299999998</v>
      </c>
      <c r="D6" s="68">
        <v>-962160.67</v>
      </c>
      <c r="E6" s="26">
        <v>-4695187.63</v>
      </c>
      <c r="F6" s="26"/>
      <c r="G6" s="338" t="s">
        <v>213</v>
      </c>
      <c r="H6" s="338"/>
      <c r="I6" s="338"/>
      <c r="J6" s="338"/>
      <c r="K6" s="27"/>
      <c r="L6" s="69" t="s">
        <v>241</v>
      </c>
      <c r="M6" s="69"/>
      <c r="N6" s="70">
        <f>D6+O6</f>
        <v>-91884.670000000042</v>
      </c>
      <c r="O6" s="70">
        <f>435138*2</f>
        <v>870276</v>
      </c>
      <c r="P6" s="27"/>
      <c r="Q6" s="25">
        <f t="shared" ref="Q6:Q19" si="0">B6</f>
        <v>-1500193.93</v>
      </c>
      <c r="R6" s="25">
        <f t="shared" ref="R6:R19" si="1">C6</f>
        <v>-2232833.0299999998</v>
      </c>
      <c r="S6" s="68">
        <f>-O6</f>
        <v>-870276</v>
      </c>
      <c r="T6" s="77">
        <f>SUM(Q6:S6)</f>
        <v>-4603302.96</v>
      </c>
      <c r="U6" s="77">
        <f>T6*2</f>
        <v>-9206605.9199999999</v>
      </c>
      <c r="V6" s="45" t="s">
        <v>249</v>
      </c>
      <c r="W6" s="70">
        <f>F22</f>
        <v>467828</v>
      </c>
      <c r="X6" s="70">
        <f>W6*2</f>
        <v>935656</v>
      </c>
      <c r="Z6" s="57"/>
      <c r="AB6" s="25">
        <f>Q6*2</f>
        <v>-3000387.86</v>
      </c>
      <c r="AC6" s="25">
        <f>R6*2</f>
        <v>-4465666.0599999996</v>
      </c>
      <c r="AD6" s="68">
        <v>1800000</v>
      </c>
      <c r="AE6" s="77">
        <f>SUM(AB6:AD6)</f>
        <v>-5666053.9199999999</v>
      </c>
    </row>
    <row r="7" spans="1:31" outlineLevel="1" x14ac:dyDescent="0.25">
      <c r="A7" s="24" t="s">
        <v>192</v>
      </c>
      <c r="B7" s="25">
        <v>343188.12</v>
      </c>
      <c r="C7" s="25">
        <v>498256.51</v>
      </c>
      <c r="D7" s="25">
        <v>315753.08</v>
      </c>
      <c r="E7" s="30">
        <v>1157197.71</v>
      </c>
      <c r="F7" s="26"/>
      <c r="G7" s="31">
        <f>-B7/B$6</f>
        <v>0.22876250405839199</v>
      </c>
      <c r="H7" s="31">
        <f>-C7/C$6</f>
        <v>0.22314991909627924</v>
      </c>
      <c r="I7" s="31">
        <f>-D7/D$6</f>
        <v>0.32817084489641424</v>
      </c>
      <c r="J7" s="31">
        <f>-E7/E$6</f>
        <v>0.24646463596173684</v>
      </c>
      <c r="K7" s="27"/>
      <c r="N7" s="20">
        <f>5/6</f>
        <v>0.83333333333333337</v>
      </c>
      <c r="O7" s="66">
        <f>N7*551308</f>
        <v>459423.33333333337</v>
      </c>
      <c r="P7" s="27"/>
      <c r="Q7" s="25">
        <f t="shared" si="0"/>
        <v>343188.12</v>
      </c>
      <c r="R7" s="25">
        <f t="shared" si="1"/>
        <v>498256.51</v>
      </c>
      <c r="S7" s="25">
        <f>D7</f>
        <v>315753.08</v>
      </c>
      <c r="T7" s="77">
        <f t="shared" ref="T7:T21" si="2">SUM(Q7:S7)</f>
        <v>1157197.71</v>
      </c>
      <c r="U7" s="77">
        <f t="shared" ref="U7:U19" si="3">T7*2</f>
        <v>2314395.42</v>
      </c>
      <c r="V7" t="s">
        <v>259</v>
      </c>
      <c r="W7" s="97">
        <f>-'[3]2-T5Y IS (Cont.)'!$D$66</f>
        <v>-133786</v>
      </c>
      <c r="X7" s="97">
        <f>W7*2</f>
        <v>-267572</v>
      </c>
      <c r="Z7" s="57"/>
      <c r="AB7" s="25">
        <f t="shared" ref="AB7:AB21" si="4">Q7*2</f>
        <v>686376.24</v>
      </c>
      <c r="AC7" s="25">
        <f t="shared" ref="AC7:AC21" si="5">R7*2</f>
        <v>996513.02</v>
      </c>
      <c r="AD7" s="25">
        <f>O7</f>
        <v>459423.33333333337</v>
      </c>
      <c r="AE7" s="77">
        <f t="shared" ref="AE7:AE21" si="6">SUM(AB7:AD7)</f>
        <v>2142312.5933333333</v>
      </c>
    </row>
    <row r="8" spans="1:31" ht="15.75" outlineLevel="1" thickBot="1" x14ac:dyDescent="0.3">
      <c r="A8" s="24" t="s">
        <v>177</v>
      </c>
      <c r="B8" s="25">
        <v>855851.1</v>
      </c>
      <c r="C8" s="25">
        <v>1143410.8</v>
      </c>
      <c r="D8" s="25">
        <v>22188.07</v>
      </c>
      <c r="E8" s="30">
        <v>2021449.97</v>
      </c>
      <c r="F8" s="26"/>
      <c r="G8" s="31">
        <f t="shared" ref="G8:G22" si="7">-B8/B$6</f>
        <v>0.57049364277857062</v>
      </c>
      <c r="H8" s="31">
        <f t="shared" ref="H8:H22" si="8">-C8/C$6</f>
        <v>0.5120897015752226</v>
      </c>
      <c r="I8" s="31">
        <f t="shared" ref="I8:I22" si="9">-D8/D$6</f>
        <v>2.3060670314033933E-2</v>
      </c>
      <c r="J8" s="31">
        <f t="shared" ref="J8:J22" si="10">-E8/E$6</f>
        <v>0.43053656835435139</v>
      </c>
      <c r="K8" s="27"/>
      <c r="N8" s="66"/>
      <c r="O8" s="67">
        <v>410852</v>
      </c>
      <c r="P8" s="27"/>
      <c r="Q8" s="25">
        <f t="shared" si="0"/>
        <v>855851.1</v>
      </c>
      <c r="R8" s="25">
        <f t="shared" si="1"/>
        <v>1143410.8</v>
      </c>
      <c r="S8" s="25">
        <f>D8</f>
        <v>22188.07</v>
      </c>
      <c r="T8" s="77">
        <f t="shared" si="2"/>
        <v>2021449.97</v>
      </c>
      <c r="U8" s="77">
        <f t="shared" si="3"/>
        <v>4042899.94</v>
      </c>
      <c r="V8" s="222" t="s">
        <v>261</v>
      </c>
      <c r="W8" s="223">
        <f>W6+W7</f>
        <v>334042</v>
      </c>
      <c r="X8" s="223">
        <f>W8*2</f>
        <v>668084</v>
      </c>
      <c r="Y8" s="223">
        <f>T23</f>
        <v>487883.81999999942</v>
      </c>
      <c r="Z8" s="224">
        <f>Y8-X8</f>
        <v>-180200.18000000058</v>
      </c>
      <c r="AB8" s="25">
        <f t="shared" si="4"/>
        <v>1711702.2</v>
      </c>
      <c r="AC8" s="25">
        <f t="shared" si="5"/>
        <v>2286821.6</v>
      </c>
      <c r="AD8" s="25">
        <f>O8</f>
        <v>410852</v>
      </c>
      <c r="AE8" s="77">
        <f t="shared" si="6"/>
        <v>4409375.8</v>
      </c>
    </row>
    <row r="9" spans="1:31" ht="15.75" outlineLevel="1" thickTop="1" x14ac:dyDescent="0.25">
      <c r="A9" s="24" t="s">
        <v>200</v>
      </c>
      <c r="B9" s="25"/>
      <c r="C9" s="25">
        <v>-19607.13</v>
      </c>
      <c r="D9" s="25"/>
      <c r="E9" s="26">
        <v>-19607.13</v>
      </c>
      <c r="F9" s="26"/>
      <c r="G9" s="31">
        <f t="shared" si="7"/>
        <v>0</v>
      </c>
      <c r="H9" s="31">
        <f t="shared" si="8"/>
        <v>-8.7812790909851425E-3</v>
      </c>
      <c r="I9" s="31">
        <f t="shared" si="9"/>
        <v>0</v>
      </c>
      <c r="J9" s="31">
        <f t="shared" si="10"/>
        <v>-4.1760056349441355E-3</v>
      </c>
      <c r="K9" s="27"/>
      <c r="N9" s="66"/>
      <c r="O9" s="25">
        <f ca="1">AVERAGE(O7:O9)</f>
        <v>0</v>
      </c>
      <c r="P9" s="27"/>
      <c r="Q9" s="25">
        <f t="shared" si="0"/>
        <v>0</v>
      </c>
      <c r="R9" s="25">
        <f t="shared" si="1"/>
        <v>-19607.13</v>
      </c>
      <c r="S9" s="25">
        <f t="shared" ref="S9:S20" si="11">D9</f>
        <v>0</v>
      </c>
      <c r="T9" s="77">
        <f t="shared" si="2"/>
        <v>-19607.13</v>
      </c>
      <c r="U9" s="77">
        <f t="shared" si="3"/>
        <v>-39214.26</v>
      </c>
      <c r="V9" t="s">
        <v>440</v>
      </c>
      <c r="W9" s="97">
        <f>'SORTED B VS P'!N288+'SORTED B VS P'!M292</f>
        <v>1784.75</v>
      </c>
      <c r="X9" s="97">
        <f>W9*2</f>
        <v>3569.5</v>
      </c>
      <c r="Y9" s="97">
        <f>X9</f>
        <v>3569.5</v>
      </c>
      <c r="Z9" s="103">
        <f t="shared" ref="Z9:Z23" si="12">Y9-X9</f>
        <v>0</v>
      </c>
      <c r="AB9" s="25">
        <f t="shared" si="4"/>
        <v>0</v>
      </c>
      <c r="AC9" s="25">
        <f t="shared" si="5"/>
        <v>-39214.26</v>
      </c>
      <c r="AD9" s="25">
        <f t="shared" ref="AD9:AD11" ca="1" si="13">O9</f>
        <v>0</v>
      </c>
      <c r="AE9" s="77">
        <f t="shared" ca="1" si="6"/>
        <v>-19607.13</v>
      </c>
    </row>
    <row r="10" spans="1:31" outlineLevel="1" x14ac:dyDescent="0.25">
      <c r="A10" s="24" t="s">
        <v>188</v>
      </c>
      <c r="B10" s="25"/>
      <c r="C10" s="25">
        <v>11708.17</v>
      </c>
      <c r="D10" s="25"/>
      <c r="E10" s="30">
        <v>11708.17</v>
      </c>
      <c r="F10" s="26"/>
      <c r="G10" s="31">
        <f t="shared" si="7"/>
        <v>0</v>
      </c>
      <c r="H10" s="31">
        <f t="shared" si="8"/>
        <v>5.2436388402942969E-3</v>
      </c>
      <c r="I10" s="31">
        <f t="shared" si="9"/>
        <v>0</v>
      </c>
      <c r="J10" s="31">
        <f t="shared" si="10"/>
        <v>2.4936532728086097E-3</v>
      </c>
      <c r="K10" s="27"/>
      <c r="N10" s="66"/>
      <c r="P10" s="27"/>
      <c r="Q10" s="25">
        <f t="shared" si="0"/>
        <v>0</v>
      </c>
      <c r="R10" s="25">
        <f t="shared" si="1"/>
        <v>11708.17</v>
      </c>
      <c r="S10" s="25">
        <f t="shared" si="11"/>
        <v>0</v>
      </c>
      <c r="T10" s="77">
        <f t="shared" si="2"/>
        <v>11708.17</v>
      </c>
      <c r="U10" s="77">
        <f t="shared" si="3"/>
        <v>23416.34</v>
      </c>
      <c r="V10" t="s">
        <v>252</v>
      </c>
      <c r="W10" s="97">
        <f>('SORTED B VS P'!N195+'SORTED B VS P'!N196+'SORTED B VS P'!N197+'SORTED B VS P'!N198+'SORTED B VS P'!N199+'SORTED B VS P'!N200+'SORTED B VS P'!N201+'SORTED B VS P'!N202++'SORTED B VS P'!N203+'SORTED B VS P'!N204)</f>
        <v>106590.78000000003</v>
      </c>
      <c r="X10" s="97">
        <f t="shared" ref="X10:X17" si="14">W10*2</f>
        <v>213181.56000000006</v>
      </c>
      <c r="Y10" s="97">
        <f t="shared" ref="Y10:Y22" si="15">X10</f>
        <v>213181.56000000006</v>
      </c>
      <c r="Z10" s="103">
        <f t="shared" si="12"/>
        <v>0</v>
      </c>
      <c r="AB10" s="25">
        <f t="shared" si="4"/>
        <v>0</v>
      </c>
      <c r="AC10" s="25">
        <f t="shared" si="5"/>
        <v>23416.34</v>
      </c>
      <c r="AD10" s="25">
        <f t="shared" si="13"/>
        <v>0</v>
      </c>
      <c r="AE10" s="77">
        <f t="shared" si="6"/>
        <v>23416.34</v>
      </c>
    </row>
    <row r="11" spans="1:31" outlineLevel="1" x14ac:dyDescent="0.25">
      <c r="A11" s="24" t="s">
        <v>198</v>
      </c>
      <c r="B11" s="25">
        <v>5732.8</v>
      </c>
      <c r="C11" s="25">
        <v>7801.630000000001</v>
      </c>
      <c r="D11" s="25"/>
      <c r="E11" s="26">
        <v>13534.43</v>
      </c>
      <c r="F11" s="26"/>
      <c r="G11" s="31">
        <f t="shared" si="7"/>
        <v>3.8213726141392936E-3</v>
      </c>
      <c r="H11" s="31">
        <f t="shared" si="8"/>
        <v>3.4940498887191763E-3</v>
      </c>
      <c r="I11" s="31">
        <f t="shared" si="9"/>
        <v>0</v>
      </c>
      <c r="J11" s="31">
        <f t="shared" si="10"/>
        <v>2.8826174940318628E-3</v>
      </c>
      <c r="K11" s="27"/>
      <c r="L11" s="74"/>
      <c r="N11" s="66"/>
      <c r="O11" s="25"/>
      <c r="P11" s="27"/>
      <c r="Q11" s="25">
        <f t="shared" si="0"/>
        <v>5732.8</v>
      </c>
      <c r="R11" s="25">
        <f t="shared" si="1"/>
        <v>7801.630000000001</v>
      </c>
      <c r="S11" s="25">
        <f t="shared" si="11"/>
        <v>0</v>
      </c>
      <c r="T11" s="77">
        <f t="shared" si="2"/>
        <v>13534.43</v>
      </c>
      <c r="U11" s="77">
        <f t="shared" si="3"/>
        <v>27068.86</v>
      </c>
      <c r="V11" t="s">
        <v>253</v>
      </c>
      <c r="W11" s="220">
        <f>-90000/2</f>
        <v>-45000</v>
      </c>
      <c r="X11" s="220">
        <f t="shared" si="14"/>
        <v>-90000</v>
      </c>
      <c r="Y11" s="221">
        <f>-AA33</f>
        <v>-66414</v>
      </c>
      <c r="Z11" s="103">
        <f t="shared" si="12"/>
        <v>23586</v>
      </c>
      <c r="AB11" s="25">
        <f t="shared" si="4"/>
        <v>11465.6</v>
      </c>
      <c r="AC11" s="25">
        <f t="shared" si="5"/>
        <v>15603.260000000002</v>
      </c>
      <c r="AD11" s="25">
        <f t="shared" si="13"/>
        <v>0</v>
      </c>
      <c r="AE11" s="77">
        <f t="shared" si="6"/>
        <v>27068.86</v>
      </c>
    </row>
    <row r="12" spans="1:31" outlineLevel="1" x14ac:dyDescent="0.25">
      <c r="A12" s="24" t="s">
        <v>193</v>
      </c>
      <c r="B12" s="25">
        <v>87123.010000000009</v>
      </c>
      <c r="C12" s="25">
        <v>115278.5</v>
      </c>
      <c r="D12" s="68">
        <v>12414.36</v>
      </c>
      <c r="E12" s="30">
        <v>214815.87</v>
      </c>
      <c r="F12" s="26"/>
      <c r="G12" s="31">
        <f t="shared" si="7"/>
        <v>5.8074498408349121E-2</v>
      </c>
      <c r="H12" s="31">
        <f t="shared" si="8"/>
        <v>5.1628804505816549E-2</v>
      </c>
      <c r="I12" s="31">
        <f t="shared" si="9"/>
        <v>1.2902585178419317E-2</v>
      </c>
      <c r="J12" s="31">
        <f t="shared" si="10"/>
        <v>4.5752350476353593E-2</v>
      </c>
      <c r="K12" s="27"/>
      <c r="L12" s="69" t="s">
        <v>235</v>
      </c>
      <c r="M12" s="69"/>
      <c r="N12" s="70">
        <v>-41085</v>
      </c>
      <c r="O12" s="70">
        <f>D12-N12</f>
        <v>53499.360000000001</v>
      </c>
      <c r="P12" s="27"/>
      <c r="Q12" s="25">
        <f t="shared" si="0"/>
        <v>87123.010000000009</v>
      </c>
      <c r="R12" s="25">
        <f t="shared" si="1"/>
        <v>115278.5</v>
      </c>
      <c r="S12" s="68">
        <f>D12</f>
        <v>12414.36</v>
      </c>
      <c r="T12" s="77">
        <f t="shared" si="2"/>
        <v>214815.87</v>
      </c>
      <c r="U12" s="77">
        <f t="shared" si="3"/>
        <v>429631.74</v>
      </c>
      <c r="V12" t="s">
        <v>254</v>
      </c>
      <c r="W12" s="97">
        <f>'SORTED B VS P'!N212</f>
        <v>17884.740000000002</v>
      </c>
      <c r="X12" s="97">
        <f t="shared" si="14"/>
        <v>35769.480000000003</v>
      </c>
      <c r="Y12" s="97">
        <f t="shared" si="15"/>
        <v>35769.480000000003</v>
      </c>
      <c r="Z12" s="103">
        <f t="shared" si="12"/>
        <v>0</v>
      </c>
      <c r="AB12" s="25">
        <f t="shared" si="4"/>
        <v>174246.02000000002</v>
      </c>
      <c r="AC12" s="25">
        <f t="shared" si="5"/>
        <v>230557</v>
      </c>
      <c r="AD12" s="68"/>
      <c r="AE12" s="77">
        <f t="shared" si="6"/>
        <v>404803.02</v>
      </c>
    </row>
    <row r="13" spans="1:31" outlineLevel="1" x14ac:dyDescent="0.25">
      <c r="A13" s="24" t="s">
        <v>191</v>
      </c>
      <c r="B13" s="25">
        <v>186209.89</v>
      </c>
      <c r="C13" s="25">
        <v>202999.64</v>
      </c>
      <c r="D13" s="25">
        <v>82744.569999999992</v>
      </c>
      <c r="E13" s="30">
        <v>471954.10000000003</v>
      </c>
      <c r="F13" s="26"/>
      <c r="G13" s="31">
        <f t="shared" si="7"/>
        <v>0.12412387910408358</v>
      </c>
      <c r="H13" s="31">
        <f t="shared" si="8"/>
        <v>9.0915727809705513E-2</v>
      </c>
      <c r="I13" s="31">
        <f t="shared" si="9"/>
        <v>8.5998703314281166E-2</v>
      </c>
      <c r="J13" s="31">
        <f t="shared" si="10"/>
        <v>0.10051868789746322</v>
      </c>
      <c r="K13" s="27"/>
      <c r="P13" s="27"/>
      <c r="Q13" s="25">
        <f t="shared" si="0"/>
        <v>186209.89</v>
      </c>
      <c r="R13" s="25">
        <f t="shared" si="1"/>
        <v>202999.64</v>
      </c>
      <c r="S13" s="25">
        <f t="shared" si="11"/>
        <v>82744.569999999992</v>
      </c>
      <c r="T13" s="77">
        <f t="shared" si="2"/>
        <v>471954.10000000003</v>
      </c>
      <c r="U13" s="77">
        <f t="shared" si="3"/>
        <v>943908.20000000007</v>
      </c>
      <c r="V13" t="s">
        <v>255</v>
      </c>
      <c r="W13" s="97">
        <f>'SORTED B VS P'!N209</f>
        <v>0</v>
      </c>
      <c r="X13" s="97">
        <f t="shared" si="14"/>
        <v>0</v>
      </c>
      <c r="Y13" s="97">
        <f t="shared" si="15"/>
        <v>0</v>
      </c>
      <c r="Z13" s="103">
        <f t="shared" si="12"/>
        <v>0</v>
      </c>
      <c r="AB13" s="25">
        <f t="shared" si="4"/>
        <v>372419.78</v>
      </c>
      <c r="AC13" s="25">
        <f t="shared" si="5"/>
        <v>405999.28</v>
      </c>
      <c r="AD13" s="25">
        <f t="shared" ref="AD13:AD20" si="16">O13</f>
        <v>0</v>
      </c>
      <c r="AE13" s="77">
        <f t="shared" si="6"/>
        <v>778419.06</v>
      </c>
    </row>
    <row r="14" spans="1:31" outlineLevel="1" x14ac:dyDescent="0.25">
      <c r="A14" s="24" t="s">
        <v>194</v>
      </c>
      <c r="B14" s="25">
        <v>36556.54</v>
      </c>
      <c r="C14" s="25">
        <v>177818.79000000004</v>
      </c>
      <c r="D14" s="25"/>
      <c r="E14" s="39">
        <v>214375.33000000005</v>
      </c>
      <c r="F14" s="26"/>
      <c r="G14" s="31">
        <f t="shared" si="7"/>
        <v>2.4367876225175771E-2</v>
      </c>
      <c r="H14" s="31">
        <f t="shared" si="8"/>
        <v>7.9638193994290771E-2</v>
      </c>
      <c r="I14" s="31">
        <f t="shared" si="9"/>
        <v>0</v>
      </c>
      <c r="J14" s="31">
        <f t="shared" si="10"/>
        <v>4.5658522490186412E-2</v>
      </c>
      <c r="K14" s="27"/>
      <c r="P14" s="27"/>
      <c r="Q14" s="25">
        <f t="shared" si="0"/>
        <v>36556.54</v>
      </c>
      <c r="R14" s="25">
        <f t="shared" si="1"/>
        <v>177818.79000000004</v>
      </c>
      <c r="S14" s="25">
        <f t="shared" si="11"/>
        <v>0</v>
      </c>
      <c r="T14" s="77">
        <f t="shared" si="2"/>
        <v>214375.33000000005</v>
      </c>
      <c r="U14" s="77">
        <f t="shared" si="3"/>
        <v>428750.66000000009</v>
      </c>
      <c r="V14" t="s">
        <v>256</v>
      </c>
      <c r="W14" s="101">
        <v>0</v>
      </c>
      <c r="X14" s="101">
        <f t="shared" si="14"/>
        <v>0</v>
      </c>
      <c r="Y14" s="97">
        <f t="shared" si="15"/>
        <v>0</v>
      </c>
      <c r="Z14" s="103">
        <f t="shared" si="12"/>
        <v>0</v>
      </c>
      <c r="AB14" s="25">
        <f t="shared" si="4"/>
        <v>73113.08</v>
      </c>
      <c r="AC14" s="25">
        <f t="shared" si="5"/>
        <v>355637.58000000007</v>
      </c>
      <c r="AD14" s="25">
        <f t="shared" si="16"/>
        <v>0</v>
      </c>
      <c r="AE14" s="77">
        <f t="shared" si="6"/>
        <v>428750.66000000009</v>
      </c>
    </row>
    <row r="15" spans="1:31" outlineLevel="1" x14ac:dyDescent="0.25">
      <c r="A15" s="24" t="s">
        <v>179</v>
      </c>
      <c r="B15" s="25">
        <v>40430.47</v>
      </c>
      <c r="C15" s="25">
        <v>340312.03</v>
      </c>
      <c r="D15" s="25">
        <v>19495.37</v>
      </c>
      <c r="E15" s="39">
        <v>400237.87</v>
      </c>
      <c r="F15" s="26"/>
      <c r="G15" s="31">
        <f t="shared" si="7"/>
        <v>2.6950162370007726E-2</v>
      </c>
      <c r="H15" s="31">
        <f t="shared" si="8"/>
        <v>0.15241266383451882</v>
      </c>
      <c r="I15" s="31">
        <f t="shared" si="9"/>
        <v>2.0262073277220943E-2</v>
      </c>
      <c r="J15" s="31">
        <f t="shared" si="10"/>
        <v>8.5244275956656498E-2</v>
      </c>
      <c r="K15" s="27"/>
      <c r="P15" s="27"/>
      <c r="Q15" s="25">
        <f t="shared" si="0"/>
        <v>40430.47</v>
      </c>
      <c r="R15" s="25">
        <f t="shared" si="1"/>
        <v>340312.03</v>
      </c>
      <c r="S15" s="25">
        <f t="shared" si="11"/>
        <v>19495.37</v>
      </c>
      <c r="T15" s="77">
        <f t="shared" si="2"/>
        <v>400237.87</v>
      </c>
      <c r="U15" s="77">
        <f t="shared" si="3"/>
        <v>800475.74</v>
      </c>
      <c r="V15" t="s">
        <v>257</v>
      </c>
      <c r="W15" s="97">
        <v>0</v>
      </c>
      <c r="X15" s="97">
        <f t="shared" si="14"/>
        <v>0</v>
      </c>
      <c r="Y15" s="97">
        <f t="shared" si="15"/>
        <v>0</v>
      </c>
      <c r="Z15" s="103">
        <f t="shared" si="12"/>
        <v>0</v>
      </c>
      <c r="AB15" s="25">
        <f t="shared" si="4"/>
        <v>80860.94</v>
      </c>
      <c r="AC15" s="25">
        <f t="shared" si="5"/>
        <v>680624.06</v>
      </c>
      <c r="AD15" s="25">
        <f t="shared" si="16"/>
        <v>0</v>
      </c>
      <c r="AE15" s="77">
        <f t="shared" si="6"/>
        <v>761485</v>
      </c>
    </row>
    <row r="16" spans="1:31" outlineLevel="1" x14ac:dyDescent="0.25">
      <c r="A16" s="24" t="s">
        <v>195</v>
      </c>
      <c r="B16" s="25">
        <v>971.64</v>
      </c>
      <c r="C16" s="25">
        <v>12346.79</v>
      </c>
      <c r="D16" s="25">
        <v>825.31</v>
      </c>
      <c r="E16" s="39">
        <v>14143.74</v>
      </c>
      <c r="F16" s="26"/>
      <c r="G16" s="31">
        <f t="shared" si="7"/>
        <v>6.4767626409473612E-4</v>
      </c>
      <c r="H16" s="31">
        <f t="shared" si="8"/>
        <v>5.5296521657062737E-3</v>
      </c>
      <c r="I16" s="31">
        <f t="shared" si="9"/>
        <v>8.5776734149817192E-4</v>
      </c>
      <c r="J16" s="31">
        <f t="shared" si="10"/>
        <v>3.0123907955516573E-3</v>
      </c>
      <c r="K16" s="27"/>
      <c r="P16" s="27"/>
      <c r="Q16" s="25">
        <f t="shared" si="0"/>
        <v>971.64</v>
      </c>
      <c r="R16" s="25">
        <f t="shared" si="1"/>
        <v>12346.79</v>
      </c>
      <c r="S16" s="25">
        <f t="shared" si="11"/>
        <v>825.31</v>
      </c>
      <c r="T16" s="77">
        <f t="shared" si="2"/>
        <v>14143.74</v>
      </c>
      <c r="U16" s="77">
        <f t="shared" si="3"/>
        <v>28287.48</v>
      </c>
      <c r="V16" t="s">
        <v>258</v>
      </c>
      <c r="W16" s="97">
        <v>0</v>
      </c>
      <c r="X16" s="97">
        <f t="shared" si="14"/>
        <v>0</v>
      </c>
      <c r="Y16" s="97">
        <f t="shared" si="15"/>
        <v>0</v>
      </c>
      <c r="Z16" s="103">
        <f t="shared" si="12"/>
        <v>0</v>
      </c>
      <c r="AB16" s="25">
        <f t="shared" si="4"/>
        <v>1943.28</v>
      </c>
      <c r="AC16" s="25">
        <f t="shared" si="5"/>
        <v>24693.58</v>
      </c>
      <c r="AD16" s="25">
        <f t="shared" si="16"/>
        <v>0</v>
      </c>
      <c r="AE16" s="77">
        <f t="shared" si="6"/>
        <v>26636.86</v>
      </c>
    </row>
    <row r="17" spans="1:31" outlineLevel="1" x14ac:dyDescent="0.25">
      <c r="A17" s="24" t="s">
        <v>196</v>
      </c>
      <c r="B17" s="25">
        <v>-186087.67999999999</v>
      </c>
      <c r="C17" s="25">
        <v>-145148.51999999999</v>
      </c>
      <c r="D17" s="25"/>
      <c r="E17" s="26">
        <v>-331236.19999999995</v>
      </c>
      <c r="F17" s="339" t="s">
        <v>248</v>
      </c>
      <c r="G17" s="31">
        <f t="shared" si="7"/>
        <v>-0.12404241630280427</v>
      </c>
      <c r="H17" s="31">
        <f t="shared" si="8"/>
        <v>-6.5006437136054016E-2</v>
      </c>
      <c r="I17" s="31">
        <f t="shared" si="9"/>
        <v>0</v>
      </c>
      <c r="J17" s="31">
        <f t="shared" si="10"/>
        <v>-7.0548021954130083E-2</v>
      </c>
      <c r="K17" s="27"/>
      <c r="P17" s="27"/>
      <c r="Q17" s="25">
        <f t="shared" si="0"/>
        <v>-186087.67999999999</v>
      </c>
      <c r="R17" s="25">
        <f t="shared" si="1"/>
        <v>-145148.51999999999</v>
      </c>
      <c r="S17" s="25">
        <f t="shared" si="11"/>
        <v>0</v>
      </c>
      <c r="T17" s="77">
        <f t="shared" si="2"/>
        <v>-331236.19999999995</v>
      </c>
      <c r="U17" s="77">
        <f t="shared" si="3"/>
        <v>-662472.39999999991</v>
      </c>
      <c r="V17" t="s">
        <v>260</v>
      </c>
      <c r="W17" s="97">
        <v>50000</v>
      </c>
      <c r="X17" s="97">
        <f t="shared" si="14"/>
        <v>100000</v>
      </c>
      <c r="Y17" s="97">
        <f t="shared" si="15"/>
        <v>100000</v>
      </c>
      <c r="Z17" s="103">
        <f t="shared" si="12"/>
        <v>0</v>
      </c>
      <c r="AB17" s="25">
        <f t="shared" si="4"/>
        <v>-372175.35999999999</v>
      </c>
      <c r="AC17" s="25">
        <f t="shared" si="5"/>
        <v>-290297.03999999998</v>
      </c>
      <c r="AD17" s="25">
        <f t="shared" si="16"/>
        <v>0</v>
      </c>
      <c r="AE17" s="77">
        <f t="shared" si="6"/>
        <v>-662472.39999999991</v>
      </c>
    </row>
    <row r="18" spans="1:31" outlineLevel="1" x14ac:dyDescent="0.25">
      <c r="A18" s="24" t="s">
        <v>197</v>
      </c>
      <c r="B18" s="25">
        <v>145827.64000000001</v>
      </c>
      <c r="C18" s="25">
        <v>125457.9</v>
      </c>
      <c r="D18" s="25"/>
      <c r="E18" s="26">
        <v>271285.54000000004</v>
      </c>
      <c r="F18" s="339"/>
      <c r="G18" s="31">
        <f t="shared" si="7"/>
        <v>9.720585924514441E-2</v>
      </c>
      <c r="H18" s="31">
        <f t="shared" si="8"/>
        <v>5.6187766086566719E-2</v>
      </c>
      <c r="I18" s="31">
        <f t="shared" si="9"/>
        <v>0</v>
      </c>
      <c r="J18" s="31">
        <f t="shared" si="10"/>
        <v>5.777948856966128E-2</v>
      </c>
      <c r="K18" s="27"/>
      <c r="P18" s="27"/>
      <c r="Q18" s="25">
        <f t="shared" si="0"/>
        <v>145827.64000000001</v>
      </c>
      <c r="R18" s="25">
        <f t="shared" si="1"/>
        <v>125457.9</v>
      </c>
      <c r="S18" s="25">
        <f t="shared" si="11"/>
        <v>0</v>
      </c>
      <c r="T18" s="77">
        <f t="shared" si="2"/>
        <v>271285.54000000004</v>
      </c>
      <c r="U18" s="77">
        <f t="shared" si="3"/>
        <v>542571.08000000007</v>
      </c>
      <c r="V18" s="106" t="s">
        <v>422</v>
      </c>
      <c r="X18">
        <f t="shared" ref="X18:X22" si="17">W18*2</f>
        <v>0</v>
      </c>
      <c r="Y18" s="97">
        <f t="shared" si="15"/>
        <v>0</v>
      </c>
      <c r="Z18" s="103">
        <f t="shared" si="12"/>
        <v>0</v>
      </c>
      <c r="AB18" s="25">
        <f t="shared" si="4"/>
        <v>291655.28000000003</v>
      </c>
      <c r="AC18" s="25">
        <f t="shared" si="5"/>
        <v>250915.8</v>
      </c>
      <c r="AD18" s="25">
        <f t="shared" si="16"/>
        <v>0</v>
      </c>
      <c r="AE18" s="77">
        <f t="shared" si="6"/>
        <v>542571.08000000007</v>
      </c>
    </row>
    <row r="19" spans="1:31" outlineLevel="1" x14ac:dyDescent="0.25">
      <c r="A19" s="24" t="s">
        <v>199</v>
      </c>
      <c r="B19" s="25">
        <v>-2555.0700000000002</v>
      </c>
      <c r="C19" s="25">
        <v>-56104.61</v>
      </c>
      <c r="D19" s="25">
        <v>-21843</v>
      </c>
      <c r="E19" s="26">
        <v>-80502.679999999993</v>
      </c>
      <c r="F19" s="339"/>
      <c r="G19" s="31">
        <f t="shared" si="7"/>
        <v>-1.7031598041461215E-3</v>
      </c>
      <c r="H19" s="31">
        <f t="shared" si="8"/>
        <v>-2.5127096046227874E-2</v>
      </c>
      <c r="I19" s="31">
        <f t="shared" si="9"/>
        <v>-2.2702029589299257E-2</v>
      </c>
      <c r="J19" s="31">
        <f t="shared" si="10"/>
        <v>-1.7145785502932071E-2</v>
      </c>
      <c r="K19" s="27"/>
      <c r="P19" s="27"/>
      <c r="Q19" s="25">
        <f t="shared" si="0"/>
        <v>-2555.0700000000002</v>
      </c>
      <c r="R19" s="25">
        <f t="shared" si="1"/>
        <v>-56104.61</v>
      </c>
      <c r="S19" s="25">
        <f t="shared" si="11"/>
        <v>-21843</v>
      </c>
      <c r="T19" s="77">
        <f t="shared" si="2"/>
        <v>-80502.679999999993</v>
      </c>
      <c r="U19" s="77">
        <f t="shared" si="3"/>
        <v>-161005.35999999999</v>
      </c>
      <c r="V19" t="s">
        <v>423</v>
      </c>
      <c r="W19" s="97"/>
      <c r="X19" s="97">
        <f t="shared" si="17"/>
        <v>0</v>
      </c>
      <c r="Y19" s="97">
        <f t="shared" si="15"/>
        <v>0</v>
      </c>
      <c r="Z19" s="103">
        <f t="shared" si="12"/>
        <v>0</v>
      </c>
      <c r="AB19" s="25">
        <f t="shared" si="4"/>
        <v>-5110.1400000000003</v>
      </c>
      <c r="AC19" s="25">
        <f t="shared" si="5"/>
        <v>-112209.22</v>
      </c>
      <c r="AD19" s="25">
        <f t="shared" si="16"/>
        <v>0</v>
      </c>
      <c r="AE19" s="77">
        <f t="shared" si="6"/>
        <v>-117319.36</v>
      </c>
    </row>
    <row r="20" spans="1:31" outlineLevel="1" x14ac:dyDescent="0.25">
      <c r="A20" s="24" t="s">
        <v>201</v>
      </c>
      <c r="B20" s="25">
        <v>4.33</v>
      </c>
      <c r="C20" s="68">
        <v>-132001.54999999999</v>
      </c>
      <c r="D20" s="25"/>
      <c r="E20" s="26">
        <v>-131997.22</v>
      </c>
      <c r="F20" s="339"/>
      <c r="G20" s="31">
        <f t="shared" si="7"/>
        <v>2.8862935074000736E-6</v>
      </c>
      <c r="H20" s="31">
        <f t="shared" si="8"/>
        <v>-5.9118415137382661E-2</v>
      </c>
      <c r="I20" s="31">
        <f t="shared" si="9"/>
        <v>0</v>
      </c>
      <c r="J20" s="31">
        <f t="shared" si="10"/>
        <v>-2.8113300341098404E-2</v>
      </c>
      <c r="K20" s="27"/>
      <c r="P20" s="27"/>
      <c r="Q20" s="25">
        <f>B20</f>
        <v>4.33</v>
      </c>
      <c r="R20" s="68">
        <v>0</v>
      </c>
      <c r="S20" s="25">
        <f t="shared" si="11"/>
        <v>0</v>
      </c>
      <c r="T20" s="77">
        <f t="shared" si="2"/>
        <v>4.33</v>
      </c>
      <c r="X20">
        <f t="shared" si="17"/>
        <v>0</v>
      </c>
      <c r="Y20" s="97">
        <f t="shared" si="15"/>
        <v>0</v>
      </c>
      <c r="Z20" s="103">
        <f t="shared" si="12"/>
        <v>0</v>
      </c>
      <c r="AB20" s="25">
        <f t="shared" si="4"/>
        <v>8.66</v>
      </c>
      <c r="AC20" s="25">
        <f t="shared" si="5"/>
        <v>0</v>
      </c>
      <c r="AD20" s="25">
        <f t="shared" si="16"/>
        <v>0</v>
      </c>
      <c r="AE20" s="77">
        <f t="shared" si="6"/>
        <v>8.66</v>
      </c>
    </row>
    <row r="21" spans="1:31" outlineLevel="1" x14ac:dyDescent="0.25">
      <c r="A21" s="24" t="s">
        <v>202</v>
      </c>
      <c r="B21" s="25">
        <v>0</v>
      </c>
      <c r="C21" s="25">
        <v>0</v>
      </c>
      <c r="D21" s="25">
        <v>0</v>
      </c>
      <c r="E21" s="26">
        <v>0</v>
      </c>
      <c r="F21" s="339"/>
      <c r="G21" s="31">
        <f t="shared" si="7"/>
        <v>0</v>
      </c>
      <c r="H21" s="31">
        <f t="shared" si="8"/>
        <v>0</v>
      </c>
      <c r="I21" s="31">
        <f t="shared" si="9"/>
        <v>0</v>
      </c>
      <c r="J21" s="31">
        <f t="shared" si="10"/>
        <v>0</v>
      </c>
      <c r="K21" s="27"/>
      <c r="P21" s="27"/>
      <c r="Q21" s="49">
        <f>B21</f>
        <v>0</v>
      </c>
      <c r="R21" s="49">
        <f>C21</f>
        <v>0</v>
      </c>
      <c r="S21" s="73"/>
      <c r="T21" s="78">
        <f t="shared" si="2"/>
        <v>0</v>
      </c>
      <c r="X21">
        <f t="shared" si="17"/>
        <v>0</v>
      </c>
      <c r="Y21" s="97">
        <f t="shared" si="15"/>
        <v>0</v>
      </c>
      <c r="Z21" s="103">
        <f t="shared" si="12"/>
        <v>0</v>
      </c>
      <c r="AB21" s="25">
        <f t="shared" si="4"/>
        <v>0</v>
      </c>
      <c r="AC21" s="25">
        <f t="shared" si="5"/>
        <v>0</v>
      </c>
      <c r="AD21" s="73"/>
      <c r="AE21" s="78">
        <f t="shared" si="6"/>
        <v>0</v>
      </c>
    </row>
    <row r="22" spans="1:31" outlineLevel="1" x14ac:dyDescent="0.25">
      <c r="A22" s="24" t="s">
        <v>209</v>
      </c>
      <c r="B22" s="25">
        <v>13058.859999999948</v>
      </c>
      <c r="C22" s="25">
        <v>49695.920000000391</v>
      </c>
      <c r="D22" s="25">
        <v>-530582.91000000015</v>
      </c>
      <c r="E22" s="26">
        <v>-467828.12999999966</v>
      </c>
      <c r="F22" s="70">
        <f>'[3]2-T5Y IS (Cont.)'!$D$70</f>
        <v>467828</v>
      </c>
      <c r="G22" s="31">
        <f t="shared" si="7"/>
        <v>8.7047812545141736E-3</v>
      </c>
      <c r="H22" s="31">
        <f t="shared" si="8"/>
        <v>2.2256890386470319E-2</v>
      </c>
      <c r="I22" s="31">
        <f t="shared" si="9"/>
        <v>-0.55144938526743159</v>
      </c>
      <c r="J22" s="31">
        <f t="shared" si="10"/>
        <v>-9.9639922164303299E-2</v>
      </c>
      <c r="K22" s="27"/>
      <c r="P22" s="27"/>
      <c r="Q22" s="25">
        <f>SUM(Q6:Q21)</f>
        <v>13058.859999999948</v>
      </c>
      <c r="R22" s="25">
        <f>SUM(R6:R21)</f>
        <v>181697.47000000038</v>
      </c>
      <c r="S22" s="25">
        <f>SUM(S6:S21)</f>
        <v>-438698.23999999999</v>
      </c>
      <c r="T22" s="77">
        <f>SUM(T6:T21)</f>
        <v>-243941.90999999971</v>
      </c>
      <c r="U22" s="77">
        <f>SUM(U6:U21)</f>
        <v>-487892.4799999994</v>
      </c>
      <c r="W22" s="73"/>
      <c r="X22" s="73">
        <f t="shared" si="17"/>
        <v>0</v>
      </c>
      <c r="Y22" s="98">
        <f t="shared" si="15"/>
        <v>0</v>
      </c>
      <c r="Z22" s="103">
        <f t="shared" si="12"/>
        <v>0</v>
      </c>
      <c r="AB22" s="25">
        <f>SUM(AB6:AB21)</f>
        <v>26117.719999999896</v>
      </c>
      <c r="AC22" s="25">
        <f>SUM(AC6:AC21)</f>
        <v>363394.94000000076</v>
      </c>
      <c r="AD22" s="25">
        <f ca="1">SUM(AD6:AD21)</f>
        <v>-438698.23999999999</v>
      </c>
      <c r="AE22" s="77">
        <f ca="1">SUM(AE6:AE21)</f>
        <v>-243941.90999999971</v>
      </c>
    </row>
    <row r="23" spans="1:31" s="93" customFormat="1" ht="15.75" outlineLevel="1" thickBot="1" x14ac:dyDescent="0.3">
      <c r="A23" s="88" t="s">
        <v>245</v>
      </c>
      <c r="B23" s="89">
        <f>-B22*2</f>
        <v>-26117.719999999896</v>
      </c>
      <c r="C23" s="89">
        <f>-(C22-C20)*2</f>
        <v>-363394.94000000076</v>
      </c>
      <c r="D23" s="89">
        <f t="shared" ref="D23" si="18">-D22*2</f>
        <v>1061165.8200000003</v>
      </c>
      <c r="E23" s="89">
        <f>-(E22-E20)*2</f>
        <v>671661.81999999937</v>
      </c>
      <c r="F23" s="96">
        <f>(F22+C20)*2</f>
        <v>671652.9</v>
      </c>
      <c r="G23" s="90" t="s">
        <v>219</v>
      </c>
      <c r="H23" s="91"/>
      <c r="I23" s="91"/>
      <c r="J23" s="91"/>
      <c r="K23" s="92"/>
      <c r="L23" s="91" t="s">
        <v>243</v>
      </c>
      <c r="M23" s="91"/>
      <c r="N23" s="89">
        <f>N6+N12</f>
        <v>-132969.67000000004</v>
      </c>
      <c r="P23" s="92"/>
      <c r="Q23" s="89">
        <f>-Q22*2</f>
        <v>-26117.719999999896</v>
      </c>
      <c r="R23" s="89">
        <f t="shared" ref="R23:U23" si="19">-R22*2</f>
        <v>-363394.94000000076</v>
      </c>
      <c r="S23" s="89">
        <f t="shared" si="19"/>
        <v>877396.47999999998</v>
      </c>
      <c r="T23" s="94">
        <f>-T22*2</f>
        <v>487883.81999999942</v>
      </c>
      <c r="U23" s="94">
        <f t="shared" si="19"/>
        <v>975784.9599999988</v>
      </c>
      <c r="V23" s="89" t="s">
        <v>262</v>
      </c>
      <c r="W23" s="89">
        <f>SUM(W8:W22)</f>
        <v>465302.27</v>
      </c>
      <c r="X23" s="89">
        <f>SUM(X8:X22)</f>
        <v>930604.54</v>
      </c>
      <c r="Y23" s="89">
        <f>SUM(Y8:Y22)</f>
        <v>773990.3599999994</v>
      </c>
      <c r="Z23" s="103">
        <f t="shared" si="12"/>
        <v>-156614.18000000063</v>
      </c>
      <c r="AB23" s="89">
        <f>-AB22*2</f>
        <v>-52235.439999999791</v>
      </c>
      <c r="AC23" s="89">
        <f t="shared" ref="AC23:AD23" si="20">-AC22*2</f>
        <v>-726789.88000000152</v>
      </c>
      <c r="AD23" s="89">
        <f t="shared" ca="1" si="20"/>
        <v>877396.47999999998</v>
      </c>
      <c r="AE23" s="94">
        <f ca="1">-AE22*2</f>
        <v>487883.81999999942</v>
      </c>
    </row>
    <row r="24" spans="1:31" outlineLevel="1" x14ac:dyDescent="0.25">
      <c r="A24" s="24">
        <v>2025</v>
      </c>
      <c r="B24" s="25">
        <f>[2]Pivot!B$22</f>
        <v>-188567.02000000002</v>
      </c>
      <c r="C24" s="25">
        <f>[2]Pivot!C$22</f>
        <v>507482.25999999937</v>
      </c>
      <c r="D24" s="25">
        <f>[2]Pivot!D$22</f>
        <v>-393948.69000000018</v>
      </c>
      <c r="E24" s="25">
        <f>[2]Pivot!E$22</f>
        <v>-75033.44999999975</v>
      </c>
      <c r="F24" s="96">
        <f>E22-C20</f>
        <v>-335826.57999999967</v>
      </c>
      <c r="K24" s="27"/>
      <c r="P24" s="27"/>
      <c r="Q24" s="105" t="s">
        <v>264</v>
      </c>
      <c r="R24" s="57"/>
      <c r="S24" s="103" t="s">
        <v>219</v>
      </c>
      <c r="T24" s="104">
        <f>T23-E23</f>
        <v>-183777.99999999994</v>
      </c>
      <c r="V24" s="45" t="s">
        <v>263</v>
      </c>
      <c r="X24" s="95">
        <f>3.5*X23</f>
        <v>3257115.89</v>
      </c>
      <c r="Y24" s="95">
        <f>3.5*Y23</f>
        <v>2708966.2599999979</v>
      </c>
      <c r="Z24" s="97">
        <f>Y24-X24</f>
        <v>-548149.63000000222</v>
      </c>
      <c r="AB24" s="105" t="s">
        <v>264</v>
      </c>
      <c r="AC24" s="57"/>
      <c r="AD24" s="103" t="s">
        <v>219</v>
      </c>
      <c r="AE24" s="104">
        <f ca="1">AE23-P23</f>
        <v>-183777.99999999994</v>
      </c>
    </row>
    <row r="25" spans="1:31" x14ac:dyDescent="0.25">
      <c r="A25" s="24"/>
      <c r="B25" s="25"/>
      <c r="C25" s="25"/>
      <c r="D25" s="25"/>
      <c r="E25" s="26"/>
      <c r="F25" s="26"/>
      <c r="K25" s="27"/>
      <c r="P25" s="27"/>
      <c r="V25" s="106" t="s">
        <v>421</v>
      </c>
    </row>
    <row r="26" spans="1:31" ht="16.899999999999999" customHeight="1" x14ac:dyDescent="0.25">
      <c r="A26" s="61" t="s">
        <v>222</v>
      </c>
      <c r="B26" s="25"/>
      <c r="D26" s="46"/>
      <c r="G26" t="s">
        <v>272</v>
      </c>
      <c r="Q26" t="s">
        <v>266</v>
      </c>
    </row>
    <row r="27" spans="1:31" x14ac:dyDescent="0.25">
      <c r="A27" s="45" t="str">
        <f t="shared" ref="A27:A43" si="21">A6</f>
        <v>1. Sales</v>
      </c>
      <c r="B27" s="26">
        <f t="shared" ref="B27:E40" si="22">B6*2</f>
        <v>-3000387.86</v>
      </c>
      <c r="C27" s="26">
        <f t="shared" si="22"/>
        <v>-4465666.0599999996</v>
      </c>
      <c r="D27" s="26">
        <f t="shared" si="22"/>
        <v>-1924321.34</v>
      </c>
      <c r="E27" s="26">
        <f t="shared" si="22"/>
        <v>-9390375.2599999998</v>
      </c>
      <c r="F27" s="26"/>
      <c r="G27" s="55">
        <f>B27/[2]Pivot!B5-1</f>
        <v>-0.11822123402099038</v>
      </c>
      <c r="H27" s="55">
        <f>C27/[2]Pivot!C5-1</f>
        <v>4.812564491626814E-2</v>
      </c>
      <c r="I27" s="55">
        <f>D27/[2]Pivot!D5-1</f>
        <v>1.2114666636388578</v>
      </c>
      <c r="J27" s="55">
        <f>E27/[2]Pivot!E5-1</f>
        <v>0.10042202158201596</v>
      </c>
      <c r="O27" s="45"/>
      <c r="Q27" t="s">
        <v>265</v>
      </c>
    </row>
    <row r="28" spans="1:31" ht="15.75" thickBot="1" x14ac:dyDescent="0.3">
      <c r="A28" t="str">
        <f t="shared" si="21"/>
        <v>2. Variable cost Labor</v>
      </c>
      <c r="B28" s="25">
        <f t="shared" si="22"/>
        <v>686376.24</v>
      </c>
      <c r="C28" s="25">
        <f t="shared" si="22"/>
        <v>996513.02</v>
      </c>
      <c r="D28" s="25">
        <f t="shared" si="22"/>
        <v>631506.16</v>
      </c>
      <c r="E28" s="25">
        <f t="shared" si="22"/>
        <v>2314395.42</v>
      </c>
      <c r="F28" s="25"/>
      <c r="G28" s="20">
        <f>G7-[2]Pivot!F6</f>
        <v>2.7699236319948334E-2</v>
      </c>
      <c r="H28" s="20">
        <f>H7-[2]Pivot!G6</f>
        <v>-6.6119333704392491E-4</v>
      </c>
      <c r="I28" s="20">
        <f>I7-[2]Pivot!H6</f>
        <v>-1.7588736923933979E-2</v>
      </c>
      <c r="J28" s="20">
        <f>J7-[2]Pivot!I6</f>
        <v>1.9288971535425803E-2</v>
      </c>
      <c r="L28" s="106" t="s">
        <v>279</v>
      </c>
      <c r="Q28" t="s">
        <v>267</v>
      </c>
    </row>
    <row r="29" spans="1:31" x14ac:dyDescent="0.25">
      <c r="A29" t="str">
        <f t="shared" si="21"/>
        <v>2. Variable cost Mat</v>
      </c>
      <c r="B29" s="25">
        <f t="shared" si="22"/>
        <v>1711702.2</v>
      </c>
      <c r="C29" s="25">
        <f t="shared" si="22"/>
        <v>2286821.6</v>
      </c>
      <c r="D29" s="25">
        <f t="shared" si="22"/>
        <v>44376.14</v>
      </c>
      <c r="E29" s="25">
        <f t="shared" si="22"/>
        <v>4042899.94</v>
      </c>
      <c r="F29" s="25"/>
      <c r="G29" s="20">
        <f>G8-[2]Pivot!F7</f>
        <v>2.8061848681763646E-2</v>
      </c>
      <c r="H29" s="20">
        <f>H8-[2]Pivot!G7</f>
        <v>5.7809978811815821E-3</v>
      </c>
      <c r="I29" s="20">
        <f>I8-[2]Pivot!H7</f>
        <v>-4.2176287903475107E-3</v>
      </c>
      <c r="J29" s="20">
        <f>J8-[2]Pivot!I7</f>
        <v>-4.1329143880725561E-2</v>
      </c>
      <c r="Q29" t="s">
        <v>268</v>
      </c>
      <c r="U29" s="45" t="s">
        <v>334</v>
      </c>
      <c r="X29" s="21" t="s">
        <v>322</v>
      </c>
      <c r="Y29" s="22"/>
      <c r="Z29" s="137" t="s">
        <v>321</v>
      </c>
      <c r="AA29" s="138"/>
    </row>
    <row r="30" spans="1:31" ht="15.75" thickBot="1" x14ac:dyDescent="0.3">
      <c r="A30" t="str">
        <f t="shared" si="21"/>
        <v>2a. Variable cost Mat</v>
      </c>
      <c r="B30" s="25">
        <f t="shared" si="22"/>
        <v>0</v>
      </c>
      <c r="C30" s="25">
        <f t="shared" si="22"/>
        <v>-39214.26</v>
      </c>
      <c r="D30" s="25">
        <f t="shared" si="22"/>
        <v>0</v>
      </c>
      <c r="E30" s="25">
        <f t="shared" si="22"/>
        <v>-39214.26</v>
      </c>
      <c r="F30" s="25"/>
      <c r="G30" s="20">
        <f>G9-[2]Pivot!F8</f>
        <v>0</v>
      </c>
      <c r="H30" s="20">
        <f>H9-[2]Pivot!G8</f>
        <v>3.5708312855650681E-3</v>
      </c>
      <c r="I30" s="20">
        <f>I9-[2]Pivot!H8</f>
        <v>0</v>
      </c>
      <c r="J30" s="20">
        <f>J9-[2]Pivot!I8</f>
        <v>1.9912277721189815E-3</v>
      </c>
      <c r="Q30" t="s">
        <v>269</v>
      </c>
      <c r="U30" s="45" t="s">
        <v>333</v>
      </c>
      <c r="X30" s="139" t="s">
        <v>320</v>
      </c>
      <c r="Y30" s="140" t="s">
        <v>325</v>
      </c>
      <c r="Z30" s="141" t="s">
        <v>330</v>
      </c>
      <c r="AA30" s="142" t="s">
        <v>331</v>
      </c>
    </row>
    <row r="31" spans="1:31" x14ac:dyDescent="0.25">
      <c r="A31" t="str">
        <f t="shared" si="21"/>
        <v>2a. Variable cost Mat Out/Env</v>
      </c>
      <c r="B31" s="25">
        <f t="shared" si="22"/>
        <v>0</v>
      </c>
      <c r="C31" s="25">
        <f t="shared" si="22"/>
        <v>23416.34</v>
      </c>
      <c r="D31" s="25">
        <f t="shared" si="22"/>
        <v>0</v>
      </c>
      <c r="E31" s="25">
        <f t="shared" si="22"/>
        <v>23416.34</v>
      </c>
      <c r="F31" s="25"/>
      <c r="G31" s="20">
        <f>G10-[2]Pivot!F9</f>
        <v>-1.5188439138852266E-4</v>
      </c>
      <c r="H31" s="20">
        <f>H10-[2]Pivot!G9</f>
        <v>-1.6654386119445723E-3</v>
      </c>
      <c r="I31" s="20">
        <f>I10-[2]Pivot!H9</f>
        <v>0</v>
      </c>
      <c r="J31" s="20">
        <f>J10-[2]Pivot!I9</f>
        <v>-1.0165140234664853E-3</v>
      </c>
    </row>
    <row r="32" spans="1:31" ht="15.75" thickBot="1" x14ac:dyDescent="0.3">
      <c r="A32" t="str">
        <f t="shared" si="21"/>
        <v>8c. Frt Exp</v>
      </c>
      <c r="B32" s="25">
        <f t="shared" si="22"/>
        <v>11465.6</v>
      </c>
      <c r="C32" s="25">
        <f t="shared" si="22"/>
        <v>15603.260000000002</v>
      </c>
      <c r="D32" s="25">
        <f t="shared" si="22"/>
        <v>0</v>
      </c>
      <c r="E32" s="25">
        <f t="shared" si="22"/>
        <v>27068.86</v>
      </c>
      <c r="F32" s="25"/>
      <c r="G32" s="20">
        <f>G11-[2]Pivot!F10</f>
        <v>-1.074285606793022E-3</v>
      </c>
      <c r="H32" s="20">
        <f>H11-[2]Pivot!G10</f>
        <v>4.2578790585130061E-5</v>
      </c>
      <c r="I32" s="20">
        <f>I11-[2]Pivot!H10</f>
        <v>-1.0336075768285085E-4</v>
      </c>
      <c r="J32" s="20">
        <f>J11-[2]Pivot!I10</f>
        <v>-8.0330677749630838E-4</v>
      </c>
      <c r="U32" s="148" t="s">
        <v>379</v>
      </c>
      <c r="V32" s="149"/>
    </row>
    <row r="33" spans="1:27" ht="16.5" thickTop="1" thickBot="1" x14ac:dyDescent="0.3">
      <c r="A33" t="str">
        <f t="shared" si="21"/>
        <v>3. Mfg IDL</v>
      </c>
      <c r="B33" s="25">
        <f t="shared" si="22"/>
        <v>174246.02000000002</v>
      </c>
      <c r="C33" s="25">
        <f t="shared" si="22"/>
        <v>230557</v>
      </c>
      <c r="D33" s="68">
        <f t="shared" si="22"/>
        <v>24828.720000000001</v>
      </c>
      <c r="E33" s="25">
        <f t="shared" si="22"/>
        <v>429631.74</v>
      </c>
      <c r="F33" s="25"/>
      <c r="G33" s="20">
        <f>G12-[2]Pivot!F11</f>
        <v>6.8685189719281045E-3</v>
      </c>
      <c r="H33" s="20">
        <f>H12-[2]Pivot!G11</f>
        <v>-1.3437408742119593E-2</v>
      </c>
      <c r="I33" s="59">
        <f>I12-[2]Pivot!H11</f>
        <v>-0.10173112608554506</v>
      </c>
      <c r="J33" s="20">
        <f>J12-[2]Pivot!I11</f>
        <v>-1.88415892591728E-2</v>
      </c>
      <c r="U33" s="148" t="s">
        <v>75</v>
      </c>
      <c r="V33" s="149"/>
      <c r="W33" s="149"/>
      <c r="X33" s="150"/>
      <c r="Y33" s="150">
        <f t="shared" ref="Y33:Z33" si="23">SUM(Y34:Y36)</f>
        <v>126000</v>
      </c>
      <c r="Z33" s="150">
        <f t="shared" si="23"/>
        <v>192414</v>
      </c>
      <c r="AA33" s="219">
        <f>SUM(AA34:AA36)</f>
        <v>66414</v>
      </c>
    </row>
    <row r="34" spans="1:27" ht="15.75" thickTop="1" x14ac:dyDescent="0.25">
      <c r="A34" t="str">
        <f t="shared" si="21"/>
        <v>4. Mfg OVHD</v>
      </c>
      <c r="B34" s="25">
        <f t="shared" si="22"/>
        <v>372419.78</v>
      </c>
      <c r="C34" s="25">
        <f t="shared" si="22"/>
        <v>405999.28</v>
      </c>
      <c r="D34" s="25">
        <f t="shared" si="22"/>
        <v>165489.13999999998</v>
      </c>
      <c r="E34" s="25">
        <f t="shared" si="22"/>
        <v>943908.20000000007</v>
      </c>
      <c r="F34" s="25"/>
      <c r="G34" s="20">
        <f>G13-[2]Pivot!F13</f>
        <v>1.0265792472237315E-2</v>
      </c>
      <c r="H34" s="20">
        <f>H13-[2]Pivot!G13</f>
        <v>5.6745890257395709E-3</v>
      </c>
      <c r="I34" s="20">
        <f>I13-[2]Pivot!H13</f>
        <v>-7.4265472715915493E-2</v>
      </c>
      <c r="J34" s="20">
        <f>J13-[2]Pivot!I13</f>
        <v>-3.7834037836262518E-3</v>
      </c>
      <c r="U34" s="132" t="s">
        <v>323</v>
      </c>
      <c r="V34" s="132" t="s">
        <v>207</v>
      </c>
      <c r="X34" s="66">
        <v>0</v>
      </c>
      <c r="Y34" s="136"/>
      <c r="Z34" s="133">
        <v>151914</v>
      </c>
      <c r="AA34" s="25">
        <v>151914</v>
      </c>
    </row>
    <row r="35" spans="1:27" x14ac:dyDescent="0.25">
      <c r="A35" t="str">
        <f t="shared" si="21"/>
        <v>7. Selling</v>
      </c>
      <c r="B35" s="25">
        <f t="shared" si="22"/>
        <v>73113.08</v>
      </c>
      <c r="C35" s="25">
        <f t="shared" si="22"/>
        <v>355637.58000000007</v>
      </c>
      <c r="D35" s="25">
        <f t="shared" si="22"/>
        <v>0</v>
      </c>
      <c r="E35" s="25">
        <f t="shared" si="22"/>
        <v>428750.66000000009</v>
      </c>
      <c r="F35" s="25"/>
      <c r="G35" s="20">
        <f>G14-[2]Pivot!F14</f>
        <v>2.7032889501947301E-3</v>
      </c>
      <c r="H35" s="20">
        <f>H14-[2]Pivot!G14</f>
        <v>-9.7894050012387462E-3</v>
      </c>
      <c r="I35" s="20">
        <f>I14-[2]Pivot!H14</f>
        <v>0</v>
      </c>
      <c r="J35" s="20">
        <f>J14-[2]Pivot!I14</f>
        <v>-7.630031245658711E-3</v>
      </c>
      <c r="U35" s="132" t="s">
        <v>323</v>
      </c>
      <c r="V35" s="132" t="s">
        <v>206</v>
      </c>
      <c r="X35" s="66">
        <v>48000</v>
      </c>
      <c r="Y35" s="136">
        <v>96000</v>
      </c>
      <c r="Z35" s="133">
        <v>0</v>
      </c>
      <c r="AA35" s="25">
        <v>-96000</v>
      </c>
    </row>
    <row r="36" spans="1:27" x14ac:dyDescent="0.25">
      <c r="A36" t="str">
        <f t="shared" si="21"/>
        <v>8. Admin</v>
      </c>
      <c r="B36" s="25">
        <f t="shared" si="22"/>
        <v>80860.94</v>
      </c>
      <c r="C36" s="25">
        <f t="shared" si="22"/>
        <v>680624.06</v>
      </c>
      <c r="D36" s="25">
        <f t="shared" si="22"/>
        <v>38990.74</v>
      </c>
      <c r="E36" s="25">
        <f t="shared" si="22"/>
        <v>800475.74</v>
      </c>
      <c r="F36" s="25"/>
      <c r="G36" s="20">
        <f>G15-[2]Pivot!F15</f>
        <v>-6.5113526303768945E-4</v>
      </c>
      <c r="H36" s="20">
        <f>H15-[2]Pivot!G15</f>
        <v>-3.1254649652578959E-2</v>
      </c>
      <c r="I36" s="20">
        <f>I15-[2]Pivot!H15</f>
        <v>-1.7910396822858558E-2</v>
      </c>
      <c r="J36" s="20">
        <f>J15-[2]Pivot!I15</f>
        <v>-2.1356513666192151E-2</v>
      </c>
      <c r="U36" s="132" t="s">
        <v>323</v>
      </c>
      <c r="V36" s="132" t="s">
        <v>324</v>
      </c>
      <c r="X36" s="145">
        <v>15000</v>
      </c>
      <c r="Y36" s="146">
        <v>30000</v>
      </c>
      <c r="Z36" s="147">
        <v>40500</v>
      </c>
      <c r="AA36" s="25">
        <v>10500</v>
      </c>
    </row>
    <row r="37" spans="1:27" x14ac:dyDescent="0.25">
      <c r="A37" t="str">
        <f t="shared" si="21"/>
        <v>8. Admin IT</v>
      </c>
      <c r="B37" s="25">
        <f t="shared" si="22"/>
        <v>1943.28</v>
      </c>
      <c r="C37" s="25">
        <f t="shared" si="22"/>
        <v>24693.58</v>
      </c>
      <c r="D37" s="25">
        <f t="shared" si="22"/>
        <v>1650.62</v>
      </c>
      <c r="E37" s="25">
        <f t="shared" si="22"/>
        <v>28287.48</v>
      </c>
      <c r="F37" s="25"/>
      <c r="G37" s="20">
        <f>G16-[2]Pivot!F16</f>
        <v>-1.6828979397431009E-4</v>
      </c>
      <c r="H37" s="20">
        <f>H16-[2]Pivot!G16</f>
        <v>8.1743290709224755E-4</v>
      </c>
      <c r="I37" s="20">
        <f>I16-[2]Pivot!H16</f>
        <v>-8.3706637662433136E-4</v>
      </c>
      <c r="J37" s="20">
        <f>J16-[2]Pivot!I16</f>
        <v>1.6146244772633281E-4</v>
      </c>
    </row>
    <row r="38" spans="1:27" x14ac:dyDescent="0.25">
      <c r="A38" t="str">
        <f t="shared" si="21"/>
        <v>8a. Frt Income</v>
      </c>
      <c r="B38" s="25">
        <f t="shared" si="22"/>
        <v>-372175.35999999999</v>
      </c>
      <c r="C38" s="25">
        <f t="shared" si="22"/>
        <v>-290297.03999999998</v>
      </c>
      <c r="D38" s="25">
        <f t="shared" si="22"/>
        <v>0</v>
      </c>
      <c r="E38" s="25">
        <f t="shared" si="22"/>
        <v>-662472.39999999991</v>
      </c>
      <c r="F38" s="25"/>
      <c r="G38" s="20">
        <f>G17-[2]Pivot!F17</f>
        <v>-3.3929055107747144E-2</v>
      </c>
      <c r="H38" s="20">
        <f>H17-[2]Pivot!G17</f>
        <v>8.0304336142830723E-4</v>
      </c>
      <c r="I38" s="20">
        <f>I17-[2]Pivot!H17</f>
        <v>0</v>
      </c>
      <c r="J38" s="20">
        <f>J17-[2]Pivot!I17</f>
        <v>-1.7581262773750245E-3</v>
      </c>
    </row>
    <row r="39" spans="1:27" x14ac:dyDescent="0.25">
      <c r="A39" t="str">
        <f t="shared" si="21"/>
        <v>8b. Frt Exp</v>
      </c>
      <c r="B39" s="25">
        <f t="shared" si="22"/>
        <v>291655.28000000003</v>
      </c>
      <c r="C39" s="25">
        <f t="shared" si="22"/>
        <v>250915.8</v>
      </c>
      <c r="D39" s="25">
        <f t="shared" si="22"/>
        <v>0</v>
      </c>
      <c r="E39" s="25">
        <f t="shared" si="22"/>
        <v>542571.08000000007</v>
      </c>
      <c r="F39" s="25"/>
      <c r="G39" s="20">
        <f>G18-[2]Pivot!F18</f>
        <v>2.4880993070616544E-2</v>
      </c>
      <c r="H39" s="20">
        <f>H18-[2]Pivot!G18</f>
        <v>3.7073920580797462E-3</v>
      </c>
      <c r="I39" s="20">
        <f>I18-[2]Pivot!H18</f>
        <v>0</v>
      </c>
      <c r="J39" s="20">
        <f>J18-[2]Pivot!I18</f>
        <v>2.7376810475735064E-3</v>
      </c>
    </row>
    <row r="40" spans="1:27" x14ac:dyDescent="0.25">
      <c r="A40" t="str">
        <f t="shared" si="21"/>
        <v>9. Scrap &amp; Misc Inc</v>
      </c>
      <c r="B40" s="25">
        <f t="shared" si="22"/>
        <v>-5110.1400000000003</v>
      </c>
      <c r="C40" s="25">
        <f t="shared" si="22"/>
        <v>-112209.22</v>
      </c>
      <c r="D40" s="62">
        <f t="shared" si="22"/>
        <v>-43686</v>
      </c>
      <c r="E40" s="25">
        <f t="shared" si="22"/>
        <v>-161005.35999999999</v>
      </c>
      <c r="F40" s="62" t="s">
        <v>274</v>
      </c>
      <c r="G40" s="20">
        <f>G19-[2]Pivot!F19</f>
        <v>-3.8598201392491894E-4</v>
      </c>
      <c r="H40" s="20">
        <f>H19-[2]Pivot!G19</f>
        <v>2.1395681111018895E-3</v>
      </c>
      <c r="I40" s="20">
        <f>I19-[2]Pivot!H19</f>
        <v>-1.7749470269372132E-2</v>
      </c>
      <c r="J40" s="20">
        <f>J19-[2]Pivot!I19</f>
        <v>-2.5016966531727341E-3</v>
      </c>
    </row>
    <row r="41" spans="1:27" x14ac:dyDescent="0.25">
      <c r="A41" t="str">
        <f t="shared" si="21"/>
        <v>91. Other Inc/Exp</v>
      </c>
      <c r="B41" s="25">
        <f>B20*2</f>
        <v>8.66</v>
      </c>
      <c r="C41" s="68">
        <v>0</v>
      </c>
      <c r="D41" s="25">
        <f>D20*2</f>
        <v>0</v>
      </c>
      <c r="E41" s="68">
        <v>0</v>
      </c>
      <c r="F41" s="25"/>
      <c r="G41" s="20">
        <f>G20-[2]Pivot!F20</f>
        <v>3.3682702529684201E-6</v>
      </c>
      <c r="H41" s="20">
        <v>0</v>
      </c>
      <c r="I41" s="20">
        <f>I20-[2]Pivot!H20</f>
        <v>0</v>
      </c>
      <c r="J41" s="20">
        <f>J20-[2]Pivot!I20</f>
        <v>-2.984211612544797E-2</v>
      </c>
    </row>
    <row r="42" spans="1:27" x14ac:dyDescent="0.25">
      <c r="A42" t="str">
        <f t="shared" si="21"/>
        <v>99. Elim</v>
      </c>
      <c r="B42" s="25">
        <f>B21*2</f>
        <v>0</v>
      </c>
      <c r="C42" s="25">
        <f>C21*2</f>
        <v>0</v>
      </c>
      <c r="D42" s="25">
        <f>D21*2</f>
        <v>0</v>
      </c>
      <c r="E42" s="25">
        <f>E21*2</f>
        <v>0</v>
      </c>
      <c r="F42" s="25"/>
      <c r="G42" s="20">
        <f>G21-[2]Pivot!F21</f>
        <v>0</v>
      </c>
      <c r="H42" s="20">
        <f>H21-[2]Pivot!G21</f>
        <v>0</v>
      </c>
      <c r="I42" s="20">
        <f>I21-[2]Pivot!H21</f>
        <v>0</v>
      </c>
      <c r="J42" s="20">
        <f>J21-[2]Pivot!I21</f>
        <v>0</v>
      </c>
    </row>
    <row r="43" spans="1:27" ht="15.75" thickBot="1" x14ac:dyDescent="0.3">
      <c r="A43" s="53" t="str">
        <f t="shared" si="21"/>
        <v>Grand Total</v>
      </c>
      <c r="B43" s="54">
        <f>SUM(B27:B42)</f>
        <v>26117.719999999896</v>
      </c>
      <c r="C43" s="54">
        <f>SUM(C27:C42)</f>
        <v>363394.94000000076</v>
      </c>
      <c r="D43" s="54">
        <f>SUM(D27:D42)</f>
        <v>-1061165.8200000003</v>
      </c>
      <c r="E43" s="54">
        <f>SUM(E27:E42)</f>
        <v>-671661.81999999925</v>
      </c>
      <c r="F43" s="86"/>
      <c r="G43" s="20">
        <f>G22-[2]Pivot!F22</f>
        <v>6.412241456007596E-2</v>
      </c>
      <c r="H43" s="20">
        <f>H22-[2]Pivot!G22</f>
        <v>-9.6853039442466468E-2</v>
      </c>
      <c r="I43" s="20">
        <f>I22-[2]Pivot!H22</f>
        <v>-9.8716062090129508E-2</v>
      </c>
      <c r="J43" s="20">
        <f>J22-[2]Pivot!I22</f>
        <v>-9.0847040256059636E-2</v>
      </c>
    </row>
    <row r="44" spans="1:27" ht="15.75" thickTop="1" x14ac:dyDescent="0.25">
      <c r="A44" t="s">
        <v>227</v>
      </c>
      <c r="B44" s="25">
        <f>-B43</f>
        <v>-26117.719999999896</v>
      </c>
      <c r="C44" s="25">
        <f t="shared" ref="C44:E44" si="24">-C43</f>
        <v>-363394.94000000076</v>
      </c>
      <c r="D44" s="25">
        <f t="shared" si="24"/>
        <v>1061165.8200000003</v>
      </c>
      <c r="E44" s="25">
        <f t="shared" si="24"/>
        <v>671661.81999999925</v>
      </c>
      <c r="F44" s="25"/>
    </row>
    <row r="45" spans="1:27" x14ac:dyDescent="0.25">
      <c r="A45" s="24">
        <v>2025</v>
      </c>
      <c r="B45" s="49">
        <f>-[2]Pivot!B$22</f>
        <v>188567.02000000002</v>
      </c>
      <c r="C45" s="49">
        <f>-[2]Pivot!C$22</f>
        <v>-507482.25999999937</v>
      </c>
      <c r="D45" s="49">
        <f>-[2]Pivot!D$22</f>
        <v>393948.69000000018</v>
      </c>
      <c r="E45" s="49">
        <f>-[2]Pivot!E$22</f>
        <v>75033.44999999975</v>
      </c>
      <c r="F45" s="25"/>
    </row>
    <row r="46" spans="1:27" x14ac:dyDescent="0.25">
      <c r="A46" t="s">
        <v>229</v>
      </c>
      <c r="B46" s="65">
        <f>B44-B45</f>
        <v>-214684.7399999999</v>
      </c>
      <c r="C46" s="64">
        <f t="shared" ref="C46:E46" si="25">C44-C45</f>
        <v>144087.31999999861</v>
      </c>
      <c r="D46" s="64">
        <f t="shared" si="25"/>
        <v>667217.13000000012</v>
      </c>
      <c r="E46" s="64">
        <f t="shared" si="25"/>
        <v>596628.36999999953</v>
      </c>
      <c r="F46" s="64"/>
    </row>
    <row r="47" spans="1:27" x14ac:dyDescent="0.25">
      <c r="B47" s="25"/>
      <c r="C47" s="25"/>
      <c r="D47" s="25"/>
    </row>
    <row r="48" spans="1:27" x14ac:dyDescent="0.25">
      <c r="A48" s="45" t="s">
        <v>273</v>
      </c>
      <c r="B48" s="25"/>
      <c r="C48" s="25"/>
      <c r="D48" s="25"/>
    </row>
    <row r="49" spans="1:10" x14ac:dyDescent="0.25">
      <c r="A49" t="s">
        <v>231</v>
      </c>
      <c r="B49" s="25">
        <f>-400000*0.15</f>
        <v>-60000</v>
      </c>
      <c r="C49" s="25">
        <f>200000*0.15</f>
        <v>30000</v>
      </c>
      <c r="D49" s="25">
        <f>-(D27-[2]Pivot!$D$5)*0.6</f>
        <v>632499.10800000012</v>
      </c>
      <c r="E49" s="25">
        <f>SUM(B49:D49)</f>
        <v>602499.10800000012</v>
      </c>
      <c r="F49" s="25"/>
    </row>
    <row r="50" spans="1:10" x14ac:dyDescent="0.25">
      <c r="A50" t="s">
        <v>228</v>
      </c>
      <c r="B50" s="25">
        <f>0.06*B27</f>
        <v>-180023.27159999998</v>
      </c>
      <c r="C50" s="25"/>
      <c r="D50" s="25"/>
      <c r="E50" s="25">
        <f t="shared" ref="E50:E55" si="26">SUM(B50:D50)</f>
        <v>-180023.27159999998</v>
      </c>
      <c r="F50" s="25"/>
    </row>
    <row r="51" spans="1:10" x14ac:dyDescent="0.25">
      <c r="A51" t="s">
        <v>233</v>
      </c>
      <c r="B51" s="25"/>
      <c r="C51" s="25">
        <f>[2]Pivot!$C$11-C33</f>
        <v>46665.469999999972</v>
      </c>
      <c r="D51" s="25"/>
      <c r="E51" s="25">
        <f t="shared" si="26"/>
        <v>46665.469999999972</v>
      </c>
      <c r="F51" s="25"/>
    </row>
    <row r="52" spans="1:10" x14ac:dyDescent="0.25">
      <c r="A52" t="str">
        <f>A34</f>
        <v>4. Mfg OVHD</v>
      </c>
      <c r="B52" s="25"/>
      <c r="C52" s="25">
        <f>[2]Pivot!$C$13-C34</f>
        <v>-42819.100000000035</v>
      </c>
      <c r="D52" s="25"/>
      <c r="E52" s="25">
        <f t="shared" si="26"/>
        <v>-42819.100000000035</v>
      </c>
      <c r="F52" s="25"/>
    </row>
    <row r="53" spans="1:10" x14ac:dyDescent="0.25">
      <c r="A53" s="63" t="s">
        <v>232</v>
      </c>
      <c r="B53" s="25"/>
      <c r="C53" s="25">
        <f>-(C36-[2]Pivot!$C$15)</f>
        <v>101912.73999999999</v>
      </c>
      <c r="D53" s="25"/>
      <c r="E53" s="25">
        <f t="shared" si="26"/>
        <v>101912.73999999999</v>
      </c>
      <c r="F53" s="25" t="s">
        <v>277</v>
      </c>
    </row>
    <row r="54" spans="1:10" x14ac:dyDescent="0.25">
      <c r="A54" s="63" t="s">
        <v>234</v>
      </c>
      <c r="B54" s="25"/>
      <c r="C54" s="25">
        <f>C40-[2]Pivot!$C$19-[2]Pivot!$C$20</f>
        <v>-10790.670000000006</v>
      </c>
      <c r="D54" s="38">
        <f>-D40+[2]Pivot!$D$19</f>
        <v>39376.5</v>
      </c>
      <c r="E54" s="25">
        <f t="shared" si="26"/>
        <v>28585.829999999994</v>
      </c>
      <c r="F54" s="25"/>
    </row>
    <row r="55" spans="1:10" x14ac:dyDescent="0.25">
      <c r="A55" t="s">
        <v>230</v>
      </c>
      <c r="B55" s="49">
        <v>20000</v>
      </c>
      <c r="C55" s="49">
        <v>16000</v>
      </c>
      <c r="D55" s="49"/>
      <c r="E55" s="49">
        <f t="shared" si="26"/>
        <v>36000</v>
      </c>
      <c r="F55" s="25"/>
    </row>
    <row r="56" spans="1:10" x14ac:dyDescent="0.25">
      <c r="B56" s="25">
        <f>SUM(B49:B55)</f>
        <v>-220023.27159999998</v>
      </c>
      <c r="C56" s="25">
        <f>SUM(C49:C55)</f>
        <v>140968.43999999992</v>
      </c>
      <c r="D56" s="25">
        <f t="shared" ref="D56:E56" si="27">SUM(D49:D55)</f>
        <v>671875.60800000012</v>
      </c>
      <c r="E56" s="25">
        <f t="shared" si="27"/>
        <v>592820.77639999997</v>
      </c>
      <c r="F56" s="25"/>
    </row>
    <row r="58" spans="1:10" ht="36.6" customHeight="1" x14ac:dyDescent="0.25">
      <c r="A58" s="340" t="s">
        <v>278</v>
      </c>
      <c r="B58" s="340"/>
      <c r="C58" s="340"/>
      <c r="D58" s="340"/>
      <c r="E58" s="340"/>
      <c r="F58" s="340"/>
      <c r="G58" s="340"/>
      <c r="H58" s="340"/>
      <c r="I58" s="340"/>
      <c r="J58" s="340"/>
    </row>
    <row r="59" spans="1:10" ht="15.75" x14ac:dyDescent="0.25">
      <c r="A59" s="114"/>
    </row>
  </sheetData>
  <mergeCells count="3">
    <mergeCell ref="G6:J6"/>
    <mergeCell ref="F17:F21"/>
    <mergeCell ref="A58:J58"/>
  </mergeCells>
  <conditionalFormatting sqref="G28:J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A111F-D1CF-40D7-A780-CBB3C453D1B1}">
  <dimension ref="A1:AL55"/>
  <sheetViews>
    <sheetView zoomScale="90" zoomScaleNormal="90" workbookViewId="0">
      <selection activeCell="AA5" sqref="AA5"/>
    </sheetView>
  </sheetViews>
  <sheetFormatPr defaultRowHeight="15" outlineLevelCol="1" x14ac:dyDescent="0.25"/>
  <cols>
    <col min="1" max="1" width="27.28515625" bestFit="1" customWidth="1"/>
    <col min="2" max="2" width="17.28515625" bestFit="1" customWidth="1"/>
    <col min="3" max="3" width="13.140625" bestFit="1" customWidth="1"/>
    <col min="4" max="4" width="11.7109375" bestFit="1" customWidth="1"/>
    <col min="5" max="5" width="13.5703125" bestFit="1" customWidth="1"/>
    <col min="6" max="6" width="7.85546875" customWidth="1"/>
    <col min="7" max="9" width="9.7109375" customWidth="1"/>
    <col min="10" max="10" width="2.140625" customWidth="1"/>
    <col min="11" max="11" width="27.28515625" bestFit="1" customWidth="1"/>
    <col min="12" max="12" width="17.28515625" bestFit="1" customWidth="1"/>
    <col min="13" max="13" width="13.140625" bestFit="1" customWidth="1"/>
    <col min="14" max="14" width="11.7109375" bestFit="1" customWidth="1"/>
    <col min="15" max="15" width="11.5703125" bestFit="1" customWidth="1"/>
    <col min="16" max="16" width="13.5703125" bestFit="1" customWidth="1"/>
    <col min="17" max="17" width="15" customWidth="1"/>
    <col min="18" max="18" width="2.140625" customWidth="1"/>
    <col min="19" max="19" width="14.5703125" customWidth="1"/>
    <col min="20" max="20" width="14" customWidth="1"/>
    <col min="21" max="21" width="13.5703125" customWidth="1"/>
    <col min="24" max="24" width="30.28515625" customWidth="1"/>
    <col min="25" max="25" width="12.85546875" bestFit="1" customWidth="1"/>
    <col min="26" max="26" width="12.85546875" customWidth="1"/>
    <col min="27" max="27" width="14.140625" customWidth="1"/>
    <col min="28" max="29" width="13.5703125" customWidth="1" outlineLevel="1"/>
    <col min="30" max="30" width="39.5703125" customWidth="1"/>
    <col min="31" max="31" width="15.28515625" customWidth="1"/>
    <col min="33" max="33" width="14" customWidth="1"/>
    <col min="34" max="34" width="12.5703125" bestFit="1" customWidth="1"/>
    <col min="35" max="35" width="14" customWidth="1"/>
    <col min="36" max="36" width="43.42578125" customWidth="1"/>
    <col min="37" max="37" width="13.28515625" customWidth="1"/>
    <col min="38" max="38" width="14.28515625" bestFit="1" customWidth="1"/>
  </cols>
  <sheetData>
    <row r="1" spans="1:36" ht="15.75" thickBot="1" x14ac:dyDescent="0.3">
      <c r="A1" s="52" t="s">
        <v>169</v>
      </c>
      <c r="B1" s="16" t="s">
        <v>176</v>
      </c>
      <c r="J1" s="17"/>
      <c r="K1" s="52" t="s">
        <v>169</v>
      </c>
      <c r="L1" s="16" t="s">
        <v>176</v>
      </c>
    </row>
    <row r="2" spans="1:36" ht="15.75" thickBot="1" x14ac:dyDescent="0.3">
      <c r="J2" s="17"/>
      <c r="S2" s="228" t="s">
        <v>463</v>
      </c>
      <c r="T2" s="79"/>
      <c r="U2" s="79"/>
      <c r="V2" s="79"/>
      <c r="W2" s="209"/>
      <c r="Y2" s="85" t="s">
        <v>459</v>
      </c>
      <c r="Z2" s="289"/>
      <c r="AA2" s="79"/>
      <c r="AB2" s="79"/>
      <c r="AC2" s="79"/>
      <c r="AD2" s="209"/>
    </row>
    <row r="3" spans="1:36" ht="15.75" thickBot="1" x14ac:dyDescent="0.3">
      <c r="A3" s="52" t="s">
        <v>203</v>
      </c>
      <c r="B3" s="52" t="s">
        <v>204</v>
      </c>
      <c r="J3" s="17"/>
      <c r="K3" s="52" t="s">
        <v>203</v>
      </c>
      <c r="L3" s="52" t="s">
        <v>204</v>
      </c>
      <c r="S3" s="229" t="s">
        <v>509</v>
      </c>
      <c r="W3" s="242"/>
      <c r="Y3" s="229" t="s">
        <v>460</v>
      </c>
      <c r="Z3" s="290"/>
      <c r="AA3" s="45" t="s">
        <v>457</v>
      </c>
      <c r="AD3" s="242"/>
      <c r="AG3" s="85" t="s">
        <v>500</v>
      </c>
      <c r="AH3" s="79"/>
      <c r="AI3" s="282" t="s">
        <v>457</v>
      </c>
      <c r="AJ3" s="209"/>
    </row>
    <row r="4" spans="1:36" x14ac:dyDescent="0.25">
      <c r="A4" s="52" t="s">
        <v>205</v>
      </c>
      <c r="B4" s="18" t="s">
        <v>206</v>
      </c>
      <c r="C4" s="18" t="s">
        <v>207</v>
      </c>
      <c r="D4" s="18" t="s">
        <v>208</v>
      </c>
      <c r="E4" s="18" t="s">
        <v>209</v>
      </c>
      <c r="F4" s="18" t="str">
        <f>B4</f>
        <v>Angola</v>
      </c>
      <c r="G4" s="18" t="str">
        <f t="shared" ref="G4:H4" si="0">C4</f>
        <v>Hillsboro</v>
      </c>
      <c r="H4" s="18" t="str">
        <f t="shared" si="0"/>
        <v>Pixelle</v>
      </c>
      <c r="I4" s="18" t="s">
        <v>210</v>
      </c>
      <c r="J4" s="19"/>
      <c r="K4" s="52" t="s">
        <v>205</v>
      </c>
      <c r="L4" s="18" t="s">
        <v>206</v>
      </c>
      <c r="M4" s="18" t="s">
        <v>207</v>
      </c>
      <c r="N4" s="18" t="s">
        <v>208</v>
      </c>
      <c r="O4" s="18" t="s">
        <v>211</v>
      </c>
      <c r="P4" s="18" t="s">
        <v>209</v>
      </c>
      <c r="Q4" s="20" t="s">
        <v>212</v>
      </c>
      <c r="S4" s="302" t="s">
        <v>458</v>
      </c>
      <c r="T4" s="71" t="str">
        <f t="shared" ref="T4:T9" si="1">N4</f>
        <v>Pixelle</v>
      </c>
      <c r="U4" s="71" t="s">
        <v>210</v>
      </c>
      <c r="V4" s="71" t="str">
        <f>S4</f>
        <v>Hills/Ang</v>
      </c>
      <c r="W4" s="303" t="str">
        <f>T4</f>
        <v>Pixelle</v>
      </c>
      <c r="Y4" s="277" t="s">
        <v>207</v>
      </c>
      <c r="Z4" s="291" t="s">
        <v>431</v>
      </c>
      <c r="AA4" s="71" t="s">
        <v>207</v>
      </c>
      <c r="AB4" s="71" t="str">
        <f>T4</f>
        <v>Pixelle</v>
      </c>
      <c r="AC4" s="71" t="s">
        <v>461</v>
      </c>
      <c r="AD4" s="242"/>
      <c r="AE4" s="71" t="s">
        <v>480</v>
      </c>
      <c r="AG4" s="263" t="s">
        <v>483</v>
      </c>
      <c r="AH4" s="137" t="str">
        <f>Z4</f>
        <v>Synergies</v>
      </c>
      <c r="AI4" s="137" t="s">
        <v>207</v>
      </c>
      <c r="AJ4" s="209"/>
    </row>
    <row r="5" spans="1:36" x14ac:dyDescent="0.25">
      <c r="A5" s="24" t="s">
        <v>175</v>
      </c>
      <c r="B5" s="25">
        <v>-1500193.93</v>
      </c>
      <c r="C5" s="25">
        <v>-2232833.0299999998</v>
      </c>
      <c r="D5" s="25">
        <v>-962160.67</v>
      </c>
      <c r="E5" s="26">
        <v>-4695187.63</v>
      </c>
      <c r="F5" s="338" t="s">
        <v>213</v>
      </c>
      <c r="G5" s="338"/>
      <c r="H5" s="338"/>
      <c r="I5" s="338"/>
      <c r="J5" s="27"/>
      <c r="K5" s="24" t="s">
        <v>175</v>
      </c>
      <c r="L5" s="25">
        <v>-1500193.93</v>
      </c>
      <c r="M5" s="25">
        <v>-2232833.0299999998</v>
      </c>
      <c r="N5" s="25">
        <v>-962160.67</v>
      </c>
      <c r="O5" s="25">
        <v>0</v>
      </c>
      <c r="P5" s="26">
        <v>-4695187.63</v>
      </c>
      <c r="S5" s="28">
        <f>M5+L5</f>
        <v>-3733026.96</v>
      </c>
      <c r="T5" s="25">
        <f t="shared" si="1"/>
        <v>-962160.67</v>
      </c>
      <c r="U5" s="25">
        <f>SUM(S5:T5)</f>
        <v>-4695187.63</v>
      </c>
      <c r="V5" s="26"/>
      <c r="W5" s="29"/>
      <c r="X5" s="18" t="str">
        <f>K5</f>
        <v>1. Sales</v>
      </c>
      <c r="Y5" s="278">
        <f>S5*2</f>
        <v>-7466053.9199999999</v>
      </c>
      <c r="Z5" s="292"/>
      <c r="AA5" s="25">
        <f t="shared" ref="AA5" si="2">Y5+Z5</f>
        <v>-7466053.9199999999</v>
      </c>
      <c r="AB5" s="279">
        <f>-450000*2*2</f>
        <v>-1800000</v>
      </c>
      <c r="AC5" s="279">
        <f>AA5+AB5</f>
        <v>-9266053.9199999999</v>
      </c>
      <c r="AD5" s="242"/>
      <c r="AE5" s="25">
        <f>U5*2</f>
        <v>-9390375.2599999998</v>
      </c>
      <c r="AG5" s="226">
        <f>-(L5+M5)*2</f>
        <v>7466053.9199999999</v>
      </c>
      <c r="AH5" s="26"/>
      <c r="AI5" s="26">
        <f>AG5+AH5</f>
        <v>7466053.9199999999</v>
      </c>
      <c r="AJ5" s="242"/>
    </row>
    <row r="6" spans="1:36" x14ac:dyDescent="0.25">
      <c r="A6" s="24" t="s">
        <v>192</v>
      </c>
      <c r="B6" s="25">
        <v>343188.12</v>
      </c>
      <c r="C6" s="25">
        <v>498256.51</v>
      </c>
      <c r="D6" s="25">
        <v>315753.08</v>
      </c>
      <c r="E6" s="30">
        <v>1157197.71</v>
      </c>
      <c r="F6" s="31">
        <f>-B6/B$5</f>
        <v>0.22876250405839199</v>
      </c>
      <c r="G6" s="31">
        <f>-C6/C$5</f>
        <v>0.22314991909627924</v>
      </c>
      <c r="H6" s="31">
        <f>-D6/D$5</f>
        <v>0.32817084489641424</v>
      </c>
      <c r="I6" s="31">
        <f>-E6/E$5</f>
        <v>0.24646463596173684</v>
      </c>
      <c r="J6" s="27"/>
      <c r="K6" s="24" t="s">
        <v>192</v>
      </c>
      <c r="L6" s="25">
        <v>343188.12</v>
      </c>
      <c r="M6" s="25">
        <v>498256.51</v>
      </c>
      <c r="N6" s="25">
        <v>315753.08</v>
      </c>
      <c r="O6" s="25">
        <v>0</v>
      </c>
      <c r="P6" s="26">
        <v>1157197.71</v>
      </c>
      <c r="S6" s="28">
        <f>M6+L6</f>
        <v>841444.63</v>
      </c>
      <c r="T6" s="25">
        <f t="shared" si="1"/>
        <v>315753.08</v>
      </c>
      <c r="U6" s="25">
        <f t="shared" ref="U6:U20" si="3">SUM(S6:T6)</f>
        <v>1157197.71</v>
      </c>
      <c r="V6" s="326">
        <f t="shared" ref="V6:V21" si="4">-S6/S$5</f>
        <v>0.22540545220171676</v>
      </c>
      <c r="W6" s="327">
        <f t="shared" ref="W6:W21" si="5">-T6/T$5</f>
        <v>0.32817084489641424</v>
      </c>
      <c r="X6" s="18" t="str">
        <f t="shared" ref="X6:X21" si="6">K6</f>
        <v>2. Variable cost Labor</v>
      </c>
      <c r="Y6" s="278">
        <f t="shared" ref="Y6:Y20" si="7">S6*2</f>
        <v>1682889.26</v>
      </c>
      <c r="Z6" s="292"/>
      <c r="AA6" s="25">
        <f>Y6+Z6</f>
        <v>1682889.26</v>
      </c>
      <c r="AB6" s="25">
        <f>(T6-U36)*2</f>
        <v>611134.27871441143</v>
      </c>
      <c r="AC6" s="25">
        <f t="shared" ref="AC6:AC21" si="8">AA6+AB6</f>
        <v>2294023.5387144117</v>
      </c>
      <c r="AD6" s="242"/>
      <c r="AE6" s="25">
        <f>AC6+20000</f>
        <v>2314023.5387144117</v>
      </c>
      <c r="AG6" s="28">
        <f>(L6+M6+O6)*2</f>
        <v>1682889.26</v>
      </c>
      <c r="AH6" s="25"/>
      <c r="AI6" s="25">
        <f>AG6+AH6</f>
        <v>1682889.26</v>
      </c>
      <c r="AJ6" s="242"/>
    </row>
    <row r="7" spans="1:36" x14ac:dyDescent="0.25">
      <c r="A7" s="24" t="s">
        <v>177</v>
      </c>
      <c r="B7" s="25">
        <v>855851.1</v>
      </c>
      <c r="C7" s="25">
        <v>1143410.8</v>
      </c>
      <c r="D7" s="25">
        <v>22188.07</v>
      </c>
      <c r="E7" s="30">
        <v>2021449.97</v>
      </c>
      <c r="F7" s="31">
        <f t="shared" ref="F7:F15" si="9">-B7/B$5</f>
        <v>0.57049364277857062</v>
      </c>
      <c r="G7" s="31">
        <f>-C7/C$5</f>
        <v>0.5120897015752226</v>
      </c>
      <c r="H7" s="31">
        <f t="shared" ref="G7:I15" si="10">-D7/D$5</f>
        <v>2.3060670314033933E-2</v>
      </c>
      <c r="I7" s="31">
        <f>-E7/E$5</f>
        <v>0.43053656835435139</v>
      </c>
      <c r="J7" s="27"/>
      <c r="K7" s="24" t="s">
        <v>177</v>
      </c>
      <c r="L7" s="25">
        <v>855851.1</v>
      </c>
      <c r="M7" s="25">
        <v>1143410.8</v>
      </c>
      <c r="N7" s="25">
        <v>22188.07</v>
      </c>
      <c r="O7" s="25"/>
      <c r="P7" s="26">
        <v>2021449.97</v>
      </c>
      <c r="S7" s="28">
        <f>M7+L7</f>
        <v>1999261.9</v>
      </c>
      <c r="T7" s="25">
        <f t="shared" si="1"/>
        <v>22188.07</v>
      </c>
      <c r="U7" s="25">
        <f t="shared" si="3"/>
        <v>2021449.97</v>
      </c>
      <c r="V7" s="326">
        <f t="shared" si="4"/>
        <v>0.53556053074955556</v>
      </c>
      <c r="W7" s="327">
        <f t="shared" si="5"/>
        <v>2.3060670314033933E-2</v>
      </c>
      <c r="X7" s="18" t="str">
        <f t="shared" si="6"/>
        <v>2. Variable cost Mat</v>
      </c>
      <c r="Y7" s="278">
        <f t="shared" si="7"/>
        <v>3998523.8</v>
      </c>
      <c r="Z7" s="292">
        <f>Synergies!H44</f>
        <v>-243478.00670000014</v>
      </c>
      <c r="AA7" s="25">
        <f>Y7+Z7</f>
        <v>3755045.7932999996</v>
      </c>
      <c r="AB7" s="25">
        <f>T7*2</f>
        <v>44376.14</v>
      </c>
      <c r="AC7" s="25">
        <f t="shared" si="8"/>
        <v>3799421.9332999997</v>
      </c>
      <c r="AD7" s="242"/>
      <c r="AE7" s="25">
        <f t="shared" ref="AE7:AE20" si="11">AC7</f>
        <v>3799421.9332999997</v>
      </c>
      <c r="AG7" s="28">
        <f t="shared" ref="AG7:AG19" si="12">(L7+M7+O7)*2</f>
        <v>3998523.8</v>
      </c>
      <c r="AH7" s="25">
        <f>Synergies!H44</f>
        <v>-243478.00670000014</v>
      </c>
      <c r="AI7" s="25">
        <f>AG7+AH7</f>
        <v>3755045.7932999996</v>
      </c>
      <c r="AJ7" s="242" t="s">
        <v>491</v>
      </c>
    </row>
    <row r="8" spans="1:36" x14ac:dyDescent="0.25">
      <c r="A8" s="24" t="s">
        <v>200</v>
      </c>
      <c r="B8" s="25"/>
      <c r="C8" s="25">
        <v>-19607.13</v>
      </c>
      <c r="D8" s="25"/>
      <c r="E8" s="26">
        <v>-19607.13</v>
      </c>
      <c r="F8" s="31">
        <f t="shared" si="9"/>
        <v>0</v>
      </c>
      <c r="G8" s="31">
        <f t="shared" si="10"/>
        <v>-8.7812790909851425E-3</v>
      </c>
      <c r="H8" s="31">
        <f t="shared" si="10"/>
        <v>0</v>
      </c>
      <c r="I8" s="31">
        <f t="shared" si="10"/>
        <v>-4.1760056349441355E-3</v>
      </c>
      <c r="J8" s="27"/>
      <c r="K8" s="24" t="s">
        <v>200</v>
      </c>
      <c r="L8" s="25"/>
      <c r="M8" s="25"/>
      <c r="N8" s="25"/>
      <c r="O8" s="34">
        <v>-19607.13</v>
      </c>
      <c r="P8" s="26">
        <v>-19607.13</v>
      </c>
      <c r="Q8" s="11" t="s">
        <v>214</v>
      </c>
      <c r="S8" s="28">
        <f>O8</f>
        <v>-19607.13</v>
      </c>
      <c r="T8" s="25">
        <f t="shared" si="1"/>
        <v>0</v>
      </c>
      <c r="U8" s="25">
        <f t="shared" si="3"/>
        <v>-19607.13</v>
      </c>
      <c r="V8" s="326">
        <f t="shared" si="4"/>
        <v>-5.2523408510288397E-3</v>
      </c>
      <c r="W8" s="327">
        <f t="shared" si="5"/>
        <v>0</v>
      </c>
      <c r="X8" s="18" t="str">
        <f t="shared" si="6"/>
        <v>2a. Variable cost Mat</v>
      </c>
      <c r="Y8" s="278">
        <f t="shared" si="7"/>
        <v>-39214.26</v>
      </c>
      <c r="Z8" s="292"/>
      <c r="AA8" s="25">
        <f t="shared" ref="AA8:AA20" si="13">Y8+Z8</f>
        <v>-39214.26</v>
      </c>
      <c r="AB8" s="25">
        <f t="shared" ref="AB8:AB20" si="14">T8*2</f>
        <v>0</v>
      </c>
      <c r="AC8" s="25">
        <f t="shared" si="8"/>
        <v>-39214.26</v>
      </c>
      <c r="AD8" s="242"/>
      <c r="AE8" s="25">
        <f t="shared" si="11"/>
        <v>-39214.26</v>
      </c>
      <c r="AG8" s="28">
        <f t="shared" si="12"/>
        <v>-39214.26</v>
      </c>
      <c r="AH8" s="25"/>
      <c r="AI8" s="25">
        <f t="shared" ref="AI8:AI20" si="15">AG8+AH8</f>
        <v>-39214.26</v>
      </c>
      <c r="AJ8" s="242"/>
    </row>
    <row r="9" spans="1:36" x14ac:dyDescent="0.25">
      <c r="A9" s="24" t="s">
        <v>188</v>
      </c>
      <c r="B9" s="25"/>
      <c r="C9" s="25">
        <v>11708.17</v>
      </c>
      <c r="D9" s="25"/>
      <c r="E9" s="30">
        <v>11708.17</v>
      </c>
      <c r="F9" s="31">
        <f t="shared" si="9"/>
        <v>0</v>
      </c>
      <c r="G9" s="31">
        <f t="shared" si="10"/>
        <v>5.2436388402942969E-3</v>
      </c>
      <c r="H9" s="31">
        <f>-D9/D$5</f>
        <v>0</v>
      </c>
      <c r="I9" s="31">
        <f t="shared" si="10"/>
        <v>2.4936532728086097E-3</v>
      </c>
      <c r="J9" s="27"/>
      <c r="K9" s="24" t="s">
        <v>198</v>
      </c>
      <c r="L9" s="25">
        <v>5732.8</v>
      </c>
      <c r="M9" s="25">
        <v>7767.41</v>
      </c>
      <c r="N9" s="25"/>
      <c r="O9" s="25">
        <v>34.22</v>
      </c>
      <c r="P9" s="26">
        <v>13534.429999999998</v>
      </c>
      <c r="S9" s="28">
        <f>M9+L9+O9</f>
        <v>13534.429999999998</v>
      </c>
      <c r="T9" s="25">
        <f t="shared" si="1"/>
        <v>0</v>
      </c>
      <c r="U9" s="25">
        <f t="shared" si="3"/>
        <v>13534.429999999998</v>
      </c>
      <c r="V9" s="326">
        <f t="shared" si="4"/>
        <v>3.6255912815588128E-3</v>
      </c>
      <c r="W9" s="327">
        <f t="shared" si="5"/>
        <v>0</v>
      </c>
      <c r="X9" s="18" t="str">
        <f t="shared" si="6"/>
        <v>8c. Frt Exp</v>
      </c>
      <c r="Y9" s="278">
        <f t="shared" si="7"/>
        <v>27068.859999999997</v>
      </c>
      <c r="Z9" s="292"/>
      <c r="AA9" s="25">
        <f t="shared" si="13"/>
        <v>27068.859999999997</v>
      </c>
      <c r="AB9" s="25">
        <f t="shared" si="14"/>
        <v>0</v>
      </c>
      <c r="AC9" s="25">
        <f t="shared" si="8"/>
        <v>27068.859999999997</v>
      </c>
      <c r="AD9" s="242"/>
      <c r="AE9" s="25">
        <f t="shared" si="11"/>
        <v>27068.859999999997</v>
      </c>
      <c r="AG9" s="28">
        <f t="shared" si="12"/>
        <v>27068.859999999997</v>
      </c>
      <c r="AH9" s="25"/>
      <c r="AI9" s="25">
        <f t="shared" si="15"/>
        <v>27068.859999999997</v>
      </c>
      <c r="AJ9" s="242"/>
    </row>
    <row r="10" spans="1:36" x14ac:dyDescent="0.25">
      <c r="A10" s="35" t="s">
        <v>198</v>
      </c>
      <c r="B10" s="36">
        <v>5732.8</v>
      </c>
      <c r="C10" s="36">
        <v>7801.630000000001</v>
      </c>
      <c r="D10" s="36"/>
      <c r="E10" s="37">
        <v>13534.43</v>
      </c>
      <c r="F10" s="31">
        <f t="shared" si="9"/>
        <v>3.8213726141392936E-3</v>
      </c>
      <c r="G10" s="31">
        <f t="shared" si="10"/>
        <v>3.4940498887191763E-3</v>
      </c>
      <c r="H10" s="31">
        <f t="shared" si="10"/>
        <v>0</v>
      </c>
      <c r="I10" s="31">
        <f t="shared" si="10"/>
        <v>2.8826174940318628E-3</v>
      </c>
      <c r="J10" s="27"/>
      <c r="K10" s="24" t="s">
        <v>193</v>
      </c>
      <c r="L10" s="25">
        <v>87123.010000000009</v>
      </c>
      <c r="M10" s="25">
        <v>66748.989999999991</v>
      </c>
      <c r="N10" s="25">
        <v>12414.36</v>
      </c>
      <c r="O10" s="34">
        <v>48529.51</v>
      </c>
      <c r="P10" s="26">
        <v>214815.87</v>
      </c>
      <c r="Q10" s="11" t="s">
        <v>215</v>
      </c>
      <c r="S10" s="28">
        <f>M10+L10+O10</f>
        <v>202401.51</v>
      </c>
      <c r="T10" s="25">
        <f t="shared" ref="T10:T16" si="16">N10</f>
        <v>12414.36</v>
      </c>
      <c r="U10" s="25">
        <f t="shared" si="3"/>
        <v>214815.87</v>
      </c>
      <c r="V10" s="326">
        <f t="shared" si="4"/>
        <v>5.42191396335375E-2</v>
      </c>
      <c r="W10" s="327">
        <f t="shared" si="5"/>
        <v>1.2902585178419317E-2</v>
      </c>
      <c r="X10" s="18" t="str">
        <f t="shared" si="6"/>
        <v>3. Mfg IDL</v>
      </c>
      <c r="Y10" s="278">
        <f t="shared" si="7"/>
        <v>404803.02</v>
      </c>
      <c r="Z10" s="292">
        <f>-S51-S52</f>
        <v>-82160</v>
      </c>
      <c r="AA10" s="25">
        <f t="shared" si="13"/>
        <v>322643.02</v>
      </c>
      <c r="AB10" s="25">
        <f t="shared" si="14"/>
        <v>24828.720000000001</v>
      </c>
      <c r="AC10" s="25">
        <f t="shared" si="8"/>
        <v>347471.74</v>
      </c>
      <c r="AD10" s="242"/>
      <c r="AE10" s="25">
        <f t="shared" si="11"/>
        <v>347471.74</v>
      </c>
      <c r="AG10" s="28">
        <f t="shared" si="12"/>
        <v>404803.02</v>
      </c>
      <c r="AH10" s="25">
        <f>-S51-S52</f>
        <v>-82160</v>
      </c>
      <c r="AI10" s="25">
        <f t="shared" si="15"/>
        <v>322643.02</v>
      </c>
      <c r="AJ10" s="242" t="s">
        <v>492</v>
      </c>
    </row>
    <row r="11" spans="1:36" x14ac:dyDescent="0.25">
      <c r="A11" s="24" t="s">
        <v>193</v>
      </c>
      <c r="B11" s="25">
        <v>87123.010000000009</v>
      </c>
      <c r="C11" s="25">
        <v>115278.5</v>
      </c>
      <c r="D11" s="25">
        <v>12414.36</v>
      </c>
      <c r="E11" s="30">
        <v>214815.87</v>
      </c>
      <c r="F11" s="31">
        <f t="shared" si="9"/>
        <v>5.8074498408349121E-2</v>
      </c>
      <c r="G11" s="31">
        <f t="shared" si="10"/>
        <v>5.1628804505816549E-2</v>
      </c>
      <c r="H11" s="31">
        <f t="shared" si="10"/>
        <v>1.2902585178419317E-2</v>
      </c>
      <c r="I11" s="31">
        <f t="shared" si="10"/>
        <v>4.5752350476353593E-2</v>
      </c>
      <c r="J11" s="27"/>
      <c r="K11" s="24" t="s">
        <v>191</v>
      </c>
      <c r="L11" s="25">
        <v>186209.89</v>
      </c>
      <c r="M11" s="25">
        <v>196237.06</v>
      </c>
      <c r="N11" s="25">
        <v>82744.569999999992</v>
      </c>
      <c r="O11" s="34">
        <v>6762.58</v>
      </c>
      <c r="P11" s="26">
        <v>471954.10000000003</v>
      </c>
      <c r="S11" s="28">
        <f>M11+L11+O11</f>
        <v>389209.53</v>
      </c>
      <c r="T11" s="25">
        <f t="shared" si="16"/>
        <v>82744.569999999992</v>
      </c>
      <c r="U11" s="25">
        <f t="shared" si="3"/>
        <v>471954.10000000003</v>
      </c>
      <c r="V11" s="326">
        <f t="shared" si="4"/>
        <v>0.10426110879199223</v>
      </c>
      <c r="W11" s="328">
        <f t="shared" si="5"/>
        <v>8.5998703314281166E-2</v>
      </c>
      <c r="X11" s="18" t="str">
        <f t="shared" si="6"/>
        <v>4. Mfg OVHD</v>
      </c>
      <c r="Y11" s="278">
        <f t="shared" si="7"/>
        <v>778419.06</v>
      </c>
      <c r="Z11" s="292">
        <f>-S50-S47-S45</f>
        <v>-208158.76</v>
      </c>
      <c r="AA11" s="25">
        <f t="shared" si="13"/>
        <v>570260.30000000005</v>
      </c>
      <c r="AB11" s="25">
        <f>T11*2</f>
        <v>165489.13999999998</v>
      </c>
      <c r="AC11" s="25">
        <f t="shared" si="8"/>
        <v>735749.44000000006</v>
      </c>
      <c r="AD11" s="242"/>
      <c r="AE11" s="25">
        <f t="shared" si="11"/>
        <v>735749.44000000006</v>
      </c>
      <c r="AG11" s="28">
        <f t="shared" si="12"/>
        <v>778419.06</v>
      </c>
      <c r="AH11" s="25">
        <f>-S50-S47-S45</f>
        <v>-208158.76</v>
      </c>
      <c r="AI11" s="25">
        <f t="shared" si="15"/>
        <v>570260.30000000005</v>
      </c>
      <c r="AJ11" s="242" t="s">
        <v>493</v>
      </c>
    </row>
    <row r="12" spans="1:36" x14ac:dyDescent="0.25">
      <c r="A12" s="24" t="s">
        <v>191</v>
      </c>
      <c r="B12" s="25">
        <v>186209.89</v>
      </c>
      <c r="C12" s="25">
        <v>202999.64</v>
      </c>
      <c r="D12" s="25">
        <v>82744.569999999992</v>
      </c>
      <c r="E12" s="30">
        <v>471954.10000000003</v>
      </c>
      <c r="F12" s="31">
        <f t="shared" si="9"/>
        <v>0.12412387910408358</v>
      </c>
      <c r="G12" s="31">
        <f t="shared" si="10"/>
        <v>9.0915727809705513E-2</v>
      </c>
      <c r="H12" s="31">
        <f t="shared" si="10"/>
        <v>8.5998703314281166E-2</v>
      </c>
      <c r="I12" s="31">
        <f t="shared" si="10"/>
        <v>0.10051868789746322</v>
      </c>
      <c r="J12" s="27"/>
      <c r="K12" s="24" t="s">
        <v>194</v>
      </c>
      <c r="L12" s="25">
        <v>36556.54</v>
      </c>
      <c r="M12" s="25">
        <v>91.2</v>
      </c>
      <c r="N12" s="25"/>
      <c r="O12" s="25">
        <v>177727.59000000003</v>
      </c>
      <c r="P12" s="26">
        <v>214375.33000000002</v>
      </c>
      <c r="Q12" s="11" t="s">
        <v>216</v>
      </c>
      <c r="S12" s="28">
        <f>M12+L12+O12</f>
        <v>214375.33000000002</v>
      </c>
      <c r="T12" s="25">
        <f t="shared" si="16"/>
        <v>0</v>
      </c>
      <c r="U12" s="25">
        <f t="shared" si="3"/>
        <v>214375.33000000002</v>
      </c>
      <c r="V12" s="326">
        <f t="shared" si="4"/>
        <v>5.7426676072009943E-2</v>
      </c>
      <c r="W12" s="327">
        <f t="shared" si="5"/>
        <v>0</v>
      </c>
      <c r="X12" s="18" t="str">
        <f t="shared" si="6"/>
        <v>7. Selling</v>
      </c>
      <c r="Y12" s="278">
        <f t="shared" si="7"/>
        <v>428750.66000000003</v>
      </c>
      <c r="Z12" s="292"/>
      <c r="AA12" s="25">
        <f t="shared" si="13"/>
        <v>428750.66000000003</v>
      </c>
      <c r="AB12" s="25">
        <f t="shared" si="14"/>
        <v>0</v>
      </c>
      <c r="AC12" s="25">
        <f t="shared" si="8"/>
        <v>428750.66000000003</v>
      </c>
      <c r="AD12" s="242"/>
      <c r="AE12" s="25">
        <f t="shared" si="11"/>
        <v>428750.66000000003</v>
      </c>
      <c r="AG12" s="28">
        <f t="shared" si="12"/>
        <v>428750.66000000003</v>
      </c>
      <c r="AH12" s="25"/>
      <c r="AI12" s="25">
        <f t="shared" si="15"/>
        <v>428750.66000000003</v>
      </c>
      <c r="AJ12" s="242"/>
    </row>
    <row r="13" spans="1:36" x14ac:dyDescent="0.25">
      <c r="A13" s="24" t="s">
        <v>194</v>
      </c>
      <c r="B13" s="25">
        <v>36556.54</v>
      </c>
      <c r="C13" s="25">
        <v>177818.79000000004</v>
      </c>
      <c r="D13" s="25"/>
      <c r="E13" s="39">
        <v>214375.33000000005</v>
      </c>
      <c r="F13" s="31">
        <f t="shared" si="9"/>
        <v>2.4367876225175771E-2</v>
      </c>
      <c r="G13" s="31">
        <f t="shared" si="10"/>
        <v>7.9638193994290771E-2</v>
      </c>
      <c r="H13" s="31">
        <f t="shared" si="10"/>
        <v>0</v>
      </c>
      <c r="I13" s="31">
        <f t="shared" si="10"/>
        <v>4.5658522490186412E-2</v>
      </c>
      <c r="J13" s="27"/>
      <c r="K13" s="24" t="s">
        <v>179</v>
      </c>
      <c r="L13" s="25">
        <v>40430.47</v>
      </c>
      <c r="M13" s="25">
        <v>88731</v>
      </c>
      <c r="N13" s="25">
        <v>19495.37</v>
      </c>
      <c r="O13" s="25">
        <v>251581.02999999997</v>
      </c>
      <c r="P13" s="26">
        <v>400237.87</v>
      </c>
      <c r="S13" s="28">
        <f>M13+L13+(O13)</f>
        <v>380742.5</v>
      </c>
      <c r="T13" s="25">
        <f t="shared" si="16"/>
        <v>19495.37</v>
      </c>
      <c r="U13" s="25">
        <f>SUM(S13:T13)</f>
        <v>400237.87</v>
      </c>
      <c r="V13" s="326">
        <f t="shared" si="4"/>
        <v>0.10199296819436847</v>
      </c>
      <c r="W13" s="327">
        <f t="shared" si="5"/>
        <v>2.0262073277220943E-2</v>
      </c>
      <c r="X13" s="18" t="str">
        <f t="shared" si="6"/>
        <v>8. Admin</v>
      </c>
      <c r="Y13" s="278">
        <f t="shared" si="7"/>
        <v>761485</v>
      </c>
      <c r="Z13" s="292">
        <f>-S48-S49-S46</f>
        <v>-116142.92</v>
      </c>
      <c r="AA13" s="25">
        <f t="shared" si="13"/>
        <v>645342.07999999996</v>
      </c>
      <c r="AB13" s="25">
        <f t="shared" si="14"/>
        <v>38990.74</v>
      </c>
      <c r="AC13" s="25">
        <f t="shared" si="8"/>
        <v>684332.82</v>
      </c>
      <c r="AD13" s="242"/>
      <c r="AE13" s="25">
        <f t="shared" si="11"/>
        <v>684332.82</v>
      </c>
      <c r="AG13" s="28">
        <f t="shared" si="12"/>
        <v>761485</v>
      </c>
      <c r="AH13" s="25">
        <f>-S48-S49-S46</f>
        <v>-116142.92</v>
      </c>
      <c r="AI13" s="25">
        <f t="shared" si="15"/>
        <v>645342.07999999996</v>
      </c>
      <c r="AJ13" s="242" t="s">
        <v>494</v>
      </c>
    </row>
    <row r="14" spans="1:36" x14ac:dyDescent="0.25">
      <c r="A14" s="24" t="s">
        <v>179</v>
      </c>
      <c r="B14" s="25">
        <v>40430.47</v>
      </c>
      <c r="C14" s="25">
        <v>340312.03</v>
      </c>
      <c r="D14" s="25">
        <v>19495.37</v>
      </c>
      <c r="E14" s="39">
        <v>400237.87</v>
      </c>
      <c r="F14" s="31">
        <f t="shared" si="9"/>
        <v>2.6950162370007726E-2</v>
      </c>
      <c r="G14" s="31">
        <f t="shared" si="10"/>
        <v>0.15241266383451882</v>
      </c>
      <c r="H14" s="31">
        <f t="shared" si="10"/>
        <v>2.0262073277220943E-2</v>
      </c>
      <c r="I14" s="31">
        <f t="shared" si="10"/>
        <v>8.5244275956656498E-2</v>
      </c>
      <c r="J14" s="27"/>
      <c r="K14" s="24" t="s">
        <v>195</v>
      </c>
      <c r="L14" s="25">
        <v>971.64</v>
      </c>
      <c r="M14" s="25"/>
      <c r="N14" s="25">
        <v>825.31</v>
      </c>
      <c r="O14" s="25">
        <v>12346.79</v>
      </c>
      <c r="P14" s="26">
        <v>14143.740000000002</v>
      </c>
      <c r="S14" s="28">
        <f>M14+L14+O14</f>
        <v>13318.43</v>
      </c>
      <c r="T14" s="25">
        <f t="shared" si="16"/>
        <v>825.31</v>
      </c>
      <c r="U14" s="25">
        <f t="shared" si="3"/>
        <v>14143.74</v>
      </c>
      <c r="V14" s="326">
        <f t="shared" si="4"/>
        <v>3.5677293903068948E-3</v>
      </c>
      <c r="W14" s="327">
        <f t="shared" si="5"/>
        <v>8.5776734149817192E-4</v>
      </c>
      <c r="X14" s="18" t="str">
        <f t="shared" si="6"/>
        <v>8. Admin IT</v>
      </c>
      <c r="Y14" s="278">
        <f t="shared" si="7"/>
        <v>26636.86</v>
      </c>
      <c r="Z14" s="292"/>
      <c r="AA14" s="25">
        <f t="shared" si="13"/>
        <v>26636.86</v>
      </c>
      <c r="AB14" s="25">
        <f t="shared" si="14"/>
        <v>1650.62</v>
      </c>
      <c r="AC14" s="25">
        <f t="shared" si="8"/>
        <v>28287.48</v>
      </c>
      <c r="AD14" s="242"/>
      <c r="AE14" s="25">
        <f t="shared" si="11"/>
        <v>28287.48</v>
      </c>
      <c r="AG14" s="28">
        <f t="shared" si="12"/>
        <v>26636.86</v>
      </c>
      <c r="AH14" s="25"/>
      <c r="AI14" s="25">
        <f t="shared" si="15"/>
        <v>26636.86</v>
      </c>
      <c r="AJ14" s="242"/>
    </row>
    <row r="15" spans="1:36" x14ac:dyDescent="0.25">
      <c r="A15" s="24" t="s">
        <v>195</v>
      </c>
      <c r="B15" s="25">
        <v>971.64</v>
      </c>
      <c r="C15" s="25">
        <v>12346.79</v>
      </c>
      <c r="D15" s="25">
        <v>825.31</v>
      </c>
      <c r="E15" s="39">
        <v>14143.74</v>
      </c>
      <c r="F15" s="31">
        <f t="shared" si="9"/>
        <v>6.4767626409473612E-4</v>
      </c>
      <c r="G15" s="31">
        <f t="shared" si="10"/>
        <v>5.5296521657062737E-3</v>
      </c>
      <c r="H15" s="31">
        <f t="shared" si="10"/>
        <v>8.5776734149817192E-4</v>
      </c>
      <c r="I15" s="31">
        <f t="shared" si="10"/>
        <v>3.0123907955516573E-3</v>
      </c>
      <c r="J15" s="27"/>
      <c r="K15" s="24" t="s">
        <v>196</v>
      </c>
      <c r="L15" s="25">
        <v>-186087.67999999999</v>
      </c>
      <c r="M15" s="25">
        <v>-145148.51999999999</v>
      </c>
      <c r="N15" s="25"/>
      <c r="O15" s="25"/>
      <c r="P15" s="26">
        <v>-331236.19999999995</v>
      </c>
      <c r="S15" s="28">
        <f>M15+L15</f>
        <v>-331236.19999999995</v>
      </c>
      <c r="T15" s="25">
        <f t="shared" si="16"/>
        <v>0</v>
      </c>
      <c r="U15" s="25">
        <f t="shared" si="3"/>
        <v>-331236.19999999995</v>
      </c>
      <c r="V15" s="326">
        <f t="shared" si="4"/>
        <v>-8.873126381064228E-2</v>
      </c>
      <c r="W15" s="327">
        <f t="shared" si="5"/>
        <v>0</v>
      </c>
      <c r="X15" s="18" t="str">
        <f t="shared" si="6"/>
        <v>8a. Frt Income</v>
      </c>
      <c r="Y15" s="278">
        <f t="shared" si="7"/>
        <v>-662472.39999999991</v>
      </c>
      <c r="Z15" s="292"/>
      <c r="AA15" s="25">
        <f t="shared" si="13"/>
        <v>-662472.39999999991</v>
      </c>
      <c r="AB15" s="25">
        <f t="shared" si="14"/>
        <v>0</v>
      </c>
      <c r="AC15" s="25">
        <f t="shared" si="8"/>
        <v>-662472.39999999991</v>
      </c>
      <c r="AD15" s="242"/>
      <c r="AE15" s="25">
        <f t="shared" si="11"/>
        <v>-662472.39999999991</v>
      </c>
      <c r="AG15" s="28">
        <f t="shared" si="12"/>
        <v>-662472.39999999991</v>
      </c>
      <c r="AH15" s="25"/>
      <c r="AI15" s="25">
        <f t="shared" si="15"/>
        <v>-662472.39999999991</v>
      </c>
      <c r="AJ15" s="242"/>
    </row>
    <row r="16" spans="1:36" x14ac:dyDescent="0.25">
      <c r="A16" s="24" t="s">
        <v>196</v>
      </c>
      <c r="B16" s="25">
        <v>-186087.67999999999</v>
      </c>
      <c r="C16" s="25">
        <v>-145148.51999999999</v>
      </c>
      <c r="D16" s="25"/>
      <c r="E16" s="26">
        <v>-331236.19999999995</v>
      </c>
      <c r="F16" s="31">
        <f t="shared" ref="F16:F21" si="17">-B16/B$5</f>
        <v>-0.12404241630280427</v>
      </c>
      <c r="G16" s="31">
        <f t="shared" ref="G16:G21" si="18">-C16/C$5</f>
        <v>-6.5006437136054016E-2</v>
      </c>
      <c r="H16" s="31">
        <f t="shared" ref="H16:H21" si="19">-D16/D$5</f>
        <v>0</v>
      </c>
      <c r="I16" s="31">
        <f t="shared" ref="I16:I21" si="20">-E16/E$5</f>
        <v>-7.0548021954130083E-2</v>
      </c>
      <c r="J16" s="27"/>
      <c r="K16" s="24" t="s">
        <v>197</v>
      </c>
      <c r="L16" s="25">
        <v>145827.64000000001</v>
      </c>
      <c r="M16" s="25">
        <v>125457.9</v>
      </c>
      <c r="N16" s="25"/>
      <c r="O16" s="25"/>
      <c r="P16" s="26">
        <v>271285.54000000004</v>
      </c>
      <c r="S16" s="28">
        <f>M16+L16</f>
        <v>271285.54000000004</v>
      </c>
      <c r="T16" s="25">
        <f t="shared" si="16"/>
        <v>0</v>
      </c>
      <c r="U16" s="25">
        <f t="shared" si="3"/>
        <v>271285.54000000004</v>
      </c>
      <c r="V16" s="326">
        <f t="shared" si="4"/>
        <v>7.2671733396749982E-2</v>
      </c>
      <c r="W16" s="327">
        <f t="shared" si="5"/>
        <v>0</v>
      </c>
      <c r="X16" s="18" t="str">
        <f t="shared" si="6"/>
        <v>8b. Frt Exp</v>
      </c>
      <c r="Y16" s="278">
        <f t="shared" si="7"/>
        <v>542571.08000000007</v>
      </c>
      <c r="Z16" s="292"/>
      <c r="AA16" s="25">
        <f t="shared" si="13"/>
        <v>542571.08000000007</v>
      </c>
      <c r="AB16" s="25">
        <f t="shared" si="14"/>
        <v>0</v>
      </c>
      <c r="AC16" s="25">
        <f t="shared" si="8"/>
        <v>542571.08000000007</v>
      </c>
      <c r="AD16" s="242"/>
      <c r="AE16" s="25">
        <f t="shared" si="11"/>
        <v>542571.08000000007</v>
      </c>
      <c r="AG16" s="28">
        <f t="shared" si="12"/>
        <v>542571.08000000007</v>
      </c>
      <c r="AH16" s="25"/>
      <c r="AI16" s="25">
        <f t="shared" si="15"/>
        <v>542571.08000000007</v>
      </c>
      <c r="AJ16" s="242"/>
    </row>
    <row r="17" spans="1:38" x14ac:dyDescent="0.25">
      <c r="A17" s="24" t="s">
        <v>197</v>
      </c>
      <c r="B17" s="25">
        <v>145827.64000000001</v>
      </c>
      <c r="C17" s="25">
        <v>125457.9</v>
      </c>
      <c r="D17" s="25"/>
      <c r="E17" s="26">
        <v>271285.54000000004</v>
      </c>
      <c r="F17" s="31">
        <f t="shared" si="17"/>
        <v>9.720585924514441E-2</v>
      </c>
      <c r="G17" s="31">
        <f t="shared" si="18"/>
        <v>5.6187766086566719E-2</v>
      </c>
      <c r="H17" s="31">
        <f t="shared" si="19"/>
        <v>0</v>
      </c>
      <c r="I17" s="31">
        <f t="shared" si="20"/>
        <v>5.777948856966128E-2</v>
      </c>
      <c r="J17" s="27"/>
      <c r="K17" s="24" t="s">
        <v>199</v>
      </c>
      <c r="L17" s="25">
        <v>-2555.0700000000002</v>
      </c>
      <c r="M17" s="36">
        <v>-53579.61</v>
      </c>
      <c r="N17" s="25">
        <v>-21843</v>
      </c>
      <c r="O17" s="25">
        <v>-2525</v>
      </c>
      <c r="P17" s="26">
        <v>-80502.679999999993</v>
      </c>
      <c r="S17" s="28">
        <f>M17+L17+O17</f>
        <v>-58659.68</v>
      </c>
      <c r="T17" s="25">
        <f>N17+O17</f>
        <v>-24368</v>
      </c>
      <c r="U17" s="25">
        <f t="shared" si="3"/>
        <v>-83027.679999999993</v>
      </c>
      <c r="V17" s="326">
        <f t="shared" si="4"/>
        <v>-1.5713703819594166E-2</v>
      </c>
      <c r="W17" s="327">
        <f t="shared" si="5"/>
        <v>-2.5326331411987563E-2</v>
      </c>
      <c r="X17" s="18" t="str">
        <f t="shared" si="6"/>
        <v>9. Scrap &amp; Misc Inc</v>
      </c>
      <c r="Y17" s="278">
        <f t="shared" si="7"/>
        <v>-117319.36</v>
      </c>
      <c r="Z17" s="292"/>
      <c r="AA17" s="25">
        <f t="shared" si="13"/>
        <v>-117319.36</v>
      </c>
      <c r="AB17" s="25">
        <f t="shared" si="14"/>
        <v>-48736</v>
      </c>
      <c r="AC17" s="25">
        <f t="shared" si="8"/>
        <v>-166055.35999999999</v>
      </c>
      <c r="AD17" s="242"/>
      <c r="AE17" s="25">
        <f t="shared" si="11"/>
        <v>-166055.35999999999</v>
      </c>
      <c r="AG17" s="28">
        <f t="shared" si="12"/>
        <v>-117319.36</v>
      </c>
      <c r="AH17" s="25"/>
      <c r="AI17" s="25">
        <f t="shared" si="15"/>
        <v>-117319.36</v>
      </c>
      <c r="AJ17" s="242"/>
    </row>
    <row r="18" spans="1:38" x14ac:dyDescent="0.25">
      <c r="A18" s="24" t="s">
        <v>199</v>
      </c>
      <c r="B18" s="25">
        <v>-2555.0700000000002</v>
      </c>
      <c r="C18" s="25">
        <v>-56104.61</v>
      </c>
      <c r="D18" s="25">
        <v>-21843</v>
      </c>
      <c r="E18" s="26">
        <v>-80502.679999999993</v>
      </c>
      <c r="F18" s="31">
        <f t="shared" si="17"/>
        <v>-1.7031598041461215E-3</v>
      </c>
      <c r="G18" s="31">
        <f t="shared" si="18"/>
        <v>-2.5127096046227874E-2</v>
      </c>
      <c r="H18" s="31">
        <f t="shared" si="19"/>
        <v>-2.2702029589299257E-2</v>
      </c>
      <c r="I18" s="31">
        <f t="shared" si="20"/>
        <v>-1.7145785502932071E-2</v>
      </c>
      <c r="J18" s="27"/>
      <c r="K18" s="24" t="s">
        <v>201</v>
      </c>
      <c r="L18" s="25">
        <v>4.33</v>
      </c>
      <c r="M18" s="25"/>
      <c r="N18" s="25"/>
      <c r="O18" s="329">
        <v>-132001.54999999999</v>
      </c>
      <c r="P18" s="26">
        <v>-131997.22</v>
      </c>
      <c r="Q18" s="40" t="s">
        <v>217</v>
      </c>
      <c r="S18" s="264"/>
      <c r="T18" s="265"/>
      <c r="U18" s="265">
        <f t="shared" si="3"/>
        <v>0</v>
      </c>
      <c r="V18" s="326">
        <f t="shared" si="4"/>
        <v>0</v>
      </c>
      <c r="W18" s="327">
        <f t="shared" si="5"/>
        <v>0</v>
      </c>
      <c r="X18" s="18" t="str">
        <f t="shared" si="6"/>
        <v>91. Other Inc/Exp</v>
      </c>
      <c r="Y18" s="278">
        <f t="shared" si="7"/>
        <v>0</v>
      </c>
      <c r="Z18" s="292"/>
      <c r="AA18" s="25">
        <f t="shared" si="13"/>
        <v>0</v>
      </c>
      <c r="AB18" s="25">
        <f t="shared" si="14"/>
        <v>0</v>
      </c>
      <c r="AC18" s="25">
        <f t="shared" si="8"/>
        <v>0</v>
      </c>
      <c r="AD18" s="242"/>
      <c r="AE18" s="25">
        <f t="shared" si="11"/>
        <v>0</v>
      </c>
      <c r="AG18" s="28">
        <v>0</v>
      </c>
      <c r="AH18" s="25"/>
      <c r="AI18" s="25">
        <f t="shared" si="15"/>
        <v>0</v>
      </c>
      <c r="AJ18" s="242"/>
    </row>
    <row r="19" spans="1:38" x14ac:dyDescent="0.25">
      <c r="A19" s="24" t="s">
        <v>201</v>
      </c>
      <c r="B19" s="25">
        <v>4.33</v>
      </c>
      <c r="C19" s="56">
        <v>-132001.54999999999</v>
      </c>
      <c r="D19" s="25"/>
      <c r="E19" s="26">
        <v>-131997.22</v>
      </c>
      <c r="F19" s="31">
        <f t="shared" si="17"/>
        <v>2.8862935074000736E-6</v>
      </c>
      <c r="G19" s="31">
        <f t="shared" si="18"/>
        <v>-5.9118415137382661E-2</v>
      </c>
      <c r="H19" s="31">
        <f t="shared" si="19"/>
        <v>0</v>
      </c>
      <c r="I19" s="31">
        <f t="shared" si="20"/>
        <v>-2.8113300341098404E-2</v>
      </c>
      <c r="J19" s="27"/>
      <c r="K19" s="24" t="s">
        <v>202</v>
      </c>
      <c r="L19" s="25">
        <v>0</v>
      </c>
      <c r="M19" s="25">
        <v>0</v>
      </c>
      <c r="N19" s="25">
        <v>0</v>
      </c>
      <c r="O19" s="25"/>
      <c r="P19" s="26">
        <v>0</v>
      </c>
      <c r="Q19" s="20"/>
      <c r="S19" s="28">
        <f>M19+L19</f>
        <v>0</v>
      </c>
      <c r="T19" s="25">
        <f>N19</f>
        <v>0</v>
      </c>
      <c r="U19" s="25">
        <f t="shared" si="3"/>
        <v>0</v>
      </c>
      <c r="V19" s="32">
        <f t="shared" si="4"/>
        <v>0</v>
      </c>
      <c r="W19" s="33">
        <f t="shared" si="5"/>
        <v>0</v>
      </c>
      <c r="X19" s="18" t="str">
        <f t="shared" si="6"/>
        <v>99. Elim</v>
      </c>
      <c r="Y19" s="278">
        <f t="shared" si="7"/>
        <v>0</v>
      </c>
      <c r="Z19" s="292"/>
      <c r="AA19" s="25">
        <f t="shared" si="13"/>
        <v>0</v>
      </c>
      <c r="AB19" s="25">
        <f t="shared" si="14"/>
        <v>0</v>
      </c>
      <c r="AC19" s="25">
        <f t="shared" si="8"/>
        <v>0</v>
      </c>
      <c r="AD19" s="242"/>
      <c r="AE19" s="25">
        <f t="shared" si="11"/>
        <v>0</v>
      </c>
      <c r="AG19" s="28">
        <f t="shared" si="12"/>
        <v>0</v>
      </c>
      <c r="AH19" s="25"/>
      <c r="AI19" s="25">
        <f t="shared" si="15"/>
        <v>0</v>
      </c>
      <c r="AJ19" s="242"/>
    </row>
    <row r="20" spans="1:38" x14ac:dyDescent="0.25">
      <c r="A20" s="24" t="s">
        <v>202</v>
      </c>
      <c r="B20" s="25">
        <v>0</v>
      </c>
      <c r="C20" s="25">
        <v>0</v>
      </c>
      <c r="D20" s="25">
        <v>0</v>
      </c>
      <c r="E20" s="26">
        <v>0</v>
      </c>
      <c r="F20" s="31">
        <f t="shared" si="17"/>
        <v>0</v>
      </c>
      <c r="G20" s="31">
        <f t="shared" si="18"/>
        <v>0</v>
      </c>
      <c r="H20" s="31">
        <f t="shared" si="19"/>
        <v>0</v>
      </c>
      <c r="I20" s="31">
        <f t="shared" si="20"/>
        <v>0</v>
      </c>
      <c r="J20" s="27"/>
      <c r="K20" s="24" t="s">
        <v>188</v>
      </c>
      <c r="L20" s="25"/>
      <c r="M20" s="25">
        <v>11708.17</v>
      </c>
      <c r="N20" s="25"/>
      <c r="O20" s="25"/>
      <c r="P20" s="26">
        <v>11708.17</v>
      </c>
      <c r="S20" s="28">
        <f>M20+L20</f>
        <v>11708.17</v>
      </c>
      <c r="T20" s="25">
        <f>N20</f>
        <v>0</v>
      </c>
      <c r="U20" s="25">
        <f t="shared" si="3"/>
        <v>11708.17</v>
      </c>
      <c r="V20" s="32">
        <f t="shared" si="4"/>
        <v>3.1363743486063655E-3</v>
      </c>
      <c r="W20" s="33">
        <f t="shared" si="5"/>
        <v>0</v>
      </c>
      <c r="X20" s="18" t="str">
        <f t="shared" si="6"/>
        <v>2a. Variable cost Mat Out/Env</v>
      </c>
      <c r="Y20" s="278">
        <f t="shared" si="7"/>
        <v>23416.34</v>
      </c>
      <c r="Z20" s="292"/>
      <c r="AA20" s="25">
        <f t="shared" si="13"/>
        <v>23416.34</v>
      </c>
      <c r="AB20" s="25">
        <f t="shared" si="14"/>
        <v>0</v>
      </c>
      <c r="AC20" s="25">
        <f t="shared" si="8"/>
        <v>23416.34</v>
      </c>
      <c r="AD20" s="242"/>
      <c r="AE20" s="25">
        <f t="shared" si="11"/>
        <v>23416.34</v>
      </c>
      <c r="AG20" s="28">
        <f t="shared" ref="AG20" si="21">(L20+M20+O20)*2</f>
        <v>23416.34</v>
      </c>
      <c r="AH20" s="25"/>
      <c r="AI20" s="25">
        <f t="shared" si="15"/>
        <v>23416.34</v>
      </c>
      <c r="AJ20" s="242"/>
    </row>
    <row r="21" spans="1:38" ht="15.75" thickBot="1" x14ac:dyDescent="0.3">
      <c r="A21" s="24" t="s">
        <v>209</v>
      </c>
      <c r="B21" s="25">
        <v>13058.859999999948</v>
      </c>
      <c r="C21" s="25">
        <v>49695.920000000391</v>
      </c>
      <c r="D21" s="25">
        <v>-530582.91000000015</v>
      </c>
      <c r="E21" s="26">
        <v>-467828.12999999966</v>
      </c>
      <c r="F21" s="31">
        <f t="shared" si="17"/>
        <v>8.7047812545141736E-3</v>
      </c>
      <c r="G21" s="31">
        <f t="shared" si="18"/>
        <v>2.2256890386470319E-2</v>
      </c>
      <c r="H21" s="31">
        <f t="shared" si="19"/>
        <v>-0.55144938526743159</v>
      </c>
      <c r="I21" s="31">
        <f t="shared" si="20"/>
        <v>-9.9639922164303299E-2</v>
      </c>
      <c r="J21" s="27"/>
      <c r="K21" s="24" t="s">
        <v>209</v>
      </c>
      <c r="L21" s="25">
        <v>13058.859999999948</v>
      </c>
      <c r="M21" s="25">
        <v>-293152.11999999976</v>
      </c>
      <c r="N21" s="25">
        <v>-530582.91000000015</v>
      </c>
      <c r="O21" s="25">
        <v>342848.04</v>
      </c>
      <c r="P21" s="26">
        <v>-467828.1299999996</v>
      </c>
      <c r="S21" s="305">
        <f t="shared" ref="S21:T21" si="22">SUM(S5:S20)</f>
        <v>194752.00000000003</v>
      </c>
      <c r="T21" s="281">
        <f t="shared" si="22"/>
        <v>-533107.91000000015</v>
      </c>
      <c r="U21" s="281">
        <f>SUM(U5:U20)</f>
        <v>-338355.90999999957</v>
      </c>
      <c r="V21" s="306">
        <f t="shared" si="4"/>
        <v>5.2169995579137214E-2</v>
      </c>
      <c r="W21" s="307">
        <f t="shared" si="5"/>
        <v>-0.55407368709011995</v>
      </c>
      <c r="X21" s="71" t="str">
        <f t="shared" si="6"/>
        <v>Grand Total</v>
      </c>
      <c r="Y21" s="280">
        <f>SUM(Y5:Y20)</f>
        <v>389504.00000000006</v>
      </c>
      <c r="Z21" s="293">
        <f>SUM(Z5:Z20)</f>
        <v>-649939.68670000019</v>
      </c>
      <c r="AA21" s="281">
        <f>SUM(AA5:AA20)</f>
        <v>-260435.68670000028</v>
      </c>
      <c r="AB21" s="281">
        <f t="shared" ref="AB21" si="23">SUM(AB5:AB20)</f>
        <v>-962266.3612855887</v>
      </c>
      <c r="AC21" s="281">
        <f t="shared" si="8"/>
        <v>-1222702.0479855889</v>
      </c>
      <c r="AD21" s="42">
        <f>SUM(AD5:AD20)</f>
        <v>0</v>
      </c>
      <c r="AE21" s="25">
        <f>SUM(AE5:AE20)</f>
        <v>-1327023.3879855883</v>
      </c>
      <c r="AF21" s="25">
        <f t="shared" ref="AF21" si="24">SUM(AF5:AF20)</f>
        <v>0</v>
      </c>
      <c r="AG21" s="317">
        <f>AG5-SUM(AG6:AG20)</f>
        <v>-389504.00000000093</v>
      </c>
      <c r="AH21" s="281">
        <f t="shared" ref="AH21:AI21" si="25">AH5-SUM(AH6:AH20)</f>
        <v>649939.68670000019</v>
      </c>
      <c r="AI21" s="336">
        <f t="shared" si="25"/>
        <v>260435.68670000043</v>
      </c>
      <c r="AJ21" s="337" t="s">
        <v>484</v>
      </c>
    </row>
    <row r="22" spans="1:38" ht="15.75" thickBot="1" x14ac:dyDescent="0.3">
      <c r="A22" s="24" t="s">
        <v>225</v>
      </c>
      <c r="B22" s="25">
        <f>-B21*2</f>
        <v>-26117.719999999896</v>
      </c>
      <c r="C22" s="25">
        <f>-(C21-C19)*2</f>
        <v>-363394.94000000076</v>
      </c>
      <c r="D22" s="25">
        <f t="shared" ref="D22" si="26">-D21*2</f>
        <v>1061165.8200000003</v>
      </c>
      <c r="E22" s="25">
        <f>-(E21-E19)*2</f>
        <v>671661.81999999937</v>
      </c>
      <c r="J22" s="27"/>
      <c r="K22" s="24" t="s">
        <v>447</v>
      </c>
      <c r="L22" s="260">
        <f>-L21</f>
        <v>-13058.859999999948</v>
      </c>
      <c r="M22" s="260">
        <f>-M21</f>
        <v>293152.11999999976</v>
      </c>
      <c r="N22" s="260">
        <f>-N21</f>
        <v>530582.91000000015</v>
      </c>
      <c r="O22" s="260">
        <f>-(O21-O18)</f>
        <v>-474849.58999999997</v>
      </c>
      <c r="P22" s="25">
        <f>SUM(L22:O22)</f>
        <v>335826.57999999996</v>
      </c>
      <c r="Q22" s="25">
        <f>L22+M22+O22</f>
        <v>-194756.33000000013</v>
      </c>
      <c r="S22" s="304">
        <f>-S21</f>
        <v>-194752.00000000003</v>
      </c>
      <c r="T22" s="147">
        <f t="shared" ref="T22:U22" si="27">-T21</f>
        <v>533107.91000000015</v>
      </c>
      <c r="U22" s="147">
        <f t="shared" si="27"/>
        <v>338355.90999999957</v>
      </c>
      <c r="V22" s="45" t="s">
        <v>508</v>
      </c>
      <c r="W22" s="245"/>
      <c r="X22" s="71" t="s">
        <v>450</v>
      </c>
      <c r="Y22" s="228"/>
      <c r="Z22" s="289"/>
      <c r="AA22" s="79"/>
      <c r="AB22" s="282"/>
      <c r="AC22" s="282"/>
      <c r="AD22" s="283" t="s">
        <v>219</v>
      </c>
      <c r="AG22" s="25"/>
      <c r="AH22" s="25"/>
      <c r="AL22" s="46">
        <f>420*5</f>
        <v>2100</v>
      </c>
    </row>
    <row r="23" spans="1:38" ht="15.75" thickBot="1" x14ac:dyDescent="0.3">
      <c r="A23" s="24">
        <v>2025</v>
      </c>
      <c r="B23" s="25">
        <f>[2]Pivot!B$22</f>
        <v>-188567.02000000002</v>
      </c>
      <c r="C23" s="25">
        <f>[2]Pivot!C$22</f>
        <v>507482.25999999937</v>
      </c>
      <c r="D23" s="25">
        <f>[2]Pivot!D$22</f>
        <v>-393948.69000000018</v>
      </c>
      <c r="E23" s="25">
        <f>[2]Pivot!E$22</f>
        <v>-75033.44999999975</v>
      </c>
      <c r="G23" s="262">
        <f>SUM(G6:G10)</f>
        <v>0.73519603030953018</v>
      </c>
      <c r="H23" s="262">
        <f>SUM(H6:H10)</f>
        <v>0.35123151521044815</v>
      </c>
      <c r="J23" s="27"/>
      <c r="K23" s="24" t="s">
        <v>448</v>
      </c>
      <c r="M23" s="261">
        <f>1-N23</f>
        <v>0.79507513952110154</v>
      </c>
      <c r="N23" s="20">
        <f>N5/P5</f>
        <v>0.20492486047889849</v>
      </c>
      <c r="Q23" s="116">
        <f>Q22*2</f>
        <v>-389512.66000000027</v>
      </c>
      <c r="S23" s="296">
        <f>S22*2</f>
        <v>-389504.00000000006</v>
      </c>
      <c r="T23" s="70">
        <f t="shared" ref="T23:U23" si="28">T22*2</f>
        <v>1066215.8200000003</v>
      </c>
      <c r="U23" s="70">
        <f t="shared" si="28"/>
        <v>676711.81999999913</v>
      </c>
      <c r="V23" s="69" t="s">
        <v>510</v>
      </c>
      <c r="W23" s="297"/>
      <c r="X23" s="300" t="s">
        <v>451</v>
      </c>
      <c r="Y23" s="284">
        <f>-Y21</f>
        <v>-389504.00000000006</v>
      </c>
      <c r="Z23" s="294">
        <f>-Z21</f>
        <v>649939.68670000019</v>
      </c>
      <c r="AA23" s="70">
        <f>-AA21</f>
        <v>260435.68670000028</v>
      </c>
      <c r="AB23" s="70">
        <f>-AB21</f>
        <v>962266.3612855887</v>
      </c>
      <c r="AC23" s="70">
        <f>-AC21</f>
        <v>1222702.0479855889</v>
      </c>
      <c r="AD23" s="285" t="s">
        <v>451</v>
      </c>
      <c r="AE23" s="70">
        <f>-AE21</f>
        <v>1327023.3879855883</v>
      </c>
      <c r="AG23" s="330"/>
      <c r="AH23" s="331"/>
      <c r="AI23" s="332">
        <f>AI21</f>
        <v>260435.68670000043</v>
      </c>
      <c r="AJ23" s="333" t="str">
        <f>AJ21</f>
        <v>Profit Full Yr</v>
      </c>
    </row>
    <row r="24" spans="1:38" ht="15.75" thickBot="1" x14ac:dyDescent="0.3">
      <c r="A24" s="24"/>
      <c r="B24" s="25"/>
      <c r="C24" s="25"/>
      <c r="D24" s="25"/>
      <c r="E24" s="26">
        <f>(-E21+C19)*2</f>
        <v>671653.15999999933</v>
      </c>
      <c r="J24" s="27"/>
      <c r="K24" s="24"/>
      <c r="L24" s="25"/>
      <c r="M24" s="25">
        <f>M23*O22</f>
        <v>-377541.10402078781</v>
      </c>
      <c r="N24" s="25">
        <f>N23*O22</f>
        <v>-97308.485979212142</v>
      </c>
      <c r="O24" s="43">
        <f>SUM(M6:M9)/(-M5)</f>
        <v>0.73871834473892573</v>
      </c>
      <c r="P24" s="43">
        <f>SUM(N6:N9)/(-N5)</f>
        <v>0.35123151521044815</v>
      </c>
      <c r="Q24" s="18" t="s">
        <v>482</v>
      </c>
      <c r="S24" s="298"/>
      <c r="T24" s="299"/>
      <c r="U24" s="299"/>
      <c r="V24" s="237"/>
      <c r="W24" s="239"/>
      <c r="X24" s="71"/>
      <c r="Y24" s="286"/>
      <c r="Z24" s="295"/>
      <c r="AA24" s="313">
        <f>AA23/AC23</f>
        <v>0.2130001230709232</v>
      </c>
      <c r="AB24" s="313">
        <f>AB23/AC23</f>
        <v>0.78699987692907691</v>
      </c>
      <c r="AC24" s="287">
        <f>AC23-U23</f>
        <v>545990.22798558977</v>
      </c>
      <c r="AD24" s="288" t="s">
        <v>462</v>
      </c>
    </row>
    <row r="25" spans="1:38" x14ac:dyDescent="0.25">
      <c r="A25" s="301" t="s">
        <v>222</v>
      </c>
      <c r="B25" s="301"/>
      <c r="F25" t="s">
        <v>221</v>
      </c>
      <c r="K25" s="24" t="s">
        <v>449</v>
      </c>
      <c r="M25" s="25">
        <f>M22-M24</f>
        <v>670693.22402078751</v>
      </c>
      <c r="N25" s="25">
        <f>N22-N24</f>
        <v>627891.39597921225</v>
      </c>
      <c r="S25" s="268">
        <f>'26 EBITDA ADJ (2)'!Y10</f>
        <v>3569.5</v>
      </c>
      <c r="T25" s="96">
        <v>0</v>
      </c>
      <c r="U25" s="308">
        <f>S25+T25</f>
        <v>3569.5</v>
      </c>
      <c r="X25" t="str">
        <f>'26 EBITDA ADJ (2)'!V10</f>
        <v>Add back Interest Expense</v>
      </c>
      <c r="Y25" s="314"/>
      <c r="Z25" s="314"/>
      <c r="AA25" s="315">
        <f>AA5*0.02</f>
        <v>-149321.0784</v>
      </c>
      <c r="AB25" s="316">
        <f>AB5*0.05</f>
        <v>-90000</v>
      </c>
      <c r="AC25" s="316">
        <f>AA25+AB25</f>
        <v>-239321.0784</v>
      </c>
      <c r="AD25" s="209" t="s">
        <v>474</v>
      </c>
      <c r="AE25" s="25">
        <f>AE5*0.04</f>
        <v>-375615.01039999997</v>
      </c>
      <c r="AG25" s="228"/>
      <c r="AH25" s="79"/>
      <c r="AI25" s="316">
        <f>-AI5*0.02</f>
        <v>-149321.0784</v>
      </c>
      <c r="AJ25" s="209" t="s">
        <v>487</v>
      </c>
    </row>
    <row r="26" spans="1:38" x14ac:dyDescent="0.25">
      <c r="A26" s="45" t="str">
        <f>A5</f>
        <v>1. Sales</v>
      </c>
      <c r="B26" s="26">
        <f>B5*2</f>
        <v>-3000387.86</v>
      </c>
      <c r="C26" s="26">
        <f t="shared" ref="C26:E26" si="29">C5*2</f>
        <v>-4465666.0599999996</v>
      </c>
      <c r="D26" s="26">
        <f t="shared" si="29"/>
        <v>-1924321.34</v>
      </c>
      <c r="E26" s="26">
        <f t="shared" si="29"/>
        <v>-9390375.2599999998</v>
      </c>
      <c r="F26" s="55">
        <f>B26/[2]Pivot!B5-1</f>
        <v>-0.11822123402099038</v>
      </c>
      <c r="G26" s="55">
        <f>C26/[2]Pivot!C5-1</f>
        <v>4.812564491626814E-2</v>
      </c>
      <c r="H26" s="55">
        <f>D26/[2]Pivot!D5-1</f>
        <v>1.2114666636388578</v>
      </c>
      <c r="I26" s="55">
        <f>E26/[2]Pivot!E5-1</f>
        <v>0.10042202158201596</v>
      </c>
      <c r="Q26" t="s">
        <v>219</v>
      </c>
      <c r="S26" s="268">
        <f>'26 EBITDA ADJ (2)'!Y11-T26</f>
        <v>208628.56000000006</v>
      </c>
      <c r="T26" s="268">
        <v>4553</v>
      </c>
      <c r="U26" s="268">
        <f t="shared" ref="U26:U30" si="30">S26+T26</f>
        <v>213181.56000000006</v>
      </c>
      <c r="X26" t="str">
        <f>'26 EBITDA ADJ (2)'!V11</f>
        <v>Add back Depreciation</v>
      </c>
      <c r="Y26" s="314"/>
      <c r="Z26" s="314"/>
      <c r="AA26" s="28">
        <f>AC26*AA24</f>
        <v>-25064.150482001674</v>
      </c>
      <c r="AB26" s="25">
        <f>AC26*AB24</f>
        <v>-92607.849517998344</v>
      </c>
      <c r="AC26" s="25">
        <f>Synergies!F7</f>
        <v>-117672</v>
      </c>
      <c r="AD26" s="242" t="str">
        <f>Synergies!B7</f>
        <v>$500k Upfront (paid over 5 years) 6.6%</v>
      </c>
      <c r="AE26" s="25">
        <f>AC26</f>
        <v>-117672</v>
      </c>
      <c r="AG26" s="231"/>
      <c r="AI26" s="25">
        <v>0</v>
      </c>
      <c r="AJ26" s="242" t="s">
        <v>485</v>
      </c>
    </row>
    <row r="27" spans="1:38" x14ac:dyDescent="0.25">
      <c r="A27" t="str">
        <f t="shared" ref="A27:A42" si="31">A6</f>
        <v>2. Variable cost Labor</v>
      </c>
      <c r="B27" s="25">
        <f t="shared" ref="B27:E27" si="32">B6*2</f>
        <v>686376.24</v>
      </c>
      <c r="C27" s="25">
        <f t="shared" si="32"/>
        <v>996513.02</v>
      </c>
      <c r="D27" s="25">
        <f t="shared" si="32"/>
        <v>631506.16</v>
      </c>
      <c r="E27" s="25">
        <f t="shared" si="32"/>
        <v>2314395.42</v>
      </c>
      <c r="F27" s="20">
        <f>F6-[2]Pivot!F6</f>
        <v>2.7699236319948334E-2</v>
      </c>
      <c r="G27" s="20">
        <f>G6-[2]Pivot!G6</f>
        <v>-6.6119333704392491E-4</v>
      </c>
      <c r="H27" s="20">
        <f>H6-[2]Pivot!H6</f>
        <v>-1.7588736923933979E-2</v>
      </c>
      <c r="I27" s="20">
        <f>I6-[2]Pivot!I6</f>
        <v>1.9288971535425803E-2</v>
      </c>
      <c r="K27" s="24"/>
      <c r="L27" s="43"/>
      <c r="M27" s="43"/>
      <c r="S27" s="268">
        <f>'26 EBITDA ADJ (2)'!Y12</f>
        <v>35769.480000000003</v>
      </c>
      <c r="T27" s="268"/>
      <c r="U27" s="268">
        <f t="shared" si="30"/>
        <v>35769.480000000003</v>
      </c>
      <c r="X27" t="str">
        <f>'26 EBITDA ADJ (2)'!V12</f>
        <v>Add back Bank Charges②</v>
      </c>
      <c r="Y27" s="314"/>
      <c r="Z27" s="314"/>
      <c r="AA27" s="28">
        <f>AC27*AA24</f>
        <v>-14910.008614964623</v>
      </c>
      <c r="AB27" s="25">
        <f>AC27*AB24</f>
        <v>-55089.991385035384</v>
      </c>
      <c r="AC27" s="25">
        <f>Synergies!F8</f>
        <v>-70000</v>
      </c>
      <c r="AD27" s="242" t="str">
        <f>Synergies!B8</f>
        <v>$1M Inv Carry Cost @7%</v>
      </c>
      <c r="AE27" s="25">
        <f>AC27</f>
        <v>-70000</v>
      </c>
      <c r="AG27" s="231"/>
      <c r="AI27" s="25">
        <f>AC27</f>
        <v>-70000</v>
      </c>
      <c r="AJ27" s="242" t="s">
        <v>437</v>
      </c>
    </row>
    <row r="28" spans="1:38" x14ac:dyDescent="0.25">
      <c r="A28" t="str">
        <f t="shared" si="31"/>
        <v>2. Variable cost Mat</v>
      </c>
      <c r="B28" s="25">
        <f t="shared" ref="B28:E28" si="33">B7*2</f>
        <v>1711702.2</v>
      </c>
      <c r="C28" s="25">
        <f t="shared" si="33"/>
        <v>2286821.6</v>
      </c>
      <c r="D28" s="25">
        <f t="shared" si="33"/>
        <v>44376.14</v>
      </c>
      <c r="E28" s="25">
        <f t="shared" si="33"/>
        <v>4042899.94</v>
      </c>
      <c r="F28" s="20">
        <f>F7-[2]Pivot!F7</f>
        <v>2.8061848681763646E-2</v>
      </c>
      <c r="G28" s="20">
        <f>G7-[2]Pivot!G7</f>
        <v>5.7809978811815821E-3</v>
      </c>
      <c r="H28" s="20">
        <f>H7-[2]Pivot!H7</f>
        <v>-4.2176287903475107E-3</v>
      </c>
      <c r="I28" s="20">
        <f>I7-[2]Pivot!I7</f>
        <v>-4.1329143880725561E-2</v>
      </c>
      <c r="K28" s="24" t="s">
        <v>218</v>
      </c>
      <c r="L28" s="43">
        <f>(L16+L17)/L16</f>
        <v>0.9824788359737564</v>
      </c>
      <c r="M28" s="43">
        <f>(M16+M17)/M16</f>
        <v>0.57292757171927788</v>
      </c>
      <c r="S28" s="268">
        <f>'26 EBITDA ADJ (2)'!Y13-T28</f>
        <v>-55914</v>
      </c>
      <c r="T28" s="268">
        <f>-'26 EBITDA ADJ (2)'!AB36</f>
        <v>-10500</v>
      </c>
      <c r="U28" s="268">
        <f t="shared" si="30"/>
        <v>-66414</v>
      </c>
      <c r="X28" t="s">
        <v>466</v>
      </c>
      <c r="Y28" s="314"/>
      <c r="Z28" s="314"/>
      <c r="AA28" s="28">
        <f>Synergies!F5-AB28</f>
        <v>-20000</v>
      </c>
      <c r="AB28" s="25">
        <f>-5000</f>
        <v>-5000</v>
      </c>
      <c r="AC28" s="25">
        <f>SUM(AA28:AB28)</f>
        <v>-25000</v>
      </c>
      <c r="AD28" s="242" t="s">
        <v>468</v>
      </c>
      <c r="AE28" s="25">
        <f>AC28</f>
        <v>-25000</v>
      </c>
      <c r="AG28" s="231"/>
      <c r="AI28" s="25">
        <f>-240000/12</f>
        <v>-20000</v>
      </c>
      <c r="AJ28" s="242" t="s">
        <v>486</v>
      </c>
    </row>
    <row r="29" spans="1:38" x14ac:dyDescent="0.25">
      <c r="A29" t="str">
        <f t="shared" si="31"/>
        <v>2a. Variable cost Mat</v>
      </c>
      <c r="B29" s="25">
        <f t="shared" ref="B29:E29" si="34">B8*2</f>
        <v>0</v>
      </c>
      <c r="C29" s="25">
        <f t="shared" si="34"/>
        <v>-39214.26</v>
      </c>
      <c r="D29" s="25">
        <f t="shared" si="34"/>
        <v>0</v>
      </c>
      <c r="E29" s="25">
        <f t="shared" si="34"/>
        <v>-39214.26</v>
      </c>
      <c r="F29" s="20">
        <f>F8-[2]Pivot!F8</f>
        <v>0</v>
      </c>
      <c r="G29" s="20">
        <f>G8-[2]Pivot!G8</f>
        <v>3.5708312855650681E-3</v>
      </c>
      <c r="H29" s="20">
        <f>H8-[2]Pivot!H8</f>
        <v>0</v>
      </c>
      <c r="I29" s="20">
        <f>I8-[2]Pivot!I8</f>
        <v>1.9912277721189815E-3</v>
      </c>
      <c r="K29" s="24"/>
      <c r="L29" s="43"/>
      <c r="M29" s="43"/>
      <c r="S29" s="268">
        <f>'26 EBITDA ADJ (2)'!Y14</f>
        <v>-23244.899999999998</v>
      </c>
      <c r="T29" s="268"/>
      <c r="U29" s="268">
        <f t="shared" si="30"/>
        <v>-23244.899999999998</v>
      </c>
      <c r="X29" t="s">
        <v>467</v>
      </c>
      <c r="Y29" s="314"/>
      <c r="Z29" s="314"/>
      <c r="AA29" s="231"/>
      <c r="AD29" s="242"/>
      <c r="AG29" s="231"/>
      <c r="AJ29" s="242"/>
    </row>
    <row r="30" spans="1:38" x14ac:dyDescent="0.25">
      <c r="A30" t="str">
        <f t="shared" si="31"/>
        <v>2a. Variable cost Mat Out/Env</v>
      </c>
      <c r="B30" s="25">
        <f t="shared" ref="B30:E30" si="35">B9*2</f>
        <v>0</v>
      </c>
      <c r="C30" s="25">
        <f t="shared" si="35"/>
        <v>23416.34</v>
      </c>
      <c r="D30" s="25">
        <f t="shared" si="35"/>
        <v>0</v>
      </c>
      <c r="E30" s="25">
        <f t="shared" si="35"/>
        <v>23416.34</v>
      </c>
      <c r="F30" s="20">
        <f>F9-[2]Pivot!F9</f>
        <v>-1.5188439138852266E-4</v>
      </c>
      <c r="G30" s="20">
        <f>G9-[2]Pivot!G9</f>
        <v>-1.6654386119445723E-3</v>
      </c>
      <c r="H30" s="20">
        <f>H9-[2]Pivot!H9</f>
        <v>0</v>
      </c>
      <c r="I30" s="20">
        <f>I9-[2]Pivot!I9</f>
        <v>-1.0165140234664853E-3</v>
      </c>
      <c r="K30" s="24"/>
      <c r="L30" s="43"/>
      <c r="M30" s="43"/>
      <c r="S30" s="268">
        <f>'26 EBITDA ADJ (2)'!Y15*0.8</f>
        <v>80000</v>
      </c>
      <c r="T30" s="268">
        <f>'26 EBITDA ADJ (2)'!Y15*0.2</f>
        <v>20000</v>
      </c>
      <c r="U30" s="268">
        <f t="shared" si="30"/>
        <v>100000</v>
      </c>
      <c r="X30" t="str">
        <f>'26 EBITDA ADJ (2)'!V15</f>
        <v>Add back 1 owner salary</v>
      </c>
      <c r="Y30" s="314"/>
      <c r="Z30" s="314"/>
      <c r="AA30" s="231"/>
      <c r="AD30" s="242"/>
      <c r="AG30" s="231"/>
      <c r="AJ30" s="242"/>
    </row>
    <row r="31" spans="1:38" ht="15.75" thickBot="1" x14ac:dyDescent="0.3">
      <c r="A31" t="str">
        <f t="shared" si="31"/>
        <v>8c. Frt Exp</v>
      </c>
      <c r="B31" s="25">
        <f t="shared" ref="B31:E31" si="36">B10*2</f>
        <v>11465.6</v>
      </c>
      <c r="C31" s="25">
        <f t="shared" si="36"/>
        <v>15603.260000000002</v>
      </c>
      <c r="D31" s="25">
        <f t="shared" si="36"/>
        <v>0</v>
      </c>
      <c r="E31" s="25">
        <f t="shared" si="36"/>
        <v>27068.86</v>
      </c>
      <c r="F31" s="20">
        <f>F10-[2]Pivot!F10</f>
        <v>-1.074285606793022E-3</v>
      </c>
      <c r="G31" s="20">
        <f>G10-[2]Pivot!G10</f>
        <v>4.2578790585130061E-5</v>
      </c>
      <c r="H31" s="20">
        <f>H10-[2]Pivot!H10</f>
        <v>-1.0336075768285085E-4</v>
      </c>
      <c r="I31" s="20">
        <f>I10-[2]Pivot!I10</f>
        <v>-8.0330677749630838E-4</v>
      </c>
      <c r="K31" s="24"/>
      <c r="L31" s="43"/>
      <c r="M31" s="43"/>
      <c r="S31" s="70">
        <f>SUM(S23:S30)</f>
        <v>-140695.35999999999</v>
      </c>
      <c r="T31" s="70">
        <f>SUM(T23:T30)</f>
        <v>1080268.8200000003</v>
      </c>
      <c r="U31" s="70">
        <f>SUM(U23:U30)</f>
        <v>939573.45999999915</v>
      </c>
      <c r="V31" s="267"/>
      <c r="W31" s="267"/>
      <c r="X31" s="69" t="s">
        <v>455</v>
      </c>
      <c r="Y31" s="314"/>
      <c r="Z31" s="314"/>
      <c r="AA31" s="317">
        <f>AA23+SUM(AA25:AA30)</f>
        <v>51140.449203033961</v>
      </c>
      <c r="AB31" s="318">
        <f>AB23+SUM(AB25:AB30)</f>
        <v>719568.52038255497</v>
      </c>
      <c r="AC31" s="318">
        <f>AC23+SUM(AC25:AC30)</f>
        <v>770708.9695855889</v>
      </c>
      <c r="AD31" s="319" t="s">
        <v>481</v>
      </c>
      <c r="AE31" s="318">
        <f>AE23+SUM(AE25:AE30)</f>
        <v>738736.37758558826</v>
      </c>
      <c r="AG31" s="286"/>
      <c r="AH31" s="237"/>
      <c r="AI31" s="317">
        <f>AI23+SUM(AI25:AI30)</f>
        <v>21114.608300000429</v>
      </c>
      <c r="AJ31" s="319" t="s">
        <v>481</v>
      </c>
    </row>
    <row r="32" spans="1:38" x14ac:dyDescent="0.25">
      <c r="A32" t="str">
        <f t="shared" si="31"/>
        <v>3. Mfg IDL</v>
      </c>
      <c r="B32" s="25">
        <f t="shared" ref="B32:E32" si="37">B11*2</f>
        <v>174246.02000000002</v>
      </c>
      <c r="C32" s="25">
        <f t="shared" si="37"/>
        <v>230557</v>
      </c>
      <c r="D32" s="56">
        <f t="shared" si="37"/>
        <v>24828.720000000001</v>
      </c>
      <c r="E32" s="25">
        <f t="shared" si="37"/>
        <v>429631.74</v>
      </c>
      <c r="F32" s="20">
        <f>F11-[2]Pivot!F11</f>
        <v>6.8685189719281045E-3</v>
      </c>
      <c r="G32" s="20">
        <f>G11-[2]Pivot!G11</f>
        <v>-1.3437408742119593E-2</v>
      </c>
      <c r="H32" s="59">
        <f>H11-[2]Pivot!H11</f>
        <v>-0.10173112608554506</v>
      </c>
      <c r="I32" s="20">
        <f>I11-[2]Pivot!I11</f>
        <v>-1.88415892591728E-2</v>
      </c>
      <c r="K32" s="60" t="s">
        <v>223</v>
      </c>
      <c r="L32" s="43"/>
      <c r="M32" s="43"/>
      <c r="S32" s="266">
        <v>3.5</v>
      </c>
      <c r="T32" s="266">
        <f>S32</f>
        <v>3.5</v>
      </c>
      <c r="U32" s="266">
        <f>T32</f>
        <v>3.5</v>
      </c>
      <c r="X32" t="s">
        <v>452</v>
      </c>
      <c r="AG32" s="228"/>
      <c r="AH32" s="79"/>
      <c r="AI32" s="316">
        <f>-Synergies!G38-Synergies!G33-Synergies!F28</f>
        <v>-157440</v>
      </c>
      <c r="AJ32" s="209" t="s">
        <v>495</v>
      </c>
    </row>
    <row r="33" spans="1:36" ht="15.75" thickBot="1" x14ac:dyDescent="0.3">
      <c r="A33" t="str">
        <f t="shared" si="31"/>
        <v>4. Mfg OVHD</v>
      </c>
      <c r="B33" s="25">
        <f t="shared" ref="B33:E33" si="38">B12*2</f>
        <v>372419.78</v>
      </c>
      <c r="C33" s="25">
        <f t="shared" si="38"/>
        <v>405999.28</v>
      </c>
      <c r="D33" s="25">
        <f t="shared" si="38"/>
        <v>165489.13999999998</v>
      </c>
      <c r="E33" s="25">
        <f t="shared" si="38"/>
        <v>943908.20000000007</v>
      </c>
      <c r="F33" s="20">
        <f>F12-[2]Pivot!F13</f>
        <v>1.0265792472237315E-2</v>
      </c>
      <c r="G33" s="20">
        <f>G12-[2]Pivot!G13</f>
        <v>5.6745890257395709E-3</v>
      </c>
      <c r="H33" s="20">
        <f>H12-[2]Pivot!H13</f>
        <v>-7.4265472715915493E-2</v>
      </c>
      <c r="I33" s="20">
        <f>I12-[2]Pivot!I13</f>
        <v>-3.7834037836262518E-3</v>
      </c>
      <c r="K33" s="24" t="s">
        <v>224</v>
      </c>
      <c r="L33" s="43"/>
      <c r="M33" s="43"/>
      <c r="S33" s="309">
        <f>S31*S32</f>
        <v>-492433.75999999995</v>
      </c>
      <c r="T33" s="309">
        <f>T31*T32</f>
        <v>3780940.870000001</v>
      </c>
      <c r="U33" s="310">
        <f>U31*U32</f>
        <v>3288507.1099999971</v>
      </c>
      <c r="V33" s="311"/>
      <c r="W33" s="311"/>
      <c r="X33" s="312" t="s">
        <v>453</v>
      </c>
      <c r="AG33" s="231"/>
      <c r="AI33" s="25">
        <v>-100000</v>
      </c>
      <c r="AJ33" s="242" t="s">
        <v>499</v>
      </c>
    </row>
    <row r="34" spans="1:36" ht="16.5" thickTop="1" thickBot="1" x14ac:dyDescent="0.3">
      <c r="A34" t="str">
        <f t="shared" si="31"/>
        <v>7. Selling</v>
      </c>
      <c r="B34" s="25">
        <f t="shared" ref="B34:E34" si="39">B13*2</f>
        <v>73113.08</v>
      </c>
      <c r="C34" s="25">
        <f t="shared" si="39"/>
        <v>355637.58000000007</v>
      </c>
      <c r="D34" s="25">
        <f t="shared" si="39"/>
        <v>0</v>
      </c>
      <c r="E34" s="25">
        <f t="shared" si="39"/>
        <v>428750.66000000009</v>
      </c>
      <c r="F34" s="20">
        <f>F13-[2]Pivot!F14</f>
        <v>2.7032889501947301E-3</v>
      </c>
      <c r="G34" s="20">
        <f>G13-[2]Pivot!G14</f>
        <v>-9.7894050012387462E-3</v>
      </c>
      <c r="H34" s="20">
        <f>H13-[2]Pivot!H14</f>
        <v>0</v>
      </c>
      <c r="I34" s="20">
        <f>I13-[2]Pivot!I14</f>
        <v>-7.630031245658711E-3</v>
      </c>
      <c r="K34" s="24"/>
      <c r="L34" s="43"/>
      <c r="M34" s="43"/>
      <c r="S34" s="268"/>
      <c r="T34" s="268">
        <f>'26 EBITDA ADJ (2)'!Y19</f>
        <v>-91884.670000000042</v>
      </c>
      <c r="U34" s="268">
        <f t="shared" ref="U34:U37" si="40">S34+T34</f>
        <v>-91884.670000000042</v>
      </c>
      <c r="X34" t="s">
        <v>423</v>
      </c>
      <c r="AG34" s="286"/>
      <c r="AH34" s="237"/>
      <c r="AI34" s="317">
        <f>AI31-AI32-AI33</f>
        <v>278554.60830000043</v>
      </c>
      <c r="AJ34" s="319" t="str">
        <f>AJ31</f>
        <v>Profit &amp; Loss Ongoing</v>
      </c>
    </row>
    <row r="35" spans="1:36" x14ac:dyDescent="0.25">
      <c r="A35" t="str">
        <f t="shared" si="31"/>
        <v>8. Admin</v>
      </c>
      <c r="B35" s="25">
        <f t="shared" ref="B35:E35" si="41">B14*2</f>
        <v>80860.94</v>
      </c>
      <c r="C35" s="25">
        <f t="shared" si="41"/>
        <v>680624.06</v>
      </c>
      <c r="D35" s="25">
        <f t="shared" si="41"/>
        <v>38990.74</v>
      </c>
      <c r="E35" s="25">
        <f t="shared" si="41"/>
        <v>800475.74</v>
      </c>
      <c r="F35" s="20">
        <f>F14-[2]Pivot!F15</f>
        <v>-6.5113526303768945E-4</v>
      </c>
      <c r="G35" s="20">
        <f>G14-[2]Pivot!G15</f>
        <v>-3.1254649652578959E-2</v>
      </c>
      <c r="H35" s="20">
        <f>H14-[2]Pivot!H15</f>
        <v>-1.7910396822858558E-2</v>
      </c>
      <c r="I35" s="20">
        <f>I14-[2]Pivot!I15</f>
        <v>-2.1356513666192151E-2</v>
      </c>
      <c r="K35" s="48"/>
      <c r="L35" s="43"/>
      <c r="M35" s="43"/>
      <c r="S35" s="268"/>
      <c r="T35" s="268">
        <f>'26 EBITDA ADJ (2)'!Y20</f>
        <v>-91884.670000000042</v>
      </c>
      <c r="U35" s="268">
        <f t="shared" si="40"/>
        <v>-91884.670000000042</v>
      </c>
      <c r="X35" t="s">
        <v>464</v>
      </c>
      <c r="AH35" s="231"/>
      <c r="AJ35" s="245" t="s">
        <v>490</v>
      </c>
    </row>
    <row r="36" spans="1:36" x14ac:dyDescent="0.25">
      <c r="A36" t="str">
        <f t="shared" si="31"/>
        <v>8. Admin IT</v>
      </c>
      <c r="B36" s="25">
        <f t="shared" ref="B36:E36" si="42">B15*2</f>
        <v>1943.28</v>
      </c>
      <c r="C36" s="25">
        <f t="shared" si="42"/>
        <v>24693.58</v>
      </c>
      <c r="D36" s="25">
        <f t="shared" si="42"/>
        <v>1650.62</v>
      </c>
      <c r="E36" s="25">
        <f t="shared" si="42"/>
        <v>28287.48</v>
      </c>
      <c r="F36" s="20">
        <f>F15-[2]Pivot!F16</f>
        <v>-1.6828979397431009E-4</v>
      </c>
      <c r="G36" s="20">
        <f>G15-[2]Pivot!G16</f>
        <v>8.1743290709224755E-4</v>
      </c>
      <c r="H36" s="20">
        <f>H15-[2]Pivot!H16</f>
        <v>-8.3706637662433136E-4</v>
      </c>
      <c r="I36" s="20">
        <f>I15-[2]Pivot!I16</f>
        <v>1.6146244772633281E-4</v>
      </c>
      <c r="K36" s="24"/>
      <c r="L36" s="43"/>
      <c r="M36" s="43"/>
      <c r="S36" s="268"/>
      <c r="T36" s="268">
        <f>'26 EBITDA ADJ (2)'!Y21</f>
        <v>10185.940642794274</v>
      </c>
      <c r="U36" s="268">
        <f t="shared" si="40"/>
        <v>10185.940642794274</v>
      </c>
      <c r="X36" t="s">
        <v>428</v>
      </c>
      <c r="AH36" s="231"/>
      <c r="AI36" s="25">
        <f>AI5*0.03*3</f>
        <v>671944.85279999999</v>
      </c>
      <c r="AJ36" s="242" t="s">
        <v>488</v>
      </c>
    </row>
    <row r="37" spans="1:36" ht="15.75" thickBot="1" x14ac:dyDescent="0.3">
      <c r="A37" t="str">
        <f t="shared" si="31"/>
        <v>8a. Frt Income</v>
      </c>
      <c r="B37" s="25">
        <f t="shared" ref="B37:E37" si="43">B16*2</f>
        <v>-372175.35999999999</v>
      </c>
      <c r="C37" s="25">
        <f t="shared" si="43"/>
        <v>-290297.03999999998</v>
      </c>
      <c r="D37" s="25">
        <f t="shared" si="43"/>
        <v>0</v>
      </c>
      <c r="E37" s="25">
        <f t="shared" si="43"/>
        <v>-662472.39999999991</v>
      </c>
      <c r="F37" s="20">
        <f>F16-[2]Pivot!F17</f>
        <v>-3.3929055107747144E-2</v>
      </c>
      <c r="G37" s="20">
        <f>G16-[2]Pivot!G17</f>
        <v>8.0304336142830723E-4</v>
      </c>
      <c r="H37" s="20">
        <f>H16-[2]Pivot!H17</f>
        <v>0</v>
      </c>
      <c r="I37" s="20">
        <f>I16-[2]Pivot!I17</f>
        <v>-1.7581262773750245E-3</v>
      </c>
      <c r="K37" s="24"/>
      <c r="L37" s="43"/>
      <c r="M37" s="43"/>
      <c r="S37" s="268"/>
      <c r="T37" s="268">
        <f>'26 EBITDA ADJ (2)'!Y22</f>
        <v>10185.940642794274</v>
      </c>
      <c r="U37" s="268">
        <f t="shared" si="40"/>
        <v>10185.940642794274</v>
      </c>
      <c r="X37" t="s">
        <v>465</v>
      </c>
      <c r="AA37" s="71" t="str">
        <f>AA4</f>
        <v>Hillsboro</v>
      </c>
      <c r="AB37" s="71" t="str">
        <f>AB4</f>
        <v>Pixelle</v>
      </c>
      <c r="AC37" s="71" t="str">
        <f>AC4</f>
        <v>TOTAL</v>
      </c>
      <c r="AH37" s="286" t="s">
        <v>496</v>
      </c>
      <c r="AI37" s="41">
        <f>AI5*0.02*4.5</f>
        <v>671944.85279999999</v>
      </c>
      <c r="AJ37" s="239" t="s">
        <v>489</v>
      </c>
    </row>
    <row r="38" spans="1:36" ht="15.75" thickBot="1" x14ac:dyDescent="0.3">
      <c r="A38" t="str">
        <f t="shared" si="31"/>
        <v>8b. Frt Exp</v>
      </c>
      <c r="B38" s="25">
        <f t="shared" ref="B38:E38" si="44">B17*2</f>
        <v>291655.28000000003</v>
      </c>
      <c r="C38" s="25">
        <f t="shared" si="44"/>
        <v>250915.8</v>
      </c>
      <c r="D38" s="25">
        <f t="shared" si="44"/>
        <v>0</v>
      </c>
      <c r="E38" s="25">
        <f t="shared" si="44"/>
        <v>542571.08000000007</v>
      </c>
      <c r="F38" s="20">
        <f>F17-[2]Pivot!F18</f>
        <v>2.4880993070616544E-2</v>
      </c>
      <c r="G38" s="20">
        <f>G17-[2]Pivot!G18</f>
        <v>3.7073920580797462E-3</v>
      </c>
      <c r="H38" s="20">
        <f>H17-[2]Pivot!H18</f>
        <v>0</v>
      </c>
      <c r="I38" s="20">
        <f>I17-[2]Pivot!I18</f>
        <v>2.7376810475735064E-3</v>
      </c>
      <c r="K38" s="24"/>
      <c r="L38" s="43"/>
      <c r="M38" s="43"/>
      <c r="S38" s="70">
        <f>S31+SUM(S34:S37)</f>
        <v>-140695.35999999999</v>
      </c>
      <c r="T38" s="70">
        <f t="shared" ref="T38:U38" si="45">T31+SUM(T34:T37)</f>
        <v>916871.3612855887</v>
      </c>
      <c r="U38" s="70">
        <f t="shared" si="45"/>
        <v>776176.00128558767</v>
      </c>
      <c r="V38" s="267"/>
      <c r="W38" s="267"/>
      <c r="X38" s="69" t="s">
        <v>454</v>
      </c>
      <c r="AA38" s="315">
        <f>-AA5</f>
        <v>7466053.9199999999</v>
      </c>
      <c r="AB38" s="316">
        <f>-AB5</f>
        <v>1800000</v>
      </c>
      <c r="AC38" s="321">
        <f>-AC5</f>
        <v>9266053.9199999999</v>
      </c>
      <c r="AD38" s="209" t="s">
        <v>231</v>
      </c>
    </row>
    <row r="39" spans="1:36" x14ac:dyDescent="0.25">
      <c r="A39" t="str">
        <f t="shared" si="31"/>
        <v>9. Scrap &amp; Misc Inc</v>
      </c>
      <c r="B39" s="25">
        <f t="shared" ref="B39:E39" si="46">B18*2</f>
        <v>-5110.1400000000003</v>
      </c>
      <c r="C39" s="25">
        <f t="shared" si="46"/>
        <v>-112209.22</v>
      </c>
      <c r="D39" s="62">
        <f t="shared" si="46"/>
        <v>-43686</v>
      </c>
      <c r="E39" s="25">
        <f t="shared" si="46"/>
        <v>-161005.35999999999</v>
      </c>
      <c r="F39" s="20">
        <f>F18-[2]Pivot!F19</f>
        <v>-3.8598201392491894E-4</v>
      </c>
      <c r="G39" s="20">
        <f>G18-[2]Pivot!G19</f>
        <v>2.1395681111018895E-3</v>
      </c>
      <c r="H39" s="20">
        <f>H18-[2]Pivot!H19</f>
        <v>-1.7749470269372132E-2</v>
      </c>
      <c r="I39" s="20">
        <f>I18-[2]Pivot!I19</f>
        <v>-2.5016966531727341E-3</v>
      </c>
      <c r="K39" s="24"/>
      <c r="L39" s="43"/>
      <c r="M39" s="43"/>
      <c r="S39" s="266">
        <v>3.5</v>
      </c>
      <c r="T39" s="266">
        <f>S39</f>
        <v>3.5</v>
      </c>
      <c r="U39" s="266">
        <f>T39</f>
        <v>3.5</v>
      </c>
      <c r="X39" t="s">
        <v>452</v>
      </c>
      <c r="AA39" s="322">
        <v>0.02</v>
      </c>
      <c r="AB39" s="323">
        <v>0.05</v>
      </c>
      <c r="AD39" s="232" t="s">
        <v>470</v>
      </c>
      <c r="AH39" s="228"/>
      <c r="AI39" s="316">
        <f>AI37</f>
        <v>671944.85279999999</v>
      </c>
      <c r="AJ39" s="209" t="str">
        <f>AJ37</f>
        <v>2% Forms for 4.5Years</v>
      </c>
    </row>
    <row r="40" spans="1:36" ht="15.75" thickBot="1" x14ac:dyDescent="0.3">
      <c r="A40" t="str">
        <f t="shared" si="31"/>
        <v>91. Other Inc/Exp</v>
      </c>
      <c r="B40" s="25">
        <f>B19*2</f>
        <v>8.66</v>
      </c>
      <c r="C40" s="56">
        <v>0</v>
      </c>
      <c r="D40" s="25">
        <f>D19*2</f>
        <v>0</v>
      </c>
      <c r="E40" s="56">
        <v>0</v>
      </c>
      <c r="F40" s="20">
        <f>F19-[2]Pivot!F20</f>
        <v>3.3682702529684201E-6</v>
      </c>
      <c r="G40" s="20">
        <v>0</v>
      </c>
      <c r="H40" s="20">
        <f>H19-[2]Pivot!H20</f>
        <v>0</v>
      </c>
      <c r="I40" s="20">
        <f>I19-[2]Pivot!I20</f>
        <v>-2.984211612544797E-2</v>
      </c>
      <c r="K40" s="24"/>
      <c r="L40" s="43"/>
      <c r="M40" s="43"/>
      <c r="S40" s="271">
        <f>S38*S39</f>
        <v>-492433.75999999995</v>
      </c>
      <c r="T40" s="271">
        <f>T38*T39</f>
        <v>3209049.7644995605</v>
      </c>
      <c r="U40" s="269">
        <f>U38*U39</f>
        <v>2716616.004499557</v>
      </c>
      <c r="V40" s="270"/>
      <c r="W40" s="270"/>
      <c r="X40" s="272" t="s">
        <v>456</v>
      </c>
      <c r="AA40" s="28">
        <f>AA38*AA39</f>
        <v>149321.0784</v>
      </c>
      <c r="AB40" s="25">
        <f>AB38*AB39</f>
        <v>90000</v>
      </c>
      <c r="AC40" s="26">
        <f>SUM(AA40:AB40)</f>
        <v>239321.0784</v>
      </c>
      <c r="AD40" s="245" t="s">
        <v>475</v>
      </c>
      <c r="AH40" s="231"/>
      <c r="AI40" s="25">
        <v>1000000</v>
      </c>
      <c r="AJ40" s="242" t="s">
        <v>497</v>
      </c>
    </row>
    <row r="41" spans="1:36" ht="16.5" thickTop="1" thickBot="1" x14ac:dyDescent="0.3">
      <c r="A41" t="str">
        <f t="shared" si="31"/>
        <v>99. Elim</v>
      </c>
      <c r="B41" s="25">
        <f t="shared" ref="B41:E41" si="47">B20*2</f>
        <v>0</v>
      </c>
      <c r="C41" s="25">
        <f t="shared" si="47"/>
        <v>0</v>
      </c>
      <c r="D41" s="25">
        <f t="shared" si="47"/>
        <v>0</v>
      </c>
      <c r="E41" s="25">
        <f t="shared" si="47"/>
        <v>0</v>
      </c>
      <c r="F41" s="20">
        <f>F20-[2]Pivot!F21</f>
        <v>0</v>
      </c>
      <c r="G41" s="20">
        <f>G20-[2]Pivot!G21</f>
        <v>0</v>
      </c>
      <c r="H41" s="20">
        <f>H20-[2]Pivot!H21</f>
        <v>0</v>
      </c>
      <c r="I41" s="20">
        <f>I20-[2]Pivot!I21</f>
        <v>0</v>
      </c>
      <c r="K41" s="24"/>
      <c r="L41" s="43"/>
      <c r="M41" s="43"/>
      <c r="U41" s="268">
        <v>-1500000</v>
      </c>
      <c r="X41" t="s">
        <v>471</v>
      </c>
      <c r="AA41" s="139">
        <v>5</v>
      </c>
      <c r="AB41" s="82">
        <v>5</v>
      </c>
      <c r="AC41" s="237"/>
      <c r="AD41" s="239" t="s">
        <v>469</v>
      </c>
      <c r="AH41" s="231"/>
      <c r="AJ41" s="242"/>
    </row>
    <row r="42" spans="1:36" ht="15.75" thickBot="1" x14ac:dyDescent="0.3">
      <c r="A42" s="53" t="str">
        <f t="shared" si="31"/>
        <v>Grand Total</v>
      </c>
      <c r="B42" s="54">
        <f>SUM(B26:B41)</f>
        <v>26117.719999999896</v>
      </c>
      <c r="C42" s="54">
        <f>SUM(C26:C41)</f>
        <v>363394.94000000076</v>
      </c>
      <c r="D42" s="54">
        <f>SUM(D26:D41)</f>
        <v>-1061165.8200000003</v>
      </c>
      <c r="E42" s="54">
        <f>SUM(E26:E41)</f>
        <v>-671661.81999999925</v>
      </c>
      <c r="F42" s="20">
        <f>F21-[2]Pivot!F22</f>
        <v>6.412241456007596E-2</v>
      </c>
      <c r="G42" s="20">
        <f>G21-[2]Pivot!G22</f>
        <v>-9.6853039442466468E-2</v>
      </c>
      <c r="H42" s="20">
        <f>H21-[2]Pivot!H22</f>
        <v>-9.8716062090129508E-2</v>
      </c>
      <c r="I42" s="20">
        <f>I21-[2]Pivot!I22</f>
        <v>-9.0847040256059636E-2</v>
      </c>
      <c r="K42" s="24"/>
      <c r="L42" s="43"/>
      <c r="M42" s="43"/>
      <c r="S42" s="271"/>
      <c r="T42" s="271"/>
      <c r="U42" s="269">
        <f>U40+U41</f>
        <v>1216616.004499557</v>
      </c>
      <c r="V42" s="270"/>
      <c r="W42" s="270"/>
      <c r="X42" s="272" t="s">
        <v>472</v>
      </c>
      <c r="AA42" s="320">
        <f>AA40*AA41</f>
        <v>746605.39199999999</v>
      </c>
      <c r="AB42" s="320">
        <f>AB40*AB41</f>
        <v>450000</v>
      </c>
      <c r="AC42" s="320">
        <f>SUM(AA42:AB42)</f>
        <v>1196605.392</v>
      </c>
      <c r="AD42" s="320" t="s">
        <v>473</v>
      </c>
      <c r="AH42" s="286"/>
      <c r="AI42" s="334">
        <f>AI39+AI40</f>
        <v>1671944.8528</v>
      </c>
      <c r="AJ42" s="335" t="s">
        <v>498</v>
      </c>
    </row>
    <row r="43" spans="1:36" ht="15.75" thickTop="1" x14ac:dyDescent="0.25">
      <c r="A43" t="s">
        <v>227</v>
      </c>
      <c r="B43" s="25">
        <f>-B42</f>
        <v>-26117.719999999896</v>
      </c>
      <c r="C43" s="25">
        <f t="shared" ref="C43:E43" si="48">-C42</f>
        <v>-363394.94000000076</v>
      </c>
      <c r="D43" s="25">
        <f t="shared" si="48"/>
        <v>1061165.8200000003</v>
      </c>
      <c r="E43" s="25">
        <f t="shared" si="48"/>
        <v>671661.81999999925</v>
      </c>
      <c r="K43" s="24"/>
      <c r="L43" s="43"/>
      <c r="M43" s="43"/>
    </row>
    <row r="44" spans="1:36" x14ac:dyDescent="0.25">
      <c r="A44" s="24">
        <v>2025</v>
      </c>
      <c r="B44" s="49">
        <f>-[2]Pivot!B$22</f>
        <v>188567.02000000002</v>
      </c>
      <c r="C44" s="49">
        <f>-[2]Pivot!C$22</f>
        <v>-507482.25999999937</v>
      </c>
      <c r="D44" s="49">
        <f>-[2]Pivot!D$22</f>
        <v>393948.69000000018</v>
      </c>
      <c r="E44" s="49">
        <f>-[2]Pivot!E$22</f>
        <v>75033.44999999975</v>
      </c>
      <c r="K44" s="24"/>
      <c r="L44" s="43"/>
      <c r="M44" s="43"/>
      <c r="S44" s="273"/>
      <c r="T44" s="273"/>
      <c r="U44" s="265">
        <f>U40-U33</f>
        <v>-571891.10550044011</v>
      </c>
      <c r="V44" s="273"/>
      <c r="W44" s="273"/>
      <c r="X44" s="273"/>
      <c r="AB44" s="25">
        <f>962000*2+AB5</f>
        <v>124000</v>
      </c>
      <c r="AD44" t="s">
        <v>476</v>
      </c>
    </row>
    <row r="45" spans="1:36" x14ac:dyDescent="0.25">
      <c r="A45" t="s">
        <v>229</v>
      </c>
      <c r="B45" s="65">
        <f>B43-B44</f>
        <v>-214684.7399999999</v>
      </c>
      <c r="C45" s="64">
        <f t="shared" ref="C45:E45" si="49">C43-C44</f>
        <v>144087.31999999861</v>
      </c>
      <c r="D45" s="64">
        <f t="shared" si="49"/>
        <v>667217.13000000012</v>
      </c>
      <c r="E45" s="64">
        <f t="shared" si="49"/>
        <v>596628.36999999953</v>
      </c>
      <c r="G45" t="s">
        <v>235</v>
      </c>
      <c r="K45" s="24"/>
      <c r="L45" s="43"/>
      <c r="M45" s="43"/>
      <c r="S45" s="268">
        <f>-Synergies!H20</f>
        <v>122680.12</v>
      </c>
      <c r="U45" s="268">
        <f t="shared" ref="U45:U53" si="50">S45+T45</f>
        <v>122680.12</v>
      </c>
      <c r="X45" t="str">
        <f>Synergies!B20</f>
        <v>Utilities</v>
      </c>
      <c r="AB45" s="325">
        <v>0.81200000000000006</v>
      </c>
      <c r="AC45" s="36" t="s">
        <v>219</v>
      </c>
      <c r="AD45" s="40" t="s">
        <v>479</v>
      </c>
      <c r="AI45">
        <f>3.2-1</f>
        <v>2.2000000000000002</v>
      </c>
    </row>
    <row r="46" spans="1:36" x14ac:dyDescent="0.25">
      <c r="B46" s="25"/>
      <c r="C46" s="25"/>
      <c r="D46" s="25"/>
      <c r="K46" s="24"/>
      <c r="L46" s="43"/>
      <c r="M46" s="43"/>
      <c r="S46" s="268">
        <f>-Synergies!H21</f>
        <v>21294.92</v>
      </c>
      <c r="U46" s="268">
        <f t="shared" si="50"/>
        <v>21294.92</v>
      </c>
      <c r="X46" t="str">
        <f>Synergies!B21</f>
        <v>Caretaking</v>
      </c>
      <c r="AB46" s="324">
        <f>AB44*AB45</f>
        <v>100688</v>
      </c>
      <c r="AD46" t="s">
        <v>477</v>
      </c>
    </row>
    <row r="47" spans="1:36" x14ac:dyDescent="0.25">
      <c r="A47" t="s">
        <v>231</v>
      </c>
      <c r="B47" s="25">
        <f>-400000*0.15</f>
        <v>-60000</v>
      </c>
      <c r="C47" s="25">
        <f>200000*0.15</f>
        <v>30000</v>
      </c>
      <c r="D47" s="25">
        <f>-(D26-[2]Pivot!$D$5)*0.6</f>
        <v>632499.10800000012</v>
      </c>
      <c r="E47" s="25">
        <f>SUM(B47:D47)</f>
        <v>602499.10800000012</v>
      </c>
      <c r="K47" s="24"/>
      <c r="L47" s="43"/>
      <c r="M47" s="43"/>
      <c r="S47" s="268">
        <f>-Synergies!H22</f>
        <v>24278.639999999999</v>
      </c>
      <c r="U47" s="268">
        <f t="shared" si="50"/>
        <v>24278.639999999999</v>
      </c>
      <c r="X47" t="str">
        <f>Synergies!B22</f>
        <v>General Insurance</v>
      </c>
      <c r="AB47">
        <v>5</v>
      </c>
      <c r="AD47" t="s">
        <v>469</v>
      </c>
    </row>
    <row r="48" spans="1:36" ht="15.75" thickBot="1" x14ac:dyDescent="0.3">
      <c r="A48" t="s">
        <v>228</v>
      </c>
      <c r="B48" s="25">
        <f>0.06*B26</f>
        <v>-180023.27159999998</v>
      </c>
      <c r="C48" s="25"/>
      <c r="D48" s="25"/>
      <c r="E48" s="25">
        <f t="shared" ref="E48:E53" si="51">SUM(B48:D48)</f>
        <v>-180023.27159999998</v>
      </c>
      <c r="K48" s="24"/>
      <c r="L48" s="43"/>
      <c r="M48" s="43"/>
      <c r="S48" s="268">
        <f>-Synergies!H29</f>
        <v>45240</v>
      </c>
      <c r="U48" s="268">
        <f t="shared" si="50"/>
        <v>45240</v>
      </c>
      <c r="X48" t="str">
        <f>Synergies!B29</f>
        <v>COMP (remote)</v>
      </c>
      <c r="AA48" s="320"/>
      <c r="AB48" s="320">
        <f>AB46*AB47</f>
        <v>503440</v>
      </c>
      <c r="AC48" s="320">
        <f>AB48+AC42</f>
        <v>1700045.392</v>
      </c>
      <c r="AD48" s="320" t="s">
        <v>478</v>
      </c>
    </row>
    <row r="49" spans="1:24" ht="15.75" thickTop="1" x14ac:dyDescent="0.25">
      <c r="A49" t="s">
        <v>233</v>
      </c>
      <c r="B49" s="25"/>
      <c r="C49" s="25">
        <f>[2]Pivot!$C$11-C32</f>
        <v>46665.469999999972</v>
      </c>
      <c r="D49" s="25"/>
      <c r="E49" s="25">
        <f t="shared" si="51"/>
        <v>46665.469999999972</v>
      </c>
      <c r="K49" s="24"/>
      <c r="L49" s="43"/>
      <c r="M49" s="43"/>
      <c r="S49" s="268">
        <f>-Synergies!H30</f>
        <v>49608</v>
      </c>
      <c r="U49" s="268">
        <f t="shared" si="50"/>
        <v>49608</v>
      </c>
      <c r="X49" t="str">
        <f>Synergies!B30</f>
        <v>COMP (remote)</v>
      </c>
    </row>
    <row r="50" spans="1:24" x14ac:dyDescent="0.25">
      <c r="B50" s="25"/>
      <c r="C50" s="25">
        <f>[2]Pivot!$C$13-C33</f>
        <v>-42819.100000000035</v>
      </c>
      <c r="D50" s="25"/>
      <c r="E50" s="25">
        <f t="shared" si="51"/>
        <v>-42819.100000000035</v>
      </c>
      <c r="K50" s="24"/>
      <c r="L50" s="43"/>
      <c r="M50" s="43"/>
      <c r="S50" s="268">
        <f>-Synergies!H37</f>
        <v>61200</v>
      </c>
      <c r="U50" s="268">
        <f t="shared" si="50"/>
        <v>61200</v>
      </c>
      <c r="X50" t="str">
        <f>Synergies!B37</f>
        <v>Plant Super</v>
      </c>
    </row>
    <row r="51" spans="1:24" x14ac:dyDescent="0.25">
      <c r="A51" s="63" t="s">
        <v>232</v>
      </c>
      <c r="B51" s="25"/>
      <c r="C51" s="25">
        <f>-(C35-[2]Pivot!$C$15)</f>
        <v>101912.73999999999</v>
      </c>
      <c r="D51" s="25"/>
      <c r="E51" s="25">
        <f t="shared" si="51"/>
        <v>101912.73999999999</v>
      </c>
      <c r="K51" s="24"/>
      <c r="L51" s="43"/>
      <c r="M51" s="43"/>
      <c r="S51" s="268">
        <f>-Synergies!H39</f>
        <v>40560</v>
      </c>
      <c r="U51" s="268">
        <f t="shared" si="50"/>
        <v>40560</v>
      </c>
      <c r="X51" t="str">
        <f>Synergies!B39</f>
        <v>Scheduling</v>
      </c>
    </row>
    <row r="52" spans="1:24" x14ac:dyDescent="0.25">
      <c r="A52" s="63" t="s">
        <v>234</v>
      </c>
      <c r="B52" s="25"/>
      <c r="C52" s="25">
        <f>C39-[2]Pivot!$C$19-[2]Pivot!$C$20</f>
        <v>-10790.670000000006</v>
      </c>
      <c r="D52" s="25">
        <f>-D39+[2]Pivot!$D$19</f>
        <v>39376.5</v>
      </c>
      <c r="E52" s="25">
        <f t="shared" si="51"/>
        <v>28585.829999999994</v>
      </c>
      <c r="K52" s="24"/>
      <c r="L52" s="43"/>
      <c r="M52" s="43"/>
      <c r="S52" s="268">
        <f>-Synergies!H40</f>
        <v>41600</v>
      </c>
      <c r="U52" s="268">
        <f t="shared" si="50"/>
        <v>41600</v>
      </c>
      <c r="X52" t="str">
        <f>Synergies!B40</f>
        <v>Shipping</v>
      </c>
    </row>
    <row r="53" spans="1:24" x14ac:dyDescent="0.25">
      <c r="A53" t="s">
        <v>230</v>
      </c>
      <c r="B53" s="49">
        <v>20000</v>
      </c>
      <c r="C53" s="49">
        <v>16000</v>
      </c>
      <c r="D53" s="49"/>
      <c r="E53" s="49">
        <f t="shared" si="51"/>
        <v>36000</v>
      </c>
      <c r="K53" s="24"/>
      <c r="L53" s="43"/>
      <c r="M53" s="43"/>
      <c r="S53" s="268">
        <f>-Synergies!H44</f>
        <v>243478.00670000014</v>
      </c>
      <c r="U53" s="268">
        <f t="shared" si="50"/>
        <v>243478.00670000014</v>
      </c>
      <c r="X53" t="str">
        <f>Synergies!B44</f>
        <v>PAPER</v>
      </c>
    </row>
    <row r="54" spans="1:24" ht="15.75" thickBot="1" x14ac:dyDescent="0.3">
      <c r="B54" s="25">
        <f>SUM(B47:B53)</f>
        <v>-220023.27159999998</v>
      </c>
      <c r="C54" s="25">
        <f>SUM(C47:C53)</f>
        <v>140968.43999999992</v>
      </c>
      <c r="D54" s="25">
        <f t="shared" ref="D54:E54" si="52">SUM(D47:D53)</f>
        <v>671875.60800000012</v>
      </c>
      <c r="E54" s="25">
        <f t="shared" si="52"/>
        <v>592820.77639999997</v>
      </c>
      <c r="K54" s="24"/>
      <c r="L54" s="43"/>
      <c r="M54" s="43"/>
      <c r="S54" s="274">
        <f>SUM(S45:S53)</f>
        <v>649939.68670000019</v>
      </c>
      <c r="T54" s="274">
        <f t="shared" ref="T54" si="53">SUM(T45:T53)</f>
        <v>0</v>
      </c>
      <c r="U54" s="274">
        <f>SUM(U45:U53)</f>
        <v>649939.68670000019</v>
      </c>
      <c r="V54" s="275"/>
      <c r="W54" s="275"/>
      <c r="X54" s="276" t="s">
        <v>333</v>
      </c>
    </row>
    <row r="55" spans="1:24" ht="15.75" thickTop="1" x14ac:dyDescent="0.25"/>
  </sheetData>
  <mergeCells count="1">
    <mergeCell ref="F5:I5"/>
  </mergeCells>
  <phoneticPr fontId="19" type="noConversion"/>
  <conditionalFormatting sqref="F27:I4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2:O2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A392A-653B-4A14-91EE-24A0BAB01957}">
  <sheetPr filterMode="1"/>
  <dimension ref="A1:R300"/>
  <sheetViews>
    <sheetView zoomScale="80" zoomScaleNormal="80" workbookViewId="0">
      <pane ySplit="1" topLeftCell="A4" activePane="bottomLeft" state="frozen"/>
      <selection pane="bottomLeft" activeCell="G214" sqref="G214"/>
    </sheetView>
  </sheetViews>
  <sheetFormatPr defaultRowHeight="15" x14ac:dyDescent="0.25"/>
  <cols>
    <col min="3" max="3" width="24.7109375" bestFit="1" customWidth="1"/>
    <col min="4" max="4" width="18.7109375" customWidth="1"/>
    <col min="7" max="7" width="11.42578125" customWidth="1"/>
    <col min="8" max="8" width="8.85546875" customWidth="1"/>
    <col min="9" max="9" width="28.42578125" customWidth="1"/>
    <col min="10" max="10" width="8.85546875" customWidth="1"/>
    <col min="11" max="11" width="27.140625" customWidth="1"/>
    <col min="12" max="12" width="17" style="6" customWidth="1"/>
    <col min="13" max="13" width="13.85546875" style="6" customWidth="1"/>
    <col min="14" max="14" width="17.140625" style="6" customWidth="1"/>
    <col min="18" max="18" width="11.42578125" customWidth="1"/>
  </cols>
  <sheetData>
    <row r="1" spans="1:18" s="3" customFormat="1" ht="30" x14ac:dyDescent="0.25">
      <c r="B1" s="7" t="s">
        <v>169</v>
      </c>
      <c r="C1" s="7" t="s">
        <v>170</v>
      </c>
      <c r="D1" s="7" t="s">
        <v>171</v>
      </c>
      <c r="E1" s="7" t="s">
        <v>172</v>
      </c>
      <c r="F1" s="7" t="s">
        <v>173</v>
      </c>
      <c r="G1" s="2" t="s">
        <v>0</v>
      </c>
      <c r="H1" s="2" t="s">
        <v>1</v>
      </c>
      <c r="I1" s="2" t="s">
        <v>2</v>
      </c>
      <c r="J1" s="2" t="s">
        <v>3</v>
      </c>
      <c r="K1" s="2" t="s">
        <v>2</v>
      </c>
      <c r="L1" s="4" t="s">
        <v>4</v>
      </c>
      <c r="M1" s="4" t="s">
        <v>5</v>
      </c>
      <c r="N1" s="4" t="s">
        <v>6</v>
      </c>
      <c r="P1" s="110">
        <v>2025</v>
      </c>
      <c r="Q1" s="3" t="s">
        <v>275</v>
      </c>
      <c r="R1" s="3" t="s">
        <v>276</v>
      </c>
    </row>
    <row r="2" spans="1:18" hidden="1" x14ac:dyDescent="0.25">
      <c r="A2" t="str">
        <f>G2&amp;H2</f>
        <v>100101</v>
      </c>
      <c r="B2" t="s">
        <v>174</v>
      </c>
      <c r="C2" t="s">
        <v>280</v>
      </c>
      <c r="E2" t="str">
        <f t="shared" ref="E2:E65" si="0">IF(H2=1,"Hillsboro",IF(H2=2,"Angola",IF(H2=9,"Hillsboro",IF(H2=99,"Hillsboro",IF(H2=50,"Pixelle","???")))))</f>
        <v>Hillsboro</v>
      </c>
      <c r="F2" t="str">
        <f t="shared" ref="F2:F65" si="1">IF(H2=1,"Hillsboro",IF(H2=2,"Angola",IF(H2=9,"Corp",IF(H2=99,"Corp",IF(H2=50,"Pixelle","???")))))</f>
        <v>Hillsboro</v>
      </c>
      <c r="G2" s="1">
        <v>10010</v>
      </c>
      <c r="H2" s="1">
        <v>1</v>
      </c>
      <c r="I2" s="1" t="s">
        <v>7</v>
      </c>
      <c r="J2" s="1" t="s">
        <v>8</v>
      </c>
      <c r="K2" s="1" t="s">
        <v>9</v>
      </c>
      <c r="L2" s="5">
        <v>534702.04</v>
      </c>
      <c r="M2" s="5">
        <v>171363.5</v>
      </c>
      <c r="N2" s="5">
        <v>706065.54</v>
      </c>
    </row>
    <row r="3" spans="1:18" hidden="1" x14ac:dyDescent="0.25">
      <c r="A3" t="str">
        <f t="shared" ref="A3:A4" si="2">G3&amp;H3</f>
        <v>100201</v>
      </c>
      <c r="B3" t="s">
        <v>174</v>
      </c>
      <c r="C3" t="s">
        <v>280</v>
      </c>
      <c r="E3" t="str">
        <f t="shared" si="0"/>
        <v>Hillsboro</v>
      </c>
      <c r="F3" t="str">
        <f t="shared" si="1"/>
        <v>Hillsboro</v>
      </c>
      <c r="G3" s="1">
        <v>10020</v>
      </c>
      <c r="H3" s="1">
        <v>1</v>
      </c>
      <c r="I3" s="1" t="s">
        <v>10</v>
      </c>
      <c r="J3" s="1" t="s">
        <v>8</v>
      </c>
      <c r="K3" s="1" t="s">
        <v>9</v>
      </c>
      <c r="L3" s="5">
        <v>400</v>
      </c>
      <c r="M3" s="5">
        <v>0</v>
      </c>
      <c r="N3" s="5">
        <v>400</v>
      </c>
    </row>
    <row r="4" spans="1:18" x14ac:dyDescent="0.25">
      <c r="A4" t="str">
        <f t="shared" si="2"/>
        <v>100202</v>
      </c>
      <c r="B4" t="s">
        <v>174</v>
      </c>
      <c r="C4" t="s">
        <v>280</v>
      </c>
      <c r="E4" t="str">
        <f t="shared" si="0"/>
        <v>Angola</v>
      </c>
      <c r="F4" t="str">
        <f t="shared" si="1"/>
        <v>Angola</v>
      </c>
      <c r="G4" s="1">
        <v>10020</v>
      </c>
      <c r="H4" s="1">
        <v>2</v>
      </c>
      <c r="I4" s="1" t="s">
        <v>10</v>
      </c>
      <c r="J4" s="1" t="s">
        <v>8</v>
      </c>
      <c r="K4" s="1" t="s">
        <v>9</v>
      </c>
      <c r="L4" s="5">
        <v>400</v>
      </c>
      <c r="M4" s="5">
        <v>0</v>
      </c>
      <c r="N4" s="5">
        <v>400</v>
      </c>
    </row>
    <row r="5" spans="1:18" hidden="1" x14ac:dyDescent="0.25">
      <c r="A5" t="str">
        <f t="shared" ref="A5:A68" si="3">G5&amp;H5</f>
        <v>101201</v>
      </c>
      <c r="B5" t="s">
        <v>174</v>
      </c>
      <c r="C5" t="s">
        <v>280</v>
      </c>
      <c r="E5" t="str">
        <f t="shared" si="0"/>
        <v>Hillsboro</v>
      </c>
      <c r="F5" t="str">
        <f t="shared" si="1"/>
        <v>Hillsboro</v>
      </c>
      <c r="G5" s="1">
        <v>10120</v>
      </c>
      <c r="H5" s="1">
        <v>1</v>
      </c>
      <c r="I5" s="1" t="s">
        <v>11</v>
      </c>
      <c r="J5" s="1" t="s">
        <v>8</v>
      </c>
      <c r="K5" s="1" t="s">
        <v>9</v>
      </c>
      <c r="L5" s="5">
        <v>14649.31</v>
      </c>
      <c r="M5" s="5">
        <v>510.18</v>
      </c>
      <c r="N5" s="5">
        <v>15159.49</v>
      </c>
    </row>
    <row r="6" spans="1:18" hidden="1" x14ac:dyDescent="0.25">
      <c r="A6" t="str">
        <f t="shared" si="3"/>
        <v>101301</v>
      </c>
      <c r="B6" t="s">
        <v>174</v>
      </c>
      <c r="C6" t="s">
        <v>280</v>
      </c>
      <c r="E6" t="str">
        <f t="shared" si="0"/>
        <v>Hillsboro</v>
      </c>
      <c r="F6" t="str">
        <f t="shared" si="1"/>
        <v>Hillsboro</v>
      </c>
      <c r="G6" s="1">
        <v>10130</v>
      </c>
      <c r="H6" s="1">
        <v>1</v>
      </c>
      <c r="I6" s="1" t="s">
        <v>12</v>
      </c>
      <c r="J6" s="1" t="s">
        <v>8</v>
      </c>
      <c r="K6" s="1" t="s">
        <v>12</v>
      </c>
      <c r="L6" s="5">
        <v>17101.900000000001</v>
      </c>
      <c r="M6" s="5">
        <v>797.5</v>
      </c>
      <c r="N6" s="5">
        <v>17899.400000000001</v>
      </c>
    </row>
    <row r="7" spans="1:18" hidden="1" x14ac:dyDescent="0.25">
      <c r="A7" t="str">
        <f t="shared" si="3"/>
        <v>110001</v>
      </c>
      <c r="B7" t="s">
        <v>174</v>
      </c>
      <c r="C7" t="s">
        <v>281</v>
      </c>
      <c r="E7" t="str">
        <f t="shared" si="0"/>
        <v>Hillsboro</v>
      </c>
      <c r="F7" t="str">
        <f t="shared" si="1"/>
        <v>Hillsboro</v>
      </c>
      <c r="G7" s="1">
        <v>11000</v>
      </c>
      <c r="H7" s="1">
        <v>1</v>
      </c>
      <c r="I7" s="1" t="s">
        <v>13</v>
      </c>
      <c r="J7" s="1" t="s">
        <v>8</v>
      </c>
      <c r="K7" s="1" t="s">
        <v>9</v>
      </c>
      <c r="L7" s="5">
        <v>674695.59</v>
      </c>
      <c r="M7" s="5">
        <v>104791.93</v>
      </c>
      <c r="N7" s="5">
        <v>779487.52</v>
      </c>
    </row>
    <row r="8" spans="1:18" hidden="1" x14ac:dyDescent="0.25">
      <c r="A8" t="str">
        <f t="shared" si="3"/>
        <v>111001</v>
      </c>
      <c r="B8" t="s">
        <v>174</v>
      </c>
      <c r="C8" t="s">
        <v>281</v>
      </c>
      <c r="E8" t="str">
        <f t="shared" si="0"/>
        <v>Hillsboro</v>
      </c>
      <c r="F8" t="str">
        <f t="shared" si="1"/>
        <v>Hillsboro</v>
      </c>
      <c r="G8" s="1">
        <v>11100</v>
      </c>
      <c r="H8" s="1">
        <v>1</v>
      </c>
      <c r="I8" s="1" t="s">
        <v>14</v>
      </c>
      <c r="J8" s="1" t="s">
        <v>8</v>
      </c>
      <c r="K8" s="1" t="s">
        <v>9</v>
      </c>
      <c r="L8" s="5">
        <v>40084.730000000003</v>
      </c>
      <c r="M8" s="5">
        <v>-40068.980000000003</v>
      </c>
      <c r="N8" s="5">
        <v>15.75</v>
      </c>
    </row>
    <row r="9" spans="1:18" hidden="1" x14ac:dyDescent="0.25">
      <c r="A9" t="str">
        <f t="shared" si="3"/>
        <v>120001</v>
      </c>
      <c r="B9" t="s">
        <v>174</v>
      </c>
      <c r="C9" t="s">
        <v>282</v>
      </c>
      <c r="E9" t="str">
        <f t="shared" si="0"/>
        <v>Hillsboro</v>
      </c>
      <c r="F9" t="str">
        <f t="shared" si="1"/>
        <v>Hillsboro</v>
      </c>
      <c r="G9" s="1">
        <v>12000</v>
      </c>
      <c r="H9" s="1">
        <v>1</v>
      </c>
      <c r="I9" s="1" t="s">
        <v>15</v>
      </c>
      <c r="J9" s="1" t="s">
        <v>8</v>
      </c>
      <c r="K9" s="1" t="s">
        <v>9</v>
      </c>
      <c r="L9" s="5">
        <v>4763.4399999999996</v>
      </c>
      <c r="M9" s="5">
        <v>16989.599999999999</v>
      </c>
      <c r="N9" s="5">
        <v>21753.040000000001</v>
      </c>
    </row>
    <row r="10" spans="1:18" hidden="1" x14ac:dyDescent="0.25">
      <c r="A10" t="str">
        <f t="shared" si="3"/>
        <v>121001</v>
      </c>
      <c r="B10" t="s">
        <v>174</v>
      </c>
      <c r="C10" t="s">
        <v>282</v>
      </c>
      <c r="E10" t="str">
        <f t="shared" si="0"/>
        <v>Hillsboro</v>
      </c>
      <c r="F10" t="str">
        <f t="shared" si="1"/>
        <v>Hillsboro</v>
      </c>
      <c r="G10" s="1">
        <v>12100</v>
      </c>
      <c r="H10" s="1">
        <v>1</v>
      </c>
      <c r="I10" s="1" t="s">
        <v>16</v>
      </c>
      <c r="J10" s="1" t="s">
        <v>8</v>
      </c>
      <c r="K10" s="1" t="s">
        <v>9</v>
      </c>
      <c r="L10" s="5">
        <v>500</v>
      </c>
      <c r="M10" s="5">
        <v>0</v>
      </c>
      <c r="N10" s="5">
        <v>500</v>
      </c>
    </row>
    <row r="11" spans="1:18" hidden="1" x14ac:dyDescent="0.25">
      <c r="A11" t="str">
        <f t="shared" si="3"/>
        <v>121101</v>
      </c>
      <c r="B11" t="s">
        <v>174</v>
      </c>
      <c r="C11" t="s">
        <v>282</v>
      </c>
      <c r="E11" t="str">
        <f t="shared" si="0"/>
        <v>Hillsboro</v>
      </c>
      <c r="F11" t="str">
        <f t="shared" si="1"/>
        <v>Hillsboro</v>
      </c>
      <c r="G11" s="1">
        <v>12110</v>
      </c>
      <c r="H11" s="1">
        <v>1</v>
      </c>
      <c r="I11" s="1" t="s">
        <v>17</v>
      </c>
      <c r="J11" s="1" t="s">
        <v>8</v>
      </c>
      <c r="K11" s="1" t="s">
        <v>9</v>
      </c>
      <c r="L11" s="5">
        <v>7868</v>
      </c>
      <c r="M11" s="5">
        <v>3594.5</v>
      </c>
      <c r="N11" s="5">
        <v>11462.5</v>
      </c>
    </row>
    <row r="12" spans="1:18" hidden="1" x14ac:dyDescent="0.25">
      <c r="A12" t="str">
        <f t="shared" si="3"/>
        <v>131001</v>
      </c>
      <c r="B12" t="s">
        <v>174</v>
      </c>
      <c r="C12" t="s">
        <v>283</v>
      </c>
      <c r="E12" t="str">
        <f t="shared" si="0"/>
        <v>Hillsboro</v>
      </c>
      <c r="F12" t="str">
        <f t="shared" si="1"/>
        <v>Hillsboro</v>
      </c>
      <c r="G12" s="1">
        <v>13100</v>
      </c>
      <c r="H12" s="1">
        <v>1</v>
      </c>
      <c r="I12" s="1" t="s">
        <v>18</v>
      </c>
      <c r="J12" s="1" t="s">
        <v>8</v>
      </c>
      <c r="K12" s="1" t="s">
        <v>9</v>
      </c>
      <c r="L12" s="5">
        <v>444806.9</v>
      </c>
      <c r="M12" s="5">
        <v>-67895.92</v>
      </c>
      <c r="N12" s="165">
        <v>376910.98</v>
      </c>
    </row>
    <row r="13" spans="1:18" x14ac:dyDescent="0.25">
      <c r="A13" t="str">
        <f t="shared" si="3"/>
        <v>131002</v>
      </c>
      <c r="B13" t="s">
        <v>174</v>
      </c>
      <c r="C13" t="s">
        <v>283</v>
      </c>
      <c r="E13" t="str">
        <f t="shared" si="0"/>
        <v>Angola</v>
      </c>
      <c r="F13" t="str">
        <f t="shared" si="1"/>
        <v>Angola</v>
      </c>
      <c r="G13" s="1">
        <v>13100</v>
      </c>
      <c r="H13" s="1">
        <v>2</v>
      </c>
      <c r="I13" s="1" t="s">
        <v>18</v>
      </c>
      <c r="J13" s="1" t="s">
        <v>8</v>
      </c>
      <c r="K13" s="1" t="s">
        <v>9</v>
      </c>
      <c r="L13" s="5">
        <v>416192.86</v>
      </c>
      <c r="M13" s="5">
        <v>-33401.99</v>
      </c>
      <c r="N13" s="165">
        <v>382790.87</v>
      </c>
    </row>
    <row r="14" spans="1:18" x14ac:dyDescent="0.25">
      <c r="A14" t="str">
        <f t="shared" si="3"/>
        <v>131502</v>
      </c>
      <c r="B14" t="s">
        <v>174</v>
      </c>
      <c r="C14" t="s">
        <v>284</v>
      </c>
      <c r="E14" t="str">
        <f t="shared" si="0"/>
        <v>Angola</v>
      </c>
      <c r="F14" t="str">
        <f t="shared" si="1"/>
        <v>Angola</v>
      </c>
      <c r="G14" s="1">
        <v>13150</v>
      </c>
      <c r="H14" s="1">
        <v>2</v>
      </c>
      <c r="I14" s="1" t="s">
        <v>19</v>
      </c>
      <c r="J14" s="1" t="s">
        <v>8</v>
      </c>
      <c r="K14" s="1" t="s">
        <v>19</v>
      </c>
      <c r="L14" s="5">
        <v>29721.35</v>
      </c>
      <c r="M14" s="5">
        <v>-6933.75</v>
      </c>
      <c r="N14" s="165">
        <v>22787.599999999999</v>
      </c>
    </row>
    <row r="15" spans="1:18" hidden="1" x14ac:dyDescent="0.25">
      <c r="A15" t="str">
        <f t="shared" si="3"/>
        <v>132001</v>
      </c>
      <c r="B15" t="s">
        <v>174</v>
      </c>
      <c r="C15" t="s">
        <v>285</v>
      </c>
      <c r="E15" t="str">
        <f t="shared" si="0"/>
        <v>Hillsboro</v>
      </c>
      <c r="F15" t="str">
        <f t="shared" si="1"/>
        <v>Hillsboro</v>
      </c>
      <c r="G15" s="1">
        <v>13200</v>
      </c>
      <c r="H15" s="1">
        <v>1</v>
      </c>
      <c r="I15" s="1" t="s">
        <v>20</v>
      </c>
      <c r="J15" s="1" t="s">
        <v>8</v>
      </c>
      <c r="K15" s="1" t="s">
        <v>9</v>
      </c>
      <c r="L15" s="5">
        <v>574.15</v>
      </c>
      <c r="M15" s="5">
        <v>1293.0899999999999</v>
      </c>
      <c r="N15" s="165">
        <v>1867.24</v>
      </c>
    </row>
    <row r="16" spans="1:18" hidden="1" x14ac:dyDescent="0.25">
      <c r="A16" t="str">
        <f t="shared" si="3"/>
        <v>133001</v>
      </c>
      <c r="B16" t="s">
        <v>174</v>
      </c>
      <c r="C16" t="s">
        <v>286</v>
      </c>
      <c r="E16" t="str">
        <f t="shared" si="0"/>
        <v>Hillsboro</v>
      </c>
      <c r="F16" t="str">
        <f t="shared" si="1"/>
        <v>Hillsboro</v>
      </c>
      <c r="G16" s="1">
        <v>13300</v>
      </c>
      <c r="H16" s="1">
        <v>1</v>
      </c>
      <c r="I16" s="1" t="s">
        <v>21</v>
      </c>
      <c r="J16" s="1" t="s">
        <v>8</v>
      </c>
      <c r="K16" s="1" t="s">
        <v>9</v>
      </c>
      <c r="L16" s="5">
        <v>33340.31</v>
      </c>
      <c r="M16" s="5">
        <v>5010.1000000000004</v>
      </c>
      <c r="N16" s="165">
        <v>38350.410000000003</v>
      </c>
    </row>
    <row r="17" spans="1:14" x14ac:dyDescent="0.25">
      <c r="A17" t="str">
        <f t="shared" si="3"/>
        <v>133002</v>
      </c>
      <c r="B17" t="s">
        <v>174</v>
      </c>
      <c r="C17" t="s">
        <v>286</v>
      </c>
      <c r="E17" t="str">
        <f t="shared" si="0"/>
        <v>Angola</v>
      </c>
      <c r="F17" t="str">
        <f t="shared" si="1"/>
        <v>Angola</v>
      </c>
      <c r="G17" s="1">
        <v>13300</v>
      </c>
      <c r="H17" s="1">
        <v>2</v>
      </c>
      <c r="I17" s="1" t="s">
        <v>21</v>
      </c>
      <c r="J17" s="1" t="s">
        <v>8</v>
      </c>
      <c r="K17" s="1" t="s">
        <v>9</v>
      </c>
      <c r="L17" s="5">
        <v>51299.41</v>
      </c>
      <c r="M17" s="5">
        <v>6066.08</v>
      </c>
      <c r="N17" s="165">
        <v>57365.49</v>
      </c>
    </row>
    <row r="18" spans="1:14" hidden="1" x14ac:dyDescent="0.25">
      <c r="A18" t="str">
        <f t="shared" si="3"/>
        <v>134001</v>
      </c>
      <c r="B18" t="s">
        <v>174</v>
      </c>
      <c r="C18" t="s">
        <v>287</v>
      </c>
      <c r="E18" t="str">
        <f t="shared" si="0"/>
        <v>Hillsboro</v>
      </c>
      <c r="F18" t="str">
        <f t="shared" si="1"/>
        <v>Hillsboro</v>
      </c>
      <c r="G18" s="1">
        <v>13400</v>
      </c>
      <c r="H18" s="1">
        <v>1</v>
      </c>
      <c r="I18" s="1" t="s">
        <v>22</v>
      </c>
      <c r="J18" s="1" t="s">
        <v>8</v>
      </c>
      <c r="K18" s="1" t="s">
        <v>9</v>
      </c>
      <c r="L18" s="5">
        <v>63844</v>
      </c>
      <c r="M18" s="5">
        <v>-20387.89</v>
      </c>
      <c r="N18" s="165">
        <v>43456.11</v>
      </c>
    </row>
    <row r="19" spans="1:14" x14ac:dyDescent="0.25">
      <c r="A19" t="str">
        <f t="shared" si="3"/>
        <v>134002</v>
      </c>
      <c r="B19" t="s">
        <v>174</v>
      </c>
      <c r="C19" t="s">
        <v>287</v>
      </c>
      <c r="E19" t="str">
        <f t="shared" si="0"/>
        <v>Angola</v>
      </c>
      <c r="F19" t="str">
        <f t="shared" si="1"/>
        <v>Angola</v>
      </c>
      <c r="G19" s="1">
        <v>13400</v>
      </c>
      <c r="H19" s="1">
        <v>2</v>
      </c>
      <c r="I19" s="1" t="s">
        <v>22</v>
      </c>
      <c r="J19" s="1" t="s">
        <v>8</v>
      </c>
      <c r="K19" s="1" t="s">
        <v>9</v>
      </c>
      <c r="L19" s="5">
        <v>139992.39000000001</v>
      </c>
      <c r="M19" s="5">
        <v>-23582.06</v>
      </c>
      <c r="N19" s="165">
        <v>116410.33</v>
      </c>
    </row>
    <row r="20" spans="1:14" hidden="1" x14ac:dyDescent="0.25">
      <c r="A20" t="str">
        <f t="shared" si="3"/>
        <v>136001</v>
      </c>
      <c r="B20" t="s">
        <v>174</v>
      </c>
      <c r="C20" t="s">
        <v>288</v>
      </c>
      <c r="E20" t="str">
        <f t="shared" si="0"/>
        <v>Hillsboro</v>
      </c>
      <c r="F20" t="str">
        <f t="shared" si="1"/>
        <v>Hillsboro</v>
      </c>
      <c r="G20" s="1">
        <v>13600</v>
      </c>
      <c r="H20" s="1">
        <v>1</v>
      </c>
      <c r="I20" s="1" t="s">
        <v>23</v>
      </c>
      <c r="J20" s="1" t="s">
        <v>8</v>
      </c>
      <c r="K20" s="1" t="s">
        <v>9</v>
      </c>
      <c r="L20" s="5">
        <v>18618.509999999998</v>
      </c>
      <c r="M20" s="5">
        <v>-10172.450000000001</v>
      </c>
      <c r="N20" s="165">
        <v>8446.06</v>
      </c>
    </row>
    <row r="21" spans="1:14" x14ac:dyDescent="0.25">
      <c r="A21" t="str">
        <f t="shared" si="3"/>
        <v>136002</v>
      </c>
      <c r="B21" t="s">
        <v>174</v>
      </c>
      <c r="C21" t="s">
        <v>288</v>
      </c>
      <c r="E21" t="str">
        <f t="shared" si="0"/>
        <v>Angola</v>
      </c>
      <c r="F21" t="str">
        <f t="shared" si="1"/>
        <v>Angola</v>
      </c>
      <c r="G21" s="1">
        <v>13600</v>
      </c>
      <c r="H21" s="1">
        <v>2</v>
      </c>
      <c r="I21" s="1" t="s">
        <v>23</v>
      </c>
      <c r="J21" s="1" t="s">
        <v>8</v>
      </c>
      <c r="K21" s="1" t="s">
        <v>9</v>
      </c>
      <c r="L21" s="5">
        <v>3642.35</v>
      </c>
      <c r="M21" s="5">
        <v>-407.48</v>
      </c>
      <c r="N21" s="165">
        <v>3234.87</v>
      </c>
    </row>
    <row r="22" spans="1:14" hidden="1" x14ac:dyDescent="0.25">
      <c r="A22" t="str">
        <f t="shared" si="3"/>
        <v>136501</v>
      </c>
      <c r="B22" t="s">
        <v>174</v>
      </c>
      <c r="C22" t="s">
        <v>289</v>
      </c>
      <c r="E22" t="str">
        <f t="shared" si="0"/>
        <v>Hillsboro</v>
      </c>
      <c r="F22" t="str">
        <f t="shared" si="1"/>
        <v>Hillsboro</v>
      </c>
      <c r="G22" s="1">
        <v>13650</v>
      </c>
      <c r="H22" s="1">
        <v>1</v>
      </c>
      <c r="I22" s="1" t="s">
        <v>24</v>
      </c>
      <c r="J22" s="1" t="s">
        <v>8</v>
      </c>
      <c r="K22" s="1" t="s">
        <v>24</v>
      </c>
      <c r="L22" s="5">
        <v>28760.58</v>
      </c>
      <c r="M22" s="5">
        <v>5714.28</v>
      </c>
      <c r="N22" s="165">
        <v>34474.86</v>
      </c>
    </row>
    <row r="23" spans="1:14" hidden="1" x14ac:dyDescent="0.25">
      <c r="A23" t="str">
        <f t="shared" si="3"/>
        <v>139501</v>
      </c>
      <c r="B23" t="s">
        <v>174</v>
      </c>
      <c r="C23" t="s">
        <v>290</v>
      </c>
      <c r="E23" t="str">
        <f t="shared" si="0"/>
        <v>Hillsboro</v>
      </c>
      <c r="F23" t="str">
        <f t="shared" si="1"/>
        <v>Hillsboro</v>
      </c>
      <c r="G23" s="1">
        <v>13950</v>
      </c>
      <c r="H23" s="1">
        <v>1</v>
      </c>
      <c r="I23" s="1" t="s">
        <v>25</v>
      </c>
      <c r="J23" s="1" t="s">
        <v>8</v>
      </c>
      <c r="K23" s="1" t="s">
        <v>9</v>
      </c>
      <c r="L23" s="5">
        <v>9108.7900000000009</v>
      </c>
      <c r="M23" s="5">
        <v>3303.83</v>
      </c>
      <c r="N23" s="165">
        <v>12412.62</v>
      </c>
    </row>
    <row r="24" spans="1:14" hidden="1" x14ac:dyDescent="0.25">
      <c r="A24" t="str">
        <f t="shared" si="3"/>
        <v>140001</v>
      </c>
      <c r="B24" t="s">
        <v>174</v>
      </c>
      <c r="C24" t="s">
        <v>302</v>
      </c>
      <c r="E24" t="str">
        <f t="shared" si="0"/>
        <v>Hillsboro</v>
      </c>
      <c r="F24" t="str">
        <f t="shared" si="1"/>
        <v>Hillsboro</v>
      </c>
      <c r="G24" s="1">
        <v>14000</v>
      </c>
      <c r="H24" s="1">
        <v>1</v>
      </c>
      <c r="I24" s="1" t="s">
        <v>26</v>
      </c>
      <c r="J24" s="1" t="s">
        <v>8</v>
      </c>
      <c r="K24" s="1" t="s">
        <v>9</v>
      </c>
      <c r="L24" s="5">
        <v>3796655.18</v>
      </c>
      <c r="M24" s="5">
        <v>0</v>
      </c>
      <c r="N24" s="5">
        <v>3796655.18</v>
      </c>
    </row>
    <row r="25" spans="1:14" x14ac:dyDescent="0.25">
      <c r="A25" t="str">
        <f t="shared" si="3"/>
        <v>140002</v>
      </c>
      <c r="B25" t="s">
        <v>174</v>
      </c>
      <c r="C25" t="s">
        <v>302</v>
      </c>
      <c r="E25" t="str">
        <f t="shared" si="0"/>
        <v>Angola</v>
      </c>
      <c r="F25" t="str">
        <f t="shared" si="1"/>
        <v>Angola</v>
      </c>
      <c r="G25" s="1">
        <v>14000</v>
      </c>
      <c r="H25" s="1">
        <v>2</v>
      </c>
      <c r="I25" s="1" t="s">
        <v>26</v>
      </c>
      <c r="J25" s="1" t="s">
        <v>8</v>
      </c>
      <c r="K25" s="1" t="s">
        <v>9</v>
      </c>
      <c r="L25" s="5">
        <v>2670303.13</v>
      </c>
      <c r="M25" s="5">
        <v>0</v>
      </c>
      <c r="N25" s="5">
        <v>2670303.13</v>
      </c>
    </row>
    <row r="26" spans="1:14" hidden="1" x14ac:dyDescent="0.25">
      <c r="A26" t="str">
        <f t="shared" si="3"/>
        <v>1400050</v>
      </c>
      <c r="B26" t="s">
        <v>174</v>
      </c>
      <c r="C26" t="s">
        <v>302</v>
      </c>
      <c r="E26" t="str">
        <f t="shared" si="0"/>
        <v>Pixelle</v>
      </c>
      <c r="F26" t="str">
        <f t="shared" si="1"/>
        <v>Pixelle</v>
      </c>
      <c r="G26" s="1">
        <v>14000</v>
      </c>
      <c r="H26" s="1">
        <v>50</v>
      </c>
      <c r="I26" s="1" t="s">
        <v>26</v>
      </c>
      <c r="J26" s="1" t="s">
        <v>8</v>
      </c>
      <c r="K26" s="1" t="s">
        <v>9</v>
      </c>
      <c r="L26" s="5">
        <v>334582.36</v>
      </c>
      <c r="M26" s="5">
        <v>10000</v>
      </c>
      <c r="N26" s="5">
        <v>344582.36</v>
      </c>
    </row>
    <row r="27" spans="1:14" hidden="1" x14ac:dyDescent="0.25">
      <c r="A27" t="str">
        <f t="shared" si="3"/>
        <v>141001</v>
      </c>
      <c r="B27" t="s">
        <v>174</v>
      </c>
      <c r="C27" t="s">
        <v>302</v>
      </c>
      <c r="E27" t="str">
        <f t="shared" si="0"/>
        <v>Hillsboro</v>
      </c>
      <c r="F27" t="str">
        <f t="shared" si="1"/>
        <v>Hillsboro</v>
      </c>
      <c r="G27" s="1">
        <v>14100</v>
      </c>
      <c r="H27" s="1">
        <v>1</v>
      </c>
      <c r="I27" s="1" t="s">
        <v>27</v>
      </c>
      <c r="J27" s="1" t="s">
        <v>8</v>
      </c>
      <c r="K27" s="1" t="s">
        <v>9</v>
      </c>
      <c r="L27" s="5">
        <v>-3390862.29</v>
      </c>
      <c r="M27" s="5">
        <v>-39273.300000000003</v>
      </c>
      <c r="N27" s="5">
        <v>-3430135.59</v>
      </c>
    </row>
    <row r="28" spans="1:14" x14ac:dyDescent="0.25">
      <c r="A28" t="str">
        <f t="shared" si="3"/>
        <v>141002</v>
      </c>
      <c r="B28" t="s">
        <v>174</v>
      </c>
      <c r="C28" t="s">
        <v>302</v>
      </c>
      <c r="E28" t="str">
        <f t="shared" si="0"/>
        <v>Angola</v>
      </c>
      <c r="F28" t="str">
        <f t="shared" si="1"/>
        <v>Angola</v>
      </c>
      <c r="G28" s="1">
        <v>14100</v>
      </c>
      <c r="H28" s="1">
        <v>2</v>
      </c>
      <c r="I28" s="1" t="s">
        <v>27</v>
      </c>
      <c r="J28" s="1" t="s">
        <v>8</v>
      </c>
      <c r="K28" s="1" t="s">
        <v>9</v>
      </c>
      <c r="L28" s="5">
        <v>-2321058.34</v>
      </c>
      <c r="M28" s="5">
        <v>-30196.14</v>
      </c>
      <c r="N28" s="5">
        <v>-2351254.48</v>
      </c>
    </row>
    <row r="29" spans="1:14" hidden="1" x14ac:dyDescent="0.25">
      <c r="A29" t="str">
        <f t="shared" si="3"/>
        <v>1410050</v>
      </c>
      <c r="B29" t="s">
        <v>174</v>
      </c>
      <c r="C29" t="s">
        <v>302</v>
      </c>
      <c r="E29" t="str">
        <f t="shared" si="0"/>
        <v>Pixelle</v>
      </c>
      <c r="F29" t="str">
        <f t="shared" si="1"/>
        <v>Pixelle</v>
      </c>
      <c r="G29" s="1">
        <v>14100</v>
      </c>
      <c r="H29" s="1">
        <v>50</v>
      </c>
      <c r="I29" s="1" t="s">
        <v>27</v>
      </c>
      <c r="J29" s="1" t="s">
        <v>8</v>
      </c>
      <c r="K29" s="1" t="s">
        <v>9</v>
      </c>
      <c r="L29" s="5">
        <v>-303087.13</v>
      </c>
      <c r="M29" s="5">
        <v>-3133.38</v>
      </c>
      <c r="N29" s="5">
        <v>-306220.51</v>
      </c>
    </row>
    <row r="30" spans="1:14" hidden="1" x14ac:dyDescent="0.25">
      <c r="A30" t="str">
        <f t="shared" si="3"/>
        <v>150001</v>
      </c>
      <c r="B30" t="s">
        <v>174</v>
      </c>
      <c r="C30" t="s">
        <v>302</v>
      </c>
      <c r="E30" t="str">
        <f t="shared" si="0"/>
        <v>Hillsboro</v>
      </c>
      <c r="F30" t="str">
        <f t="shared" si="1"/>
        <v>Hillsboro</v>
      </c>
      <c r="G30" s="1">
        <v>15000</v>
      </c>
      <c r="H30" s="1">
        <v>1</v>
      </c>
      <c r="I30" s="1" t="s">
        <v>28</v>
      </c>
      <c r="J30" s="1" t="s">
        <v>8</v>
      </c>
      <c r="K30" s="1" t="s">
        <v>9</v>
      </c>
      <c r="L30" s="5">
        <v>84861.54</v>
      </c>
      <c r="M30" s="5">
        <v>0</v>
      </c>
      <c r="N30" s="5">
        <v>84861.54</v>
      </c>
    </row>
    <row r="31" spans="1:14" x14ac:dyDescent="0.25">
      <c r="A31" t="str">
        <f t="shared" si="3"/>
        <v>150002</v>
      </c>
      <c r="B31" t="s">
        <v>174</v>
      </c>
      <c r="C31" t="s">
        <v>302</v>
      </c>
      <c r="E31" t="str">
        <f t="shared" si="0"/>
        <v>Angola</v>
      </c>
      <c r="F31" t="str">
        <f t="shared" si="1"/>
        <v>Angola</v>
      </c>
      <c r="G31" s="1">
        <v>15000</v>
      </c>
      <c r="H31" s="1">
        <v>2</v>
      </c>
      <c r="I31" s="1" t="s">
        <v>28</v>
      </c>
      <c r="J31" s="1" t="s">
        <v>8</v>
      </c>
      <c r="K31" s="1" t="s">
        <v>9</v>
      </c>
      <c r="L31" s="5">
        <v>64451.23</v>
      </c>
      <c r="M31" s="5">
        <v>0</v>
      </c>
      <c r="N31" s="5">
        <v>64451.23</v>
      </c>
    </row>
    <row r="32" spans="1:14" hidden="1" x14ac:dyDescent="0.25">
      <c r="A32" t="str">
        <f t="shared" si="3"/>
        <v>151001</v>
      </c>
      <c r="B32" t="s">
        <v>174</v>
      </c>
      <c r="C32" t="s">
        <v>302</v>
      </c>
      <c r="E32" t="str">
        <f t="shared" si="0"/>
        <v>Hillsboro</v>
      </c>
      <c r="F32" t="str">
        <f t="shared" si="1"/>
        <v>Hillsboro</v>
      </c>
      <c r="G32" s="1">
        <v>15100</v>
      </c>
      <c r="H32" s="1">
        <v>1</v>
      </c>
      <c r="I32" s="1" t="s">
        <v>29</v>
      </c>
      <c r="J32" s="1" t="s">
        <v>8</v>
      </c>
      <c r="K32" s="1" t="s">
        <v>9</v>
      </c>
      <c r="L32" s="5">
        <v>-77553.05</v>
      </c>
      <c r="M32" s="5">
        <v>-2192.58</v>
      </c>
      <c r="N32" s="5">
        <v>-79745.63</v>
      </c>
    </row>
    <row r="33" spans="1:14" x14ac:dyDescent="0.25">
      <c r="A33" t="str">
        <f t="shared" si="3"/>
        <v>151002</v>
      </c>
      <c r="B33" t="s">
        <v>174</v>
      </c>
      <c r="C33" t="s">
        <v>302</v>
      </c>
      <c r="E33" t="str">
        <f t="shared" si="0"/>
        <v>Angola</v>
      </c>
      <c r="F33" t="str">
        <f t="shared" si="1"/>
        <v>Angola</v>
      </c>
      <c r="G33" s="1">
        <v>15100</v>
      </c>
      <c r="H33" s="1">
        <v>2</v>
      </c>
      <c r="I33" s="1" t="s">
        <v>29</v>
      </c>
      <c r="J33" s="1" t="s">
        <v>8</v>
      </c>
      <c r="K33" s="1" t="s">
        <v>9</v>
      </c>
      <c r="L33" s="5">
        <v>-64451.23</v>
      </c>
      <c r="M33" s="5">
        <v>0</v>
      </c>
      <c r="N33" s="5">
        <v>-64451.23</v>
      </c>
    </row>
    <row r="34" spans="1:14" hidden="1" x14ac:dyDescent="0.25">
      <c r="A34" t="str">
        <f t="shared" si="3"/>
        <v>160001</v>
      </c>
      <c r="B34" t="s">
        <v>174</v>
      </c>
      <c r="C34" t="s">
        <v>302</v>
      </c>
      <c r="E34" t="str">
        <f t="shared" si="0"/>
        <v>Hillsboro</v>
      </c>
      <c r="F34" t="str">
        <f t="shared" si="1"/>
        <v>Hillsboro</v>
      </c>
      <c r="G34" s="1">
        <v>16000</v>
      </c>
      <c r="H34" s="1">
        <v>1</v>
      </c>
      <c r="I34" s="1" t="s">
        <v>30</v>
      </c>
      <c r="J34" s="1" t="s">
        <v>8</v>
      </c>
      <c r="K34" s="1" t="s">
        <v>9</v>
      </c>
      <c r="L34" s="5">
        <v>38802.65</v>
      </c>
      <c r="M34" s="5">
        <v>0</v>
      </c>
      <c r="N34" s="5">
        <v>38802.65</v>
      </c>
    </row>
    <row r="35" spans="1:14" x14ac:dyDescent="0.25">
      <c r="A35" t="str">
        <f t="shared" si="3"/>
        <v>160002</v>
      </c>
      <c r="B35" t="s">
        <v>174</v>
      </c>
      <c r="C35" t="s">
        <v>302</v>
      </c>
      <c r="E35" t="str">
        <f t="shared" si="0"/>
        <v>Angola</v>
      </c>
      <c r="F35" t="str">
        <f t="shared" si="1"/>
        <v>Angola</v>
      </c>
      <c r="G35" s="1">
        <v>16000</v>
      </c>
      <c r="H35" s="1">
        <v>2</v>
      </c>
      <c r="I35" s="1" t="s">
        <v>30</v>
      </c>
      <c r="J35" s="1" t="s">
        <v>8</v>
      </c>
      <c r="K35" s="1" t="s">
        <v>9</v>
      </c>
      <c r="L35" s="5">
        <v>3603.4</v>
      </c>
      <c r="M35" s="5">
        <v>0</v>
      </c>
      <c r="N35" s="5">
        <v>3603.4</v>
      </c>
    </row>
    <row r="36" spans="1:14" hidden="1" x14ac:dyDescent="0.25">
      <c r="A36" t="str">
        <f t="shared" si="3"/>
        <v>161001</v>
      </c>
      <c r="B36" t="s">
        <v>174</v>
      </c>
      <c r="C36" t="s">
        <v>302</v>
      </c>
      <c r="E36" t="str">
        <f t="shared" si="0"/>
        <v>Hillsboro</v>
      </c>
      <c r="F36" t="str">
        <f t="shared" si="1"/>
        <v>Hillsboro</v>
      </c>
      <c r="G36" s="1">
        <v>16100</v>
      </c>
      <c r="H36" s="1">
        <v>1</v>
      </c>
      <c r="I36" s="1" t="s">
        <v>31</v>
      </c>
      <c r="J36" s="1" t="s">
        <v>8</v>
      </c>
      <c r="K36" s="1" t="s">
        <v>9</v>
      </c>
      <c r="L36" s="5">
        <v>-38802.65</v>
      </c>
      <c r="M36" s="5">
        <v>0</v>
      </c>
      <c r="N36" s="5">
        <v>-38802.65</v>
      </c>
    </row>
    <row r="37" spans="1:14" x14ac:dyDescent="0.25">
      <c r="A37" t="str">
        <f t="shared" si="3"/>
        <v>161002</v>
      </c>
      <c r="B37" t="s">
        <v>174</v>
      </c>
      <c r="C37" t="s">
        <v>302</v>
      </c>
      <c r="E37" t="str">
        <f t="shared" si="0"/>
        <v>Angola</v>
      </c>
      <c r="F37" t="str">
        <f t="shared" si="1"/>
        <v>Angola</v>
      </c>
      <c r="G37" s="1">
        <v>16100</v>
      </c>
      <c r="H37" s="1">
        <v>2</v>
      </c>
      <c r="I37" s="1" t="s">
        <v>31</v>
      </c>
      <c r="J37" s="1" t="s">
        <v>8</v>
      </c>
      <c r="K37" s="1" t="s">
        <v>9</v>
      </c>
      <c r="L37" s="5">
        <v>-3602.87</v>
      </c>
      <c r="M37" s="5">
        <v>0</v>
      </c>
      <c r="N37" s="5">
        <v>-3602.87</v>
      </c>
    </row>
    <row r="38" spans="1:14" hidden="1" x14ac:dyDescent="0.25">
      <c r="A38" t="str">
        <f t="shared" si="3"/>
        <v>170001</v>
      </c>
      <c r="B38" t="s">
        <v>174</v>
      </c>
      <c r="C38" t="s">
        <v>302</v>
      </c>
      <c r="E38" t="str">
        <f t="shared" si="0"/>
        <v>Hillsboro</v>
      </c>
      <c r="F38" t="str">
        <f t="shared" si="1"/>
        <v>Hillsboro</v>
      </c>
      <c r="G38" s="1">
        <v>17000</v>
      </c>
      <c r="H38" s="1">
        <v>1</v>
      </c>
      <c r="I38" s="1" t="s">
        <v>32</v>
      </c>
      <c r="J38" s="1" t="s">
        <v>8</v>
      </c>
      <c r="K38" s="1" t="s">
        <v>9</v>
      </c>
      <c r="L38" s="5">
        <v>922407.92</v>
      </c>
      <c r="M38" s="5">
        <v>0</v>
      </c>
      <c r="N38" s="5">
        <v>922407.92</v>
      </c>
    </row>
    <row r="39" spans="1:14" x14ac:dyDescent="0.25">
      <c r="A39" t="str">
        <f t="shared" si="3"/>
        <v>170002</v>
      </c>
      <c r="B39" t="s">
        <v>174</v>
      </c>
      <c r="C39" t="s">
        <v>302</v>
      </c>
      <c r="E39" t="str">
        <f t="shared" si="0"/>
        <v>Angola</v>
      </c>
      <c r="F39" t="str">
        <f t="shared" si="1"/>
        <v>Angola</v>
      </c>
      <c r="G39" s="1">
        <v>17000</v>
      </c>
      <c r="H39" s="1">
        <v>2</v>
      </c>
      <c r="I39" s="1" t="s">
        <v>32</v>
      </c>
      <c r="J39" s="1" t="s">
        <v>8</v>
      </c>
      <c r="K39" s="1" t="s">
        <v>9</v>
      </c>
      <c r="L39" s="5">
        <v>127998.33</v>
      </c>
      <c r="M39" s="5">
        <v>0</v>
      </c>
      <c r="N39" s="5">
        <v>127998.33</v>
      </c>
    </row>
    <row r="40" spans="1:14" hidden="1" x14ac:dyDescent="0.25">
      <c r="A40" t="str">
        <f t="shared" si="3"/>
        <v>1700050</v>
      </c>
      <c r="B40" t="s">
        <v>174</v>
      </c>
      <c r="C40" t="s">
        <v>302</v>
      </c>
      <c r="E40" t="str">
        <f t="shared" si="0"/>
        <v>Pixelle</v>
      </c>
      <c r="F40" t="str">
        <f t="shared" si="1"/>
        <v>Pixelle</v>
      </c>
      <c r="G40" s="1">
        <v>17000</v>
      </c>
      <c r="H40" s="1">
        <v>50</v>
      </c>
      <c r="I40" s="1" t="s">
        <v>32</v>
      </c>
      <c r="J40" s="1" t="s">
        <v>8</v>
      </c>
      <c r="K40" s="1" t="s">
        <v>9</v>
      </c>
      <c r="L40" s="5">
        <v>27949.5</v>
      </c>
      <c r="M40" s="5">
        <v>0</v>
      </c>
      <c r="N40" s="5">
        <v>27949.5</v>
      </c>
    </row>
    <row r="41" spans="1:14" hidden="1" x14ac:dyDescent="0.25">
      <c r="A41" t="str">
        <f t="shared" si="3"/>
        <v>171001</v>
      </c>
      <c r="B41" t="s">
        <v>174</v>
      </c>
      <c r="C41" t="s">
        <v>302</v>
      </c>
      <c r="E41" t="str">
        <f t="shared" si="0"/>
        <v>Hillsboro</v>
      </c>
      <c r="F41" t="str">
        <f t="shared" si="1"/>
        <v>Hillsboro</v>
      </c>
      <c r="G41" s="1">
        <v>17100</v>
      </c>
      <c r="H41" s="1">
        <v>1</v>
      </c>
      <c r="I41" s="1" t="s">
        <v>33</v>
      </c>
      <c r="J41" s="1" t="s">
        <v>8</v>
      </c>
      <c r="K41" s="1" t="s">
        <v>9</v>
      </c>
      <c r="L41" s="5">
        <v>-751680.24</v>
      </c>
      <c r="M41" s="5">
        <v>-15675.72</v>
      </c>
      <c r="N41" s="5">
        <v>-767355.96</v>
      </c>
    </row>
    <row r="42" spans="1:14" x14ac:dyDescent="0.25">
      <c r="A42" t="str">
        <f t="shared" si="3"/>
        <v>171002</v>
      </c>
      <c r="B42" t="s">
        <v>174</v>
      </c>
      <c r="C42" t="s">
        <v>302</v>
      </c>
      <c r="E42" t="str">
        <f t="shared" si="0"/>
        <v>Angola</v>
      </c>
      <c r="F42" t="str">
        <f t="shared" si="1"/>
        <v>Angola</v>
      </c>
      <c r="G42" s="1">
        <v>17100</v>
      </c>
      <c r="H42" s="1">
        <v>2</v>
      </c>
      <c r="I42" s="1" t="s">
        <v>33</v>
      </c>
      <c r="J42" s="1" t="s">
        <v>8</v>
      </c>
      <c r="K42" s="1" t="s">
        <v>9</v>
      </c>
      <c r="L42" s="5">
        <v>-111642.24000000001</v>
      </c>
      <c r="M42" s="5">
        <v>-1563.66</v>
      </c>
      <c r="N42" s="5">
        <v>-113205.9</v>
      </c>
    </row>
    <row r="43" spans="1:14" hidden="1" x14ac:dyDescent="0.25">
      <c r="A43" t="str">
        <f t="shared" si="3"/>
        <v>1710050</v>
      </c>
      <c r="B43" t="s">
        <v>174</v>
      </c>
      <c r="C43" t="s">
        <v>302</v>
      </c>
      <c r="E43" t="str">
        <f t="shared" si="0"/>
        <v>Pixelle</v>
      </c>
      <c r="F43" t="str">
        <f t="shared" si="1"/>
        <v>Pixelle</v>
      </c>
      <c r="G43" s="1">
        <v>17100</v>
      </c>
      <c r="H43" s="1">
        <v>50</v>
      </c>
      <c r="I43" s="1" t="s">
        <v>33</v>
      </c>
      <c r="J43" s="1" t="s">
        <v>8</v>
      </c>
      <c r="K43" s="1" t="s">
        <v>9</v>
      </c>
      <c r="L43" s="5">
        <v>-39765.33</v>
      </c>
      <c r="M43" s="5">
        <v>-4553.5200000000004</v>
      </c>
      <c r="N43" s="5">
        <v>-44318.85</v>
      </c>
    </row>
    <row r="44" spans="1:14" hidden="1" x14ac:dyDescent="0.25">
      <c r="A44" t="str">
        <f t="shared" si="3"/>
        <v>175001</v>
      </c>
      <c r="B44" t="s">
        <v>174</v>
      </c>
      <c r="C44" t="s">
        <v>303</v>
      </c>
      <c r="E44" t="str">
        <f t="shared" si="0"/>
        <v>Hillsboro</v>
      </c>
      <c r="F44" t="str">
        <f t="shared" si="1"/>
        <v>Hillsboro</v>
      </c>
      <c r="G44" s="1">
        <v>17500</v>
      </c>
      <c r="H44" s="1">
        <v>1</v>
      </c>
      <c r="I44" s="1" t="s">
        <v>34</v>
      </c>
      <c r="J44" s="1" t="s">
        <v>8</v>
      </c>
      <c r="K44" s="1" t="s">
        <v>34</v>
      </c>
      <c r="L44" s="5">
        <v>10000</v>
      </c>
      <c r="M44" s="5">
        <v>0</v>
      </c>
      <c r="N44" s="5">
        <v>10000</v>
      </c>
    </row>
    <row r="45" spans="1:14" hidden="1" x14ac:dyDescent="0.25">
      <c r="A45" t="str">
        <f t="shared" si="3"/>
        <v>180001</v>
      </c>
      <c r="B45" t="s">
        <v>174</v>
      </c>
      <c r="C45" t="s">
        <v>302</v>
      </c>
      <c r="E45" t="str">
        <f t="shared" si="0"/>
        <v>Hillsboro</v>
      </c>
      <c r="F45" t="str">
        <f t="shared" si="1"/>
        <v>Hillsboro</v>
      </c>
      <c r="G45" s="1">
        <v>18000</v>
      </c>
      <c r="H45" s="1">
        <v>1</v>
      </c>
      <c r="I45" s="1" t="s">
        <v>35</v>
      </c>
      <c r="J45" s="1" t="s">
        <v>8</v>
      </c>
      <c r="K45" s="1" t="s">
        <v>9</v>
      </c>
      <c r="L45" s="5">
        <v>180345.65</v>
      </c>
      <c r="M45" s="5">
        <v>0</v>
      </c>
      <c r="N45" s="5">
        <v>180345.65</v>
      </c>
    </row>
    <row r="46" spans="1:14" x14ac:dyDescent="0.25">
      <c r="A46" t="str">
        <f t="shared" si="3"/>
        <v>180002</v>
      </c>
      <c r="B46" t="s">
        <v>174</v>
      </c>
      <c r="C46" t="s">
        <v>302</v>
      </c>
      <c r="E46" t="str">
        <f t="shared" si="0"/>
        <v>Angola</v>
      </c>
      <c r="F46" t="str">
        <f t="shared" si="1"/>
        <v>Angola</v>
      </c>
      <c r="G46" s="1">
        <v>18000</v>
      </c>
      <c r="H46" s="1">
        <v>2</v>
      </c>
      <c r="I46" s="1" t="s">
        <v>35</v>
      </c>
      <c r="J46" s="1" t="s">
        <v>8</v>
      </c>
      <c r="K46" s="1" t="s">
        <v>9</v>
      </c>
      <c r="L46" s="5">
        <v>8360.14</v>
      </c>
      <c r="M46" s="5">
        <v>0</v>
      </c>
      <c r="N46" s="5">
        <v>8360.14</v>
      </c>
    </row>
    <row r="47" spans="1:14" hidden="1" x14ac:dyDescent="0.25">
      <c r="A47" t="str">
        <f t="shared" si="3"/>
        <v>181001</v>
      </c>
      <c r="B47" t="s">
        <v>174</v>
      </c>
      <c r="C47" t="s">
        <v>302</v>
      </c>
      <c r="E47" t="str">
        <f t="shared" si="0"/>
        <v>Hillsboro</v>
      </c>
      <c r="F47" t="str">
        <f t="shared" si="1"/>
        <v>Hillsboro</v>
      </c>
      <c r="G47" s="1">
        <v>18100</v>
      </c>
      <c r="H47" s="1">
        <v>1</v>
      </c>
      <c r="I47" s="1" t="s">
        <v>36</v>
      </c>
      <c r="J47" s="1" t="s">
        <v>8</v>
      </c>
      <c r="K47" s="1" t="s">
        <v>9</v>
      </c>
      <c r="L47" s="5">
        <v>-165011.04</v>
      </c>
      <c r="M47" s="5">
        <v>-2359.14</v>
      </c>
      <c r="N47" s="5">
        <v>-167370.18</v>
      </c>
    </row>
    <row r="48" spans="1:14" x14ac:dyDescent="0.25">
      <c r="A48" t="str">
        <f t="shared" si="3"/>
        <v>181002</v>
      </c>
      <c r="B48" t="s">
        <v>174</v>
      </c>
      <c r="C48" t="s">
        <v>302</v>
      </c>
      <c r="E48" t="str">
        <f t="shared" si="0"/>
        <v>Angola</v>
      </c>
      <c r="F48" t="str">
        <f t="shared" si="1"/>
        <v>Angola</v>
      </c>
      <c r="G48" s="1">
        <v>18100</v>
      </c>
      <c r="H48" s="1">
        <v>2</v>
      </c>
      <c r="I48" s="1" t="s">
        <v>36</v>
      </c>
      <c r="J48" s="1" t="s">
        <v>8</v>
      </c>
      <c r="K48" s="1" t="s">
        <v>9</v>
      </c>
      <c r="L48" s="5">
        <v>-5573.42</v>
      </c>
      <c r="M48" s="5">
        <v>-1393.38</v>
      </c>
      <c r="N48" s="5">
        <v>-6966.8</v>
      </c>
    </row>
    <row r="49" spans="1:14" hidden="1" x14ac:dyDescent="0.25">
      <c r="A49" t="str">
        <f t="shared" si="3"/>
        <v>190001</v>
      </c>
      <c r="B49" t="s">
        <v>174</v>
      </c>
      <c r="C49" t="s">
        <v>302</v>
      </c>
      <c r="E49" t="str">
        <f t="shared" si="0"/>
        <v>Hillsboro</v>
      </c>
      <c r="F49" t="str">
        <f t="shared" si="1"/>
        <v>Hillsboro</v>
      </c>
      <c r="G49" s="1">
        <v>19000</v>
      </c>
      <c r="H49" s="1">
        <v>1</v>
      </c>
      <c r="I49" s="1" t="s">
        <v>37</v>
      </c>
      <c r="J49" s="1" t="s">
        <v>8</v>
      </c>
      <c r="K49" s="1" t="s">
        <v>9</v>
      </c>
      <c r="L49" s="5">
        <v>600000</v>
      </c>
      <c r="M49" s="5">
        <v>0</v>
      </c>
      <c r="N49" s="5">
        <v>600000</v>
      </c>
    </row>
    <row r="50" spans="1:14" hidden="1" x14ac:dyDescent="0.25">
      <c r="A50" t="str">
        <f t="shared" si="3"/>
        <v>191001</v>
      </c>
      <c r="B50" t="s">
        <v>174</v>
      </c>
      <c r="C50" t="s">
        <v>302</v>
      </c>
      <c r="E50" t="str">
        <f t="shared" si="0"/>
        <v>Hillsboro</v>
      </c>
      <c r="F50" t="str">
        <f t="shared" si="1"/>
        <v>Hillsboro</v>
      </c>
      <c r="G50" s="1">
        <v>19100</v>
      </c>
      <c r="H50" s="1">
        <v>1</v>
      </c>
      <c r="I50" s="1" t="s">
        <v>38</v>
      </c>
      <c r="J50" s="1" t="s">
        <v>8</v>
      </c>
      <c r="K50" s="1" t="s">
        <v>9</v>
      </c>
      <c r="L50" s="5">
        <v>-87500</v>
      </c>
      <c r="M50" s="5">
        <v>-6249.96</v>
      </c>
      <c r="N50" s="5">
        <v>-93749.96</v>
      </c>
    </row>
    <row r="51" spans="1:14" hidden="1" x14ac:dyDescent="0.25">
      <c r="A51" t="str">
        <f t="shared" si="3"/>
        <v>200001</v>
      </c>
      <c r="B51" t="s">
        <v>174</v>
      </c>
      <c r="C51" t="s">
        <v>304</v>
      </c>
      <c r="E51" t="str">
        <f t="shared" si="0"/>
        <v>Hillsboro</v>
      </c>
      <c r="F51" t="str">
        <f t="shared" si="1"/>
        <v>Hillsboro</v>
      </c>
      <c r="G51" s="1">
        <v>20000</v>
      </c>
      <c r="H51" s="1">
        <v>1</v>
      </c>
      <c r="I51" s="1" t="s">
        <v>39</v>
      </c>
      <c r="J51" s="1" t="s">
        <v>8</v>
      </c>
      <c r="K51" s="1" t="s">
        <v>9</v>
      </c>
      <c r="L51" s="5">
        <v>-451707.84</v>
      </c>
      <c r="M51" s="5">
        <v>141621.69</v>
      </c>
      <c r="N51" s="5">
        <v>-310086.15000000002</v>
      </c>
    </row>
    <row r="52" spans="1:14" hidden="1" x14ac:dyDescent="0.25">
      <c r="A52" t="str">
        <f t="shared" si="3"/>
        <v>215001</v>
      </c>
      <c r="B52" t="s">
        <v>174</v>
      </c>
      <c r="C52" t="s">
        <v>304</v>
      </c>
      <c r="E52" t="str">
        <f t="shared" si="0"/>
        <v>Hillsboro</v>
      </c>
      <c r="F52" t="str">
        <f t="shared" si="1"/>
        <v>Hillsboro</v>
      </c>
      <c r="G52" s="1">
        <v>21500</v>
      </c>
      <c r="H52" s="1">
        <v>1</v>
      </c>
      <c r="I52" s="1" t="s">
        <v>40</v>
      </c>
      <c r="J52" s="1" t="s">
        <v>8</v>
      </c>
      <c r="K52" s="1" t="s">
        <v>9</v>
      </c>
      <c r="L52" s="5">
        <v>0</v>
      </c>
      <c r="M52" s="5">
        <v>0</v>
      </c>
      <c r="N52" s="5">
        <v>0</v>
      </c>
    </row>
    <row r="53" spans="1:14" hidden="1" x14ac:dyDescent="0.25">
      <c r="A53" t="str">
        <f t="shared" si="3"/>
        <v>215101</v>
      </c>
      <c r="B53" t="s">
        <v>174</v>
      </c>
      <c r="C53" t="s">
        <v>306</v>
      </c>
      <c r="E53" t="str">
        <f t="shared" si="0"/>
        <v>Hillsboro</v>
      </c>
      <c r="F53" t="str">
        <f t="shared" si="1"/>
        <v>Hillsboro</v>
      </c>
      <c r="G53" s="1">
        <v>21510</v>
      </c>
      <c r="H53" s="1">
        <v>1</v>
      </c>
      <c r="I53" s="1" t="s">
        <v>41</v>
      </c>
      <c r="J53" s="1" t="s">
        <v>8</v>
      </c>
      <c r="K53" s="1" t="s">
        <v>41</v>
      </c>
      <c r="L53" s="5">
        <v>-193786.3</v>
      </c>
      <c r="M53" s="5">
        <v>193786.3</v>
      </c>
      <c r="N53" s="5">
        <v>0</v>
      </c>
    </row>
    <row r="54" spans="1:14" hidden="1" x14ac:dyDescent="0.25">
      <c r="A54" t="str">
        <f t="shared" si="3"/>
        <v>218601</v>
      </c>
      <c r="B54" t="s">
        <v>174</v>
      </c>
      <c r="C54" t="s">
        <v>306</v>
      </c>
      <c r="E54" t="str">
        <f t="shared" si="0"/>
        <v>Hillsboro</v>
      </c>
      <c r="F54" t="str">
        <f t="shared" si="1"/>
        <v>Hillsboro</v>
      </c>
      <c r="G54" s="1">
        <v>21860</v>
      </c>
      <c r="H54" s="1">
        <v>1</v>
      </c>
      <c r="I54" s="1" t="s">
        <v>42</v>
      </c>
      <c r="J54" s="1" t="s">
        <v>8</v>
      </c>
      <c r="K54" s="1" t="s">
        <v>42</v>
      </c>
      <c r="L54" s="5">
        <v>-19755.63</v>
      </c>
      <c r="M54" s="5">
        <v>0</v>
      </c>
      <c r="N54" s="5">
        <v>-19755.63</v>
      </c>
    </row>
    <row r="55" spans="1:14" hidden="1" x14ac:dyDescent="0.25">
      <c r="A55" t="str">
        <f t="shared" si="3"/>
        <v>218701</v>
      </c>
      <c r="B55" t="s">
        <v>174</v>
      </c>
      <c r="C55" t="s">
        <v>306</v>
      </c>
      <c r="E55" t="str">
        <f t="shared" si="0"/>
        <v>Hillsboro</v>
      </c>
      <c r="F55" t="str">
        <f t="shared" si="1"/>
        <v>Hillsboro</v>
      </c>
      <c r="G55" s="1">
        <v>21870</v>
      </c>
      <c r="H55" s="1">
        <v>1</v>
      </c>
      <c r="I55" s="1" t="s">
        <v>43</v>
      </c>
      <c r="J55" s="1" t="s">
        <v>8</v>
      </c>
      <c r="K55" s="1" t="s">
        <v>43</v>
      </c>
      <c r="L55" s="5">
        <v>-307922.95</v>
      </c>
      <c r="M55" s="5">
        <v>66051.5</v>
      </c>
      <c r="N55" s="5">
        <v>-241871.45</v>
      </c>
    </row>
    <row r="56" spans="1:14" hidden="1" x14ac:dyDescent="0.25">
      <c r="A56" t="str">
        <f t="shared" si="3"/>
        <v>230001</v>
      </c>
      <c r="B56" t="s">
        <v>174</v>
      </c>
      <c r="C56" t="s">
        <v>305</v>
      </c>
      <c r="E56" t="str">
        <f t="shared" si="0"/>
        <v>Hillsboro</v>
      </c>
      <c r="F56" t="str">
        <f t="shared" si="1"/>
        <v>Hillsboro</v>
      </c>
      <c r="G56" s="1">
        <v>23000</v>
      </c>
      <c r="H56" s="1">
        <v>1</v>
      </c>
      <c r="I56" s="1" t="s">
        <v>44</v>
      </c>
      <c r="J56" s="1" t="s">
        <v>8</v>
      </c>
      <c r="K56" s="1" t="s">
        <v>9</v>
      </c>
      <c r="L56" s="5">
        <v>-48475.74</v>
      </c>
      <c r="M56" s="5">
        <v>-249.1</v>
      </c>
      <c r="N56" s="5">
        <v>-48724.84</v>
      </c>
    </row>
    <row r="57" spans="1:14" hidden="1" x14ac:dyDescent="0.25">
      <c r="A57" t="str">
        <f t="shared" si="3"/>
        <v>237001</v>
      </c>
      <c r="B57" t="s">
        <v>174</v>
      </c>
      <c r="C57" t="s">
        <v>305</v>
      </c>
      <c r="E57" t="str">
        <f t="shared" si="0"/>
        <v>Hillsboro</v>
      </c>
      <c r="F57" t="str">
        <f t="shared" si="1"/>
        <v>Hillsboro</v>
      </c>
      <c r="G57" s="1">
        <v>23700</v>
      </c>
      <c r="H57" s="1">
        <v>1</v>
      </c>
      <c r="I57" s="1" t="s">
        <v>45</v>
      </c>
      <c r="J57" s="1" t="s">
        <v>8</v>
      </c>
      <c r="K57" s="1" t="s">
        <v>9</v>
      </c>
      <c r="L57" s="5">
        <v>0</v>
      </c>
      <c r="M57" s="5">
        <v>0</v>
      </c>
      <c r="N57" s="5">
        <v>0</v>
      </c>
    </row>
    <row r="58" spans="1:14" hidden="1" x14ac:dyDescent="0.25">
      <c r="A58" t="str">
        <f t="shared" si="3"/>
        <v>239001</v>
      </c>
      <c r="B58" t="s">
        <v>174</v>
      </c>
      <c r="C58" t="s">
        <v>305</v>
      </c>
      <c r="E58" t="str">
        <f t="shared" si="0"/>
        <v>Hillsboro</v>
      </c>
      <c r="F58" t="str">
        <f t="shared" si="1"/>
        <v>Hillsboro</v>
      </c>
      <c r="G58" s="1">
        <v>23900</v>
      </c>
      <c r="H58" s="1">
        <v>1</v>
      </c>
      <c r="I58" s="1" t="s">
        <v>46</v>
      </c>
      <c r="J58" s="1" t="s">
        <v>8</v>
      </c>
      <c r="K58" s="1" t="s">
        <v>9</v>
      </c>
      <c r="L58" s="5">
        <v>-9636.25</v>
      </c>
      <c r="M58" s="5">
        <v>-827.5</v>
      </c>
      <c r="N58" s="5">
        <v>-10463.75</v>
      </c>
    </row>
    <row r="59" spans="1:14" hidden="1" x14ac:dyDescent="0.25">
      <c r="A59" t="str">
        <f t="shared" si="3"/>
        <v>239501</v>
      </c>
      <c r="B59" t="s">
        <v>174</v>
      </c>
      <c r="C59" t="s">
        <v>305</v>
      </c>
      <c r="E59" t="str">
        <f t="shared" si="0"/>
        <v>Hillsboro</v>
      </c>
      <c r="F59" t="str">
        <f t="shared" si="1"/>
        <v>Hillsboro</v>
      </c>
      <c r="G59" s="1">
        <v>23950</v>
      </c>
      <c r="H59" s="1">
        <v>1</v>
      </c>
      <c r="I59" s="1" t="s">
        <v>47</v>
      </c>
      <c r="J59" s="1" t="s">
        <v>8</v>
      </c>
      <c r="K59" s="1" t="s">
        <v>47</v>
      </c>
      <c r="L59" s="5">
        <v>-130845.01</v>
      </c>
      <c r="M59" s="5">
        <v>72441.83</v>
      </c>
      <c r="N59" s="5">
        <v>-58403.18</v>
      </c>
    </row>
    <row r="60" spans="1:14" hidden="1" x14ac:dyDescent="0.25">
      <c r="A60" t="str">
        <f t="shared" si="3"/>
        <v>240001</v>
      </c>
      <c r="B60" t="s">
        <v>174</v>
      </c>
      <c r="C60" t="s">
        <v>305</v>
      </c>
      <c r="E60" t="str">
        <f t="shared" si="0"/>
        <v>Hillsboro</v>
      </c>
      <c r="F60" t="str">
        <f t="shared" si="1"/>
        <v>Hillsboro</v>
      </c>
      <c r="G60" s="1">
        <v>24000</v>
      </c>
      <c r="H60" s="1">
        <v>1</v>
      </c>
      <c r="I60" s="1" t="s">
        <v>48</v>
      </c>
      <c r="J60" s="1" t="s">
        <v>8</v>
      </c>
      <c r="K60" s="1" t="s">
        <v>9</v>
      </c>
      <c r="L60" s="5">
        <v>0</v>
      </c>
      <c r="M60" s="5">
        <v>15.08</v>
      </c>
      <c r="N60" s="5">
        <v>15.08</v>
      </c>
    </row>
    <row r="61" spans="1:14" hidden="1" x14ac:dyDescent="0.25">
      <c r="A61" t="str">
        <f t="shared" si="3"/>
        <v>241001</v>
      </c>
      <c r="B61" t="s">
        <v>174</v>
      </c>
      <c r="C61" t="s">
        <v>305</v>
      </c>
      <c r="E61" t="str">
        <f t="shared" si="0"/>
        <v>Hillsboro</v>
      </c>
      <c r="F61" t="str">
        <f t="shared" si="1"/>
        <v>Hillsboro</v>
      </c>
      <c r="G61" s="1">
        <v>24100</v>
      </c>
      <c r="H61" s="1">
        <v>1</v>
      </c>
      <c r="I61" s="1" t="s">
        <v>49</v>
      </c>
      <c r="J61" s="1" t="s">
        <v>8</v>
      </c>
      <c r="K61" s="1" t="s">
        <v>9</v>
      </c>
      <c r="L61" s="5">
        <v>0</v>
      </c>
      <c r="M61" s="5">
        <v>0</v>
      </c>
      <c r="N61" s="5">
        <v>0</v>
      </c>
    </row>
    <row r="62" spans="1:14" hidden="1" x14ac:dyDescent="0.25">
      <c r="A62" t="str">
        <f t="shared" si="3"/>
        <v>243001</v>
      </c>
      <c r="B62" t="s">
        <v>174</v>
      </c>
      <c r="C62" t="s">
        <v>305</v>
      </c>
      <c r="E62" t="str">
        <f t="shared" si="0"/>
        <v>Hillsboro</v>
      </c>
      <c r="F62" t="str">
        <f t="shared" si="1"/>
        <v>Hillsboro</v>
      </c>
      <c r="G62" s="1">
        <v>24300</v>
      </c>
      <c r="H62" s="1">
        <v>1</v>
      </c>
      <c r="I62" s="1" t="s">
        <v>50</v>
      </c>
      <c r="J62" s="1" t="s">
        <v>8</v>
      </c>
      <c r="K62" s="1" t="s">
        <v>9</v>
      </c>
      <c r="L62" s="5">
        <v>-51459.37</v>
      </c>
      <c r="M62" s="5">
        <v>-65004.959999999999</v>
      </c>
      <c r="N62" s="5">
        <v>-116464.33</v>
      </c>
    </row>
    <row r="63" spans="1:14" hidden="1" x14ac:dyDescent="0.25">
      <c r="A63" t="str">
        <f t="shared" si="3"/>
        <v>300001</v>
      </c>
      <c r="B63" t="s">
        <v>174</v>
      </c>
      <c r="C63" t="s">
        <v>307</v>
      </c>
      <c r="E63" t="str">
        <f t="shared" si="0"/>
        <v>Hillsboro</v>
      </c>
      <c r="F63" t="str">
        <f t="shared" si="1"/>
        <v>Hillsboro</v>
      </c>
      <c r="G63" s="1">
        <v>30000</v>
      </c>
      <c r="H63" s="1">
        <v>1</v>
      </c>
      <c r="I63" s="1" t="s">
        <v>51</v>
      </c>
      <c r="J63" s="1" t="s">
        <v>8</v>
      </c>
      <c r="K63" s="1" t="s">
        <v>9</v>
      </c>
      <c r="L63" s="5">
        <v>-1000</v>
      </c>
      <c r="M63" s="5">
        <v>0</v>
      </c>
      <c r="N63" s="5">
        <v>-1000</v>
      </c>
    </row>
    <row r="64" spans="1:14" hidden="1" x14ac:dyDescent="0.25">
      <c r="A64" t="str">
        <f t="shared" si="3"/>
        <v>310001</v>
      </c>
      <c r="B64" t="s">
        <v>174</v>
      </c>
      <c r="C64" t="s">
        <v>307</v>
      </c>
      <c r="E64" t="str">
        <f t="shared" si="0"/>
        <v>Hillsboro</v>
      </c>
      <c r="F64" t="str">
        <f t="shared" si="1"/>
        <v>Hillsboro</v>
      </c>
      <c r="G64" s="1">
        <v>31000</v>
      </c>
      <c r="H64" s="1">
        <v>1</v>
      </c>
      <c r="I64" s="1" t="s">
        <v>52</v>
      </c>
      <c r="J64" s="1" t="s">
        <v>8</v>
      </c>
      <c r="K64" s="1" t="s">
        <v>9</v>
      </c>
      <c r="L64" s="5">
        <v>-2581208.7200000002</v>
      </c>
      <c r="M64" s="5">
        <v>0</v>
      </c>
      <c r="N64" s="5">
        <v>-2581208.7200000002</v>
      </c>
    </row>
    <row r="65" spans="1:18" hidden="1" x14ac:dyDescent="0.25">
      <c r="A65" t="str">
        <f t="shared" si="3"/>
        <v>3150099</v>
      </c>
      <c r="B65" t="s">
        <v>174</v>
      </c>
      <c r="C65" t="s">
        <v>307</v>
      </c>
      <c r="E65" t="str">
        <f t="shared" si="0"/>
        <v>Hillsboro</v>
      </c>
      <c r="F65" t="str">
        <f t="shared" si="1"/>
        <v>Corp</v>
      </c>
      <c r="G65" s="1">
        <v>31500</v>
      </c>
      <c r="H65" s="1">
        <v>99</v>
      </c>
      <c r="I65" s="1" t="s">
        <v>53</v>
      </c>
      <c r="J65" s="1" t="s">
        <v>8</v>
      </c>
      <c r="K65" s="1" t="s">
        <v>53</v>
      </c>
      <c r="L65" s="5">
        <v>-249000</v>
      </c>
      <c r="M65" s="5">
        <v>0</v>
      </c>
      <c r="N65" s="5">
        <v>-249000</v>
      </c>
    </row>
    <row r="66" spans="1:18" hidden="1" x14ac:dyDescent="0.25">
      <c r="A66" t="str">
        <f t="shared" si="3"/>
        <v>3200099</v>
      </c>
      <c r="B66" t="s">
        <v>174</v>
      </c>
      <c r="C66" t="s">
        <v>307</v>
      </c>
      <c r="E66" t="str">
        <f t="shared" ref="E66" si="4">IF(H66=1,"Hillsboro",IF(H66=2,"Angola",IF(H66=9,"Hillsboro",IF(H66=99,"Hillsboro",IF(H66=50,"Pixelle","???")))))</f>
        <v>Hillsboro</v>
      </c>
      <c r="F66" t="str">
        <f t="shared" ref="F66" si="5">IF(H66=1,"Hillsboro",IF(H66=2,"Angola",IF(H66=9,"Corp",IF(H66=99,"Corp",IF(H66=50,"Pixelle","???")))))</f>
        <v>Corp</v>
      </c>
      <c r="G66" s="1">
        <v>32000</v>
      </c>
      <c r="H66" s="1">
        <v>99</v>
      </c>
      <c r="I66" s="1" t="s">
        <v>54</v>
      </c>
      <c r="J66" s="1" t="s">
        <v>8</v>
      </c>
      <c r="K66" s="1" t="s">
        <v>9</v>
      </c>
      <c r="L66" s="5">
        <v>0</v>
      </c>
      <c r="M66" s="5">
        <v>40000</v>
      </c>
      <c r="N66" s="5">
        <v>40000</v>
      </c>
    </row>
    <row r="67" spans="1:18" hidden="1" x14ac:dyDescent="0.25">
      <c r="A67" s="8" t="str">
        <f t="shared" si="3"/>
        <v>134051</v>
      </c>
      <c r="B67" s="8" t="s">
        <v>176</v>
      </c>
      <c r="C67" s="8" t="s">
        <v>177</v>
      </c>
      <c r="D67" s="8" t="s">
        <v>178</v>
      </c>
      <c r="E67" s="8" t="str">
        <f t="shared" ref="E67" si="6">IF(H67=1,"Hillsboro",IF(H67=2,"Angola",IF(H67=9,"Hillsboro",IF(H67=99,"Hillsboro",IF(H67=50,"Pixelle","???")))))</f>
        <v>Hillsboro</v>
      </c>
      <c r="F67" s="8" t="str">
        <f t="shared" ref="F67" si="7">IF(H67=1,"Hillsboro",IF(H67=2,"Angola",IF(H67=9,"Corp",IF(H67=99,"Corp",IF(H67=50,"Pixelle","???")))))</f>
        <v>Hillsboro</v>
      </c>
      <c r="G67" s="9">
        <v>13405</v>
      </c>
      <c r="H67" s="9">
        <v>1</v>
      </c>
      <c r="I67" s="9" t="s">
        <v>55</v>
      </c>
      <c r="J67" s="9" t="s">
        <v>56</v>
      </c>
      <c r="K67" s="1" t="s">
        <v>9</v>
      </c>
      <c r="L67" s="5">
        <v>0</v>
      </c>
      <c r="M67" s="5">
        <v>20387.89</v>
      </c>
      <c r="N67" s="5">
        <v>20387.89</v>
      </c>
    </row>
    <row r="68" spans="1:18" x14ac:dyDescent="0.25">
      <c r="A68" s="8" t="str">
        <f t="shared" si="3"/>
        <v>134052</v>
      </c>
      <c r="B68" s="8" t="s">
        <v>176</v>
      </c>
      <c r="C68" s="8" t="s">
        <v>177</v>
      </c>
      <c r="D68" s="8" t="s">
        <v>178</v>
      </c>
      <c r="E68" s="8" t="str">
        <f t="shared" ref="E68" si="8">IF(H68=1,"Hillsboro",IF(H68=2,"Angola",IF(H68=9,"Hillsboro",IF(H68=99,"Hillsboro",IF(H68=50,"Pixelle","???")))))</f>
        <v>Angola</v>
      </c>
      <c r="F68" s="8" t="str">
        <f t="shared" ref="F68" si="9">IF(H68=1,"Hillsboro",IF(H68=2,"Angola",IF(H68=9,"Corp",IF(H68=99,"Corp",IF(H68=50,"Pixelle","???")))))</f>
        <v>Angola</v>
      </c>
      <c r="G68" s="9">
        <v>13405</v>
      </c>
      <c r="H68" s="9">
        <v>2</v>
      </c>
      <c r="I68" s="9" t="s">
        <v>55</v>
      </c>
      <c r="J68" s="9" t="s">
        <v>56</v>
      </c>
      <c r="K68" s="1" t="s">
        <v>9</v>
      </c>
      <c r="L68" s="5">
        <v>0</v>
      </c>
      <c r="M68" s="5">
        <v>23582.06</v>
      </c>
      <c r="N68" s="5">
        <v>23582.06</v>
      </c>
    </row>
    <row r="69" spans="1:18" hidden="1" x14ac:dyDescent="0.25">
      <c r="A69" t="str">
        <f t="shared" ref="A69:A132" si="10">G69&amp;H69</f>
        <v>400001</v>
      </c>
      <c r="B69" t="s">
        <v>176</v>
      </c>
      <c r="C69" t="s">
        <v>175</v>
      </c>
      <c r="D69" t="s">
        <v>175</v>
      </c>
      <c r="E69" t="str">
        <f>IF(H69=1,"Hillsboro",IF(H69=2,"Angola",IF(H69=9,"Hillsboro",IF(H69=99,"Hillsboro",IF(H69=50,"Pixelle","???")))))</f>
        <v>Hillsboro</v>
      </c>
      <c r="F69" t="str">
        <f>IF(H69=1,"Hillsboro",IF(H69=2,"Angola",IF(H69=9,"Corp",IF(H69=99,"Corp",IF(H69=50,"Pixelle","???")))))</f>
        <v>Hillsboro</v>
      </c>
      <c r="G69" s="1">
        <v>40000</v>
      </c>
      <c r="H69" s="1">
        <v>1</v>
      </c>
      <c r="I69" s="1" t="s">
        <v>57</v>
      </c>
      <c r="J69" s="1" t="s">
        <v>56</v>
      </c>
      <c r="K69" s="1" t="s">
        <v>9</v>
      </c>
      <c r="L69" s="5">
        <v>0</v>
      </c>
      <c r="M69" s="5">
        <v>-2261060.6800000002</v>
      </c>
      <c r="N69" s="5">
        <v>-2261060.6800000002</v>
      </c>
    </row>
    <row r="70" spans="1:18" x14ac:dyDescent="0.25">
      <c r="A70" t="str">
        <f t="shared" si="10"/>
        <v>400002</v>
      </c>
      <c r="B70" t="s">
        <v>176</v>
      </c>
      <c r="C70" t="s">
        <v>175</v>
      </c>
      <c r="D70" t="s">
        <v>175</v>
      </c>
      <c r="E70" t="str">
        <f t="shared" ref="E70:E87" si="11">IF(H70=1,"Hillsboro",IF(H70=2,"Angola",IF(H70=9,"Hillsboro",IF(H70=99,"Hillsboro",IF(H70=50,"Pixelle","???")))))</f>
        <v>Angola</v>
      </c>
      <c r="F70" t="str">
        <f t="shared" ref="F70:F87" si="12">IF(H70=1,"Hillsboro",IF(H70=2,"Angola",IF(H70=9,"Corp",IF(H70=99,"Corp",IF(H70=50,"Pixelle","???")))))</f>
        <v>Angola</v>
      </c>
      <c r="G70" s="1">
        <v>40000</v>
      </c>
      <c r="H70" s="1">
        <v>2</v>
      </c>
      <c r="I70" s="1" t="s">
        <v>57</v>
      </c>
      <c r="J70" s="1" t="s">
        <v>56</v>
      </c>
      <c r="K70" s="1" t="s">
        <v>9</v>
      </c>
      <c r="L70" s="5">
        <v>0</v>
      </c>
      <c r="M70" s="5">
        <v>-1512908.48</v>
      </c>
      <c r="N70" s="5">
        <v>-1512908.48</v>
      </c>
    </row>
    <row r="71" spans="1:18" hidden="1" x14ac:dyDescent="0.25">
      <c r="A71" t="str">
        <f t="shared" si="10"/>
        <v>4000050</v>
      </c>
      <c r="B71" t="s">
        <v>176</v>
      </c>
      <c r="C71" t="s">
        <v>175</v>
      </c>
      <c r="D71" t="s">
        <v>175</v>
      </c>
      <c r="E71" t="str">
        <f t="shared" si="11"/>
        <v>Pixelle</v>
      </c>
      <c r="F71" t="str">
        <f t="shared" si="12"/>
        <v>Pixelle</v>
      </c>
      <c r="G71" s="1">
        <v>40000</v>
      </c>
      <c r="H71" s="1">
        <v>50</v>
      </c>
      <c r="I71" s="1" t="s">
        <v>57</v>
      </c>
      <c r="J71" s="1" t="s">
        <v>56</v>
      </c>
      <c r="K71" s="1" t="s">
        <v>9</v>
      </c>
      <c r="L71" s="5">
        <v>0</v>
      </c>
      <c r="M71" s="5">
        <v>-962160.67</v>
      </c>
      <c r="N71" s="5">
        <v>-962160.67</v>
      </c>
    </row>
    <row r="72" spans="1:18" hidden="1" x14ac:dyDescent="0.25">
      <c r="A72" t="str">
        <f t="shared" si="10"/>
        <v>407001</v>
      </c>
      <c r="B72" t="s">
        <v>176</v>
      </c>
      <c r="C72" t="s">
        <v>175</v>
      </c>
      <c r="D72" t="s">
        <v>175</v>
      </c>
      <c r="E72" t="str">
        <f t="shared" si="11"/>
        <v>Hillsboro</v>
      </c>
      <c r="F72" t="str">
        <f t="shared" si="12"/>
        <v>Hillsboro</v>
      </c>
      <c r="G72" s="1">
        <v>40700</v>
      </c>
      <c r="H72" s="1">
        <v>1</v>
      </c>
      <c r="I72" s="1" t="s">
        <v>58</v>
      </c>
      <c r="J72" s="1" t="s">
        <v>56</v>
      </c>
      <c r="K72" s="1" t="s">
        <v>9</v>
      </c>
      <c r="L72" s="5">
        <v>0</v>
      </c>
      <c r="M72" s="5">
        <v>-3851.03</v>
      </c>
      <c r="N72" s="5">
        <v>-3851.03</v>
      </c>
    </row>
    <row r="73" spans="1:18" x14ac:dyDescent="0.25">
      <c r="A73" t="str">
        <f t="shared" si="10"/>
        <v>407002</v>
      </c>
      <c r="B73" t="s">
        <v>176</v>
      </c>
      <c r="C73" t="s">
        <v>175</v>
      </c>
      <c r="D73" t="s">
        <v>175</v>
      </c>
      <c r="E73" t="str">
        <f t="shared" si="11"/>
        <v>Angola</v>
      </c>
      <c r="F73" t="str">
        <f t="shared" si="12"/>
        <v>Angola</v>
      </c>
      <c r="G73" s="1">
        <v>40700</v>
      </c>
      <c r="H73" s="1">
        <v>2</v>
      </c>
      <c r="I73" s="1" t="s">
        <v>58</v>
      </c>
      <c r="J73" s="1" t="s">
        <v>56</v>
      </c>
      <c r="K73" s="1" t="s">
        <v>9</v>
      </c>
      <c r="L73" s="5">
        <v>0</v>
      </c>
      <c r="M73" s="5">
        <v>-8382.26</v>
      </c>
      <c r="N73" s="5">
        <v>-8382.26</v>
      </c>
    </row>
    <row r="74" spans="1:18" hidden="1" x14ac:dyDescent="0.25">
      <c r="A74" t="str">
        <f t="shared" si="10"/>
        <v>4070050</v>
      </c>
      <c r="B74" t="s">
        <v>176</v>
      </c>
      <c r="C74" t="s">
        <v>175</v>
      </c>
      <c r="D74" t="s">
        <v>175</v>
      </c>
      <c r="E74" t="str">
        <f t="shared" si="11"/>
        <v>Pixelle</v>
      </c>
      <c r="F74" t="str">
        <f t="shared" si="12"/>
        <v>Pixelle</v>
      </c>
      <c r="G74" s="1">
        <v>40700</v>
      </c>
      <c r="H74" s="1">
        <v>50</v>
      </c>
      <c r="I74" s="1" t="s">
        <v>58</v>
      </c>
      <c r="J74" s="1" t="s">
        <v>56</v>
      </c>
      <c r="K74" s="1" t="s">
        <v>9</v>
      </c>
      <c r="L74" s="5">
        <v>0</v>
      </c>
      <c r="M74" s="5">
        <v>0</v>
      </c>
      <c r="N74" s="5">
        <v>0</v>
      </c>
    </row>
    <row r="75" spans="1:18" hidden="1" x14ac:dyDescent="0.25">
      <c r="A75" t="str">
        <f t="shared" si="10"/>
        <v>410001</v>
      </c>
      <c r="B75" t="s">
        <v>176</v>
      </c>
      <c r="C75" t="s">
        <v>175</v>
      </c>
      <c r="D75" t="s">
        <v>175</v>
      </c>
      <c r="E75" t="str">
        <f t="shared" si="11"/>
        <v>Hillsboro</v>
      </c>
      <c r="F75" t="str">
        <f t="shared" si="12"/>
        <v>Hillsboro</v>
      </c>
      <c r="G75" s="1">
        <v>41000</v>
      </c>
      <c r="H75" s="1">
        <v>1</v>
      </c>
      <c r="I75" s="1" t="s">
        <v>59</v>
      </c>
      <c r="J75" s="1" t="s">
        <v>56</v>
      </c>
      <c r="K75" s="1" t="s">
        <v>9</v>
      </c>
      <c r="L75" s="5">
        <v>0</v>
      </c>
      <c r="M75" s="5">
        <v>31735.48</v>
      </c>
      <c r="N75" s="5">
        <v>31735.48</v>
      </c>
    </row>
    <row r="76" spans="1:18" x14ac:dyDescent="0.25">
      <c r="A76" t="str">
        <f t="shared" si="10"/>
        <v>410002</v>
      </c>
      <c r="B76" t="s">
        <v>176</v>
      </c>
      <c r="C76" t="s">
        <v>175</v>
      </c>
      <c r="D76" t="s">
        <v>175</v>
      </c>
      <c r="E76" t="str">
        <f t="shared" si="11"/>
        <v>Angola</v>
      </c>
      <c r="F76" t="str">
        <f t="shared" si="12"/>
        <v>Angola</v>
      </c>
      <c r="G76" s="1">
        <v>41000</v>
      </c>
      <c r="H76" s="1">
        <v>2</v>
      </c>
      <c r="I76" s="1" t="s">
        <v>59</v>
      </c>
      <c r="J76" s="1" t="s">
        <v>56</v>
      </c>
      <c r="K76" s="1" t="s">
        <v>9</v>
      </c>
      <c r="L76" s="5">
        <v>0</v>
      </c>
      <c r="M76" s="5">
        <v>21096.81</v>
      </c>
      <c r="N76" s="5">
        <v>21096.81</v>
      </c>
    </row>
    <row r="77" spans="1:18" hidden="1" x14ac:dyDescent="0.25">
      <c r="A77" t="str">
        <f t="shared" si="10"/>
        <v>4100099</v>
      </c>
      <c r="B77" t="s">
        <v>176</v>
      </c>
      <c r="C77" t="s">
        <v>175</v>
      </c>
      <c r="D77" t="s">
        <v>175</v>
      </c>
      <c r="E77" t="str">
        <f t="shared" si="11"/>
        <v>Hillsboro</v>
      </c>
      <c r="F77" t="str">
        <f t="shared" si="12"/>
        <v>Corp</v>
      </c>
      <c r="G77" s="1">
        <v>41000</v>
      </c>
      <c r="H77" s="1">
        <v>99</v>
      </c>
      <c r="I77" s="1" t="s">
        <v>59</v>
      </c>
      <c r="J77" s="1" t="s">
        <v>56</v>
      </c>
      <c r="K77" s="1" t="s">
        <v>9</v>
      </c>
      <c r="L77" s="5">
        <v>0</v>
      </c>
      <c r="M77" s="5">
        <v>0</v>
      </c>
      <c r="N77" s="5">
        <v>0</v>
      </c>
    </row>
    <row r="78" spans="1:18" hidden="1" x14ac:dyDescent="0.25">
      <c r="A78" t="str">
        <f t="shared" si="10"/>
        <v>411001</v>
      </c>
      <c r="B78" t="s">
        <v>176</v>
      </c>
      <c r="C78" t="s">
        <v>175</v>
      </c>
      <c r="D78" t="s">
        <v>175</v>
      </c>
      <c r="E78" t="str">
        <f t="shared" si="11"/>
        <v>Hillsboro</v>
      </c>
      <c r="F78" t="str">
        <f t="shared" si="12"/>
        <v>Hillsboro</v>
      </c>
      <c r="G78" s="1">
        <v>41100</v>
      </c>
      <c r="H78" s="1">
        <v>1</v>
      </c>
      <c r="I78" s="1" t="s">
        <v>60</v>
      </c>
      <c r="J78" s="1" t="s">
        <v>56</v>
      </c>
      <c r="K78" s="1" t="s">
        <v>60</v>
      </c>
      <c r="L78" s="5">
        <v>0</v>
      </c>
      <c r="M78" s="5">
        <v>343.2</v>
      </c>
      <c r="N78" s="5">
        <v>343.2</v>
      </c>
    </row>
    <row r="79" spans="1:18" x14ac:dyDescent="0.25">
      <c r="A79" t="str">
        <f t="shared" si="10"/>
        <v>420002</v>
      </c>
      <c r="B79" t="s">
        <v>176</v>
      </c>
      <c r="C79" s="8" t="s">
        <v>179</v>
      </c>
      <c r="D79" s="8" t="s">
        <v>180</v>
      </c>
      <c r="E79" s="8" t="str">
        <f t="shared" si="11"/>
        <v>Angola</v>
      </c>
      <c r="F79" s="8" t="str">
        <f t="shared" si="12"/>
        <v>Angola</v>
      </c>
      <c r="G79" s="1">
        <v>42000</v>
      </c>
      <c r="H79" s="1">
        <v>2</v>
      </c>
      <c r="I79" s="1" t="s">
        <v>61</v>
      </c>
      <c r="J79" s="1" t="s">
        <v>56</v>
      </c>
      <c r="K79" s="1" t="s">
        <v>9</v>
      </c>
      <c r="L79" s="5">
        <v>0</v>
      </c>
      <c r="M79" s="5">
        <v>4629.16</v>
      </c>
      <c r="N79" s="5">
        <v>4629.16</v>
      </c>
    </row>
    <row r="80" spans="1:18" hidden="1" x14ac:dyDescent="0.25">
      <c r="A80" t="str">
        <f t="shared" si="10"/>
        <v>4200099</v>
      </c>
      <c r="B80" t="s">
        <v>176</v>
      </c>
      <c r="C80" s="8" t="s">
        <v>179</v>
      </c>
      <c r="D80" s="8" t="s">
        <v>180</v>
      </c>
      <c r="E80" s="8" t="str">
        <f t="shared" si="11"/>
        <v>Hillsboro</v>
      </c>
      <c r="F80" s="8" t="str">
        <f t="shared" si="12"/>
        <v>Corp</v>
      </c>
      <c r="G80" s="1">
        <v>42000</v>
      </c>
      <c r="H80" s="1">
        <v>99</v>
      </c>
      <c r="I80" s="1" t="s">
        <v>61</v>
      </c>
      <c r="J80" s="1" t="s">
        <v>56</v>
      </c>
      <c r="K80" s="1" t="s">
        <v>9</v>
      </c>
      <c r="L80" s="5">
        <v>0</v>
      </c>
      <c r="M80" s="5">
        <v>202.17</v>
      </c>
      <c r="N80" s="5">
        <v>202.17</v>
      </c>
      <c r="P80">
        <f>VLOOKUP(A80,'[2]SORTED B VS P'!$A$82:$M$315,13,FALSE)</f>
        <v>1447.37</v>
      </c>
      <c r="Q80">
        <f>P80/2</f>
        <v>723.68499999999995</v>
      </c>
      <c r="R80" s="6">
        <f>N80-Q80</f>
        <v>-521.51499999999999</v>
      </c>
    </row>
    <row r="81" spans="1:14" hidden="1" x14ac:dyDescent="0.25">
      <c r="A81" t="str">
        <f t="shared" si="10"/>
        <v>510001</v>
      </c>
      <c r="B81" t="s">
        <v>176</v>
      </c>
      <c r="C81" t="s">
        <v>177</v>
      </c>
      <c r="D81" t="s">
        <v>181</v>
      </c>
      <c r="E81" t="str">
        <f t="shared" si="11"/>
        <v>Hillsboro</v>
      </c>
      <c r="F81" t="str">
        <f t="shared" si="12"/>
        <v>Hillsboro</v>
      </c>
      <c r="G81" s="1">
        <v>51000</v>
      </c>
      <c r="H81" s="1">
        <v>1</v>
      </c>
      <c r="I81" s="1" t="s">
        <v>62</v>
      </c>
      <c r="J81" s="1" t="s">
        <v>56</v>
      </c>
      <c r="K81" s="1" t="s">
        <v>9</v>
      </c>
      <c r="L81" s="5">
        <v>0</v>
      </c>
      <c r="M81" s="5">
        <v>898525.97</v>
      </c>
      <c r="N81" s="5">
        <v>898525.97</v>
      </c>
    </row>
    <row r="82" spans="1:14" x14ac:dyDescent="0.25">
      <c r="A82" t="str">
        <f t="shared" si="10"/>
        <v>510002</v>
      </c>
      <c r="B82" t="s">
        <v>176</v>
      </c>
      <c r="C82" t="s">
        <v>177</v>
      </c>
      <c r="D82" t="s">
        <v>181</v>
      </c>
      <c r="E82" t="str">
        <f t="shared" si="11"/>
        <v>Angola</v>
      </c>
      <c r="F82" t="str">
        <f t="shared" si="12"/>
        <v>Angola</v>
      </c>
      <c r="G82" s="1">
        <v>51000</v>
      </c>
      <c r="H82" s="1">
        <v>2</v>
      </c>
      <c r="I82" s="1" t="s">
        <v>62</v>
      </c>
      <c r="J82" s="1" t="s">
        <v>56</v>
      </c>
      <c r="K82" s="1" t="s">
        <v>9</v>
      </c>
      <c r="L82" s="5">
        <v>0</v>
      </c>
      <c r="M82" s="5">
        <v>656720.71</v>
      </c>
      <c r="N82" s="5">
        <v>656720.71</v>
      </c>
    </row>
    <row r="83" spans="1:14" hidden="1" x14ac:dyDescent="0.25">
      <c r="A83" t="str">
        <f t="shared" si="10"/>
        <v>520001</v>
      </c>
      <c r="B83" t="s">
        <v>176</v>
      </c>
      <c r="C83" t="s">
        <v>177</v>
      </c>
      <c r="D83" t="s">
        <v>182</v>
      </c>
      <c r="E83" t="str">
        <f t="shared" si="11"/>
        <v>Hillsboro</v>
      </c>
      <c r="F83" t="str">
        <f t="shared" si="12"/>
        <v>Hillsboro</v>
      </c>
      <c r="G83" s="1">
        <v>52000</v>
      </c>
      <c r="H83" s="1">
        <v>1</v>
      </c>
      <c r="I83" s="1" t="s">
        <v>63</v>
      </c>
      <c r="J83" s="1" t="s">
        <v>56</v>
      </c>
      <c r="K83" s="1" t="s">
        <v>9</v>
      </c>
      <c r="L83" s="5">
        <v>0</v>
      </c>
      <c r="M83" s="5">
        <v>1184.6099999999999</v>
      </c>
      <c r="N83" s="5">
        <v>1184.6099999999999</v>
      </c>
    </row>
    <row r="84" spans="1:14" hidden="1" x14ac:dyDescent="0.25">
      <c r="A84" t="str">
        <f t="shared" si="10"/>
        <v>530001</v>
      </c>
      <c r="B84" t="s">
        <v>176</v>
      </c>
      <c r="C84" t="s">
        <v>177</v>
      </c>
      <c r="D84" t="s">
        <v>183</v>
      </c>
      <c r="E84" t="str">
        <f t="shared" si="11"/>
        <v>Hillsboro</v>
      </c>
      <c r="F84" t="str">
        <f t="shared" si="12"/>
        <v>Hillsboro</v>
      </c>
      <c r="G84" s="1">
        <v>53000</v>
      </c>
      <c r="H84" s="1">
        <v>1</v>
      </c>
      <c r="I84" s="1" t="s">
        <v>64</v>
      </c>
      <c r="J84" s="1" t="s">
        <v>56</v>
      </c>
      <c r="K84" s="1" t="s">
        <v>9</v>
      </c>
      <c r="L84" s="5">
        <v>0</v>
      </c>
      <c r="M84" s="5">
        <v>41215.53</v>
      </c>
      <c r="N84" s="5">
        <v>41215.53</v>
      </c>
    </row>
    <row r="85" spans="1:14" x14ac:dyDescent="0.25">
      <c r="A85" t="str">
        <f t="shared" si="10"/>
        <v>530002</v>
      </c>
      <c r="B85" t="s">
        <v>176</v>
      </c>
      <c r="C85" t="s">
        <v>177</v>
      </c>
      <c r="D85" t="s">
        <v>183</v>
      </c>
      <c r="E85" t="str">
        <f t="shared" si="11"/>
        <v>Angola</v>
      </c>
      <c r="F85" t="str">
        <f t="shared" si="12"/>
        <v>Angola</v>
      </c>
      <c r="G85" s="1">
        <v>53000</v>
      </c>
      <c r="H85" s="1">
        <v>2</v>
      </c>
      <c r="I85" s="1" t="s">
        <v>64</v>
      </c>
      <c r="J85" s="1" t="s">
        <v>56</v>
      </c>
      <c r="K85" s="1" t="s">
        <v>9</v>
      </c>
      <c r="L85" s="5">
        <v>0</v>
      </c>
      <c r="M85" s="5">
        <v>35491.57</v>
      </c>
      <c r="N85" s="5">
        <v>35491.57</v>
      </c>
    </row>
    <row r="86" spans="1:14" hidden="1" x14ac:dyDescent="0.25">
      <c r="A86" t="str">
        <f t="shared" si="10"/>
        <v>540001</v>
      </c>
      <c r="B86" t="s">
        <v>176</v>
      </c>
      <c r="C86" t="s">
        <v>177</v>
      </c>
      <c r="D86" t="s">
        <v>184</v>
      </c>
      <c r="E86" t="str">
        <f t="shared" si="11"/>
        <v>Hillsboro</v>
      </c>
      <c r="F86" t="str">
        <f t="shared" si="12"/>
        <v>Hillsboro</v>
      </c>
      <c r="G86" s="1">
        <v>54000</v>
      </c>
      <c r="H86" s="1">
        <v>1</v>
      </c>
      <c r="I86" s="1" t="s">
        <v>65</v>
      </c>
      <c r="J86" s="1" t="s">
        <v>56</v>
      </c>
      <c r="K86" s="1" t="s">
        <v>9</v>
      </c>
      <c r="L86" s="5">
        <v>0</v>
      </c>
      <c r="M86" s="5">
        <v>30890.26</v>
      </c>
      <c r="N86" s="5">
        <v>30890.26</v>
      </c>
    </row>
    <row r="87" spans="1:14" x14ac:dyDescent="0.25">
      <c r="A87" t="str">
        <f t="shared" si="10"/>
        <v>540002</v>
      </c>
      <c r="B87" t="s">
        <v>176</v>
      </c>
      <c r="C87" t="s">
        <v>177</v>
      </c>
      <c r="D87" t="s">
        <v>184</v>
      </c>
      <c r="E87" t="str">
        <f t="shared" si="11"/>
        <v>Angola</v>
      </c>
      <c r="F87" t="str">
        <f t="shared" si="12"/>
        <v>Angola</v>
      </c>
      <c r="G87" s="1">
        <v>54000</v>
      </c>
      <c r="H87" s="1">
        <v>2</v>
      </c>
      <c r="I87" s="1" t="s">
        <v>65</v>
      </c>
      <c r="J87" s="1" t="s">
        <v>56</v>
      </c>
      <c r="K87" s="1" t="s">
        <v>9</v>
      </c>
      <c r="L87" s="5">
        <v>0</v>
      </c>
      <c r="M87" s="5">
        <v>8441.74</v>
      </c>
      <c r="N87" s="5">
        <v>8441.74</v>
      </c>
    </row>
    <row r="88" spans="1:14" x14ac:dyDescent="0.25">
      <c r="A88" t="str">
        <f t="shared" si="10"/>
        <v>550001</v>
      </c>
      <c r="B88" t="s">
        <v>176</v>
      </c>
      <c r="C88" t="s">
        <v>177</v>
      </c>
      <c r="D88" t="s">
        <v>185</v>
      </c>
      <c r="E88" t="str">
        <f t="shared" ref="E88:E94" si="13">IF(H89=1,"Hillsboro",IF(H89=2,"Angola",IF(H89=9,"Hillsboro",IF(H89=99,"Hillsboro",IF(H89=50,"Pixelle","???")))))</f>
        <v>Angola</v>
      </c>
      <c r="F88" t="str">
        <f t="shared" ref="F88:F94" si="14">IF(H89=1,"Hillsboro",IF(H89=2,"Angola",IF(H89=9,"Corp",IF(H89=99,"Corp",IF(H89=50,"Pixelle","???")))))</f>
        <v>Angola</v>
      </c>
      <c r="G88" s="1">
        <v>55000</v>
      </c>
      <c r="H88" s="1">
        <v>1</v>
      </c>
      <c r="I88" s="1" t="s">
        <v>66</v>
      </c>
      <c r="J88" s="1" t="s">
        <v>56</v>
      </c>
      <c r="K88" s="1" t="s">
        <v>9</v>
      </c>
      <c r="L88" s="5">
        <v>0</v>
      </c>
      <c r="M88" s="5">
        <v>49422.12</v>
      </c>
      <c r="N88" s="5">
        <v>49422.12</v>
      </c>
    </row>
    <row r="89" spans="1:14" hidden="1" x14ac:dyDescent="0.25">
      <c r="A89" t="str">
        <f t="shared" si="10"/>
        <v>550002</v>
      </c>
      <c r="B89" t="s">
        <v>176</v>
      </c>
      <c r="C89" t="s">
        <v>177</v>
      </c>
      <c r="D89" t="s">
        <v>185</v>
      </c>
      <c r="E89" t="str">
        <f t="shared" si="13"/>
        <v>Hillsboro</v>
      </c>
      <c r="F89" t="str">
        <f t="shared" si="14"/>
        <v>Hillsboro</v>
      </c>
      <c r="G89" s="1">
        <v>55000</v>
      </c>
      <c r="H89" s="1">
        <v>2</v>
      </c>
      <c r="I89" s="1" t="s">
        <v>66</v>
      </c>
      <c r="J89" s="1" t="s">
        <v>56</v>
      </c>
      <c r="K89" s="1" t="s">
        <v>9</v>
      </c>
      <c r="L89" s="5">
        <v>0</v>
      </c>
      <c r="M89" s="5">
        <v>15851.79</v>
      </c>
      <c r="N89" s="5">
        <v>15851.79</v>
      </c>
    </row>
    <row r="90" spans="1:14" x14ac:dyDescent="0.25">
      <c r="A90" t="str">
        <f t="shared" si="10"/>
        <v>560001</v>
      </c>
      <c r="B90" t="s">
        <v>176</v>
      </c>
      <c r="C90" t="s">
        <v>177</v>
      </c>
      <c r="D90" t="s">
        <v>186</v>
      </c>
      <c r="E90" t="str">
        <f t="shared" si="13"/>
        <v>Angola</v>
      </c>
      <c r="F90" t="str">
        <f t="shared" si="14"/>
        <v>Angola</v>
      </c>
      <c r="G90" s="1">
        <v>56000</v>
      </c>
      <c r="H90" s="1">
        <v>1</v>
      </c>
      <c r="I90" s="1" t="s">
        <v>67</v>
      </c>
      <c r="J90" s="1" t="s">
        <v>56</v>
      </c>
      <c r="K90" s="1" t="s">
        <v>9</v>
      </c>
      <c r="L90" s="5">
        <v>0</v>
      </c>
      <c r="M90" s="5">
        <v>56554.28</v>
      </c>
      <c r="N90" s="5">
        <v>56554.28</v>
      </c>
    </row>
    <row r="91" spans="1:14" hidden="1" x14ac:dyDescent="0.25">
      <c r="A91" t="str">
        <f t="shared" si="10"/>
        <v>560002</v>
      </c>
      <c r="B91" t="s">
        <v>176</v>
      </c>
      <c r="C91" t="s">
        <v>177</v>
      </c>
      <c r="D91" t="s">
        <v>186</v>
      </c>
      <c r="E91" t="str">
        <f t="shared" si="13"/>
        <v>Pixelle</v>
      </c>
      <c r="F91" t="str">
        <f t="shared" si="14"/>
        <v>Pixelle</v>
      </c>
      <c r="G91" s="1">
        <v>56000</v>
      </c>
      <c r="H91" s="1">
        <v>2</v>
      </c>
      <c r="I91" s="1" t="s">
        <v>67</v>
      </c>
      <c r="J91" s="1" t="s">
        <v>56</v>
      </c>
      <c r="K91" s="1" t="s">
        <v>9</v>
      </c>
      <c r="L91" s="5">
        <v>0</v>
      </c>
      <c r="M91" s="5">
        <v>22188.07</v>
      </c>
      <c r="N91" s="5">
        <v>22188.07</v>
      </c>
    </row>
    <row r="92" spans="1:14" x14ac:dyDescent="0.25">
      <c r="A92" t="str">
        <f t="shared" si="10"/>
        <v>5600050</v>
      </c>
      <c r="B92" t="s">
        <v>176</v>
      </c>
      <c r="C92" t="s">
        <v>177</v>
      </c>
      <c r="D92" t="s">
        <v>186</v>
      </c>
      <c r="E92" t="str">
        <f t="shared" si="13"/>
        <v>Angola</v>
      </c>
      <c r="F92" t="str">
        <f t="shared" si="14"/>
        <v>Angola</v>
      </c>
      <c r="G92" s="1">
        <v>56000</v>
      </c>
      <c r="H92" s="1">
        <v>50</v>
      </c>
      <c r="I92" s="1" t="s">
        <v>67</v>
      </c>
      <c r="J92" s="1" t="s">
        <v>56</v>
      </c>
      <c r="K92" s="1" t="s">
        <v>9</v>
      </c>
      <c r="L92" s="5">
        <v>0</v>
      </c>
      <c r="M92" s="5">
        <v>21662.42</v>
      </c>
      <c r="N92" s="5">
        <v>21662.42</v>
      </c>
    </row>
    <row r="93" spans="1:14" hidden="1" x14ac:dyDescent="0.25">
      <c r="A93" t="str">
        <f t="shared" si="10"/>
        <v>562002</v>
      </c>
      <c r="B93" t="s">
        <v>176</v>
      </c>
      <c r="C93" t="s">
        <v>177</v>
      </c>
      <c r="D93" t="s">
        <v>186</v>
      </c>
      <c r="E93" t="str">
        <f t="shared" si="13"/>
        <v>Hillsboro</v>
      </c>
      <c r="F93" t="str">
        <f t="shared" si="14"/>
        <v>Hillsboro</v>
      </c>
      <c r="G93" s="1">
        <v>56200</v>
      </c>
      <c r="H93" s="1">
        <v>2</v>
      </c>
      <c r="I93" s="1" t="s">
        <v>68</v>
      </c>
      <c r="J93" s="1" t="s">
        <v>56</v>
      </c>
      <c r="K93" s="1" t="s">
        <v>67</v>
      </c>
      <c r="L93" s="5">
        <v>0</v>
      </c>
      <c r="M93" s="5">
        <v>66787.509999999995</v>
      </c>
      <c r="N93" s="5">
        <v>66787.509999999995</v>
      </c>
    </row>
    <row r="94" spans="1:14" hidden="1" x14ac:dyDescent="0.25">
      <c r="A94" t="str">
        <f t="shared" si="10"/>
        <v>565001</v>
      </c>
      <c r="B94" t="s">
        <v>176</v>
      </c>
      <c r="C94" t="s">
        <v>177</v>
      </c>
      <c r="D94" t="s">
        <v>187</v>
      </c>
      <c r="E94" t="str">
        <f t="shared" si="13"/>
        <v>Hillsboro</v>
      </c>
      <c r="F94" t="str">
        <f t="shared" si="14"/>
        <v>Hillsboro</v>
      </c>
      <c r="G94" s="1">
        <v>56500</v>
      </c>
      <c r="H94" s="1">
        <v>1</v>
      </c>
      <c r="I94" s="1" t="s">
        <v>69</v>
      </c>
      <c r="J94" s="1" t="s">
        <v>56</v>
      </c>
      <c r="K94" s="1" t="s">
        <v>70</v>
      </c>
      <c r="L94" s="5">
        <v>0</v>
      </c>
      <c r="M94" s="5">
        <v>37171.24</v>
      </c>
      <c r="N94" s="5">
        <v>37171.24</v>
      </c>
    </row>
    <row r="95" spans="1:14" hidden="1" x14ac:dyDescent="0.25">
      <c r="A95" t="str">
        <f t="shared" si="10"/>
        <v>595001</v>
      </c>
      <c r="B95" t="s">
        <v>176</v>
      </c>
      <c r="C95" t="s">
        <v>188</v>
      </c>
      <c r="D95" t="s">
        <v>189</v>
      </c>
      <c r="E95" t="str">
        <f t="shared" ref="E95:E158" si="15">IF(H95=1,"Hillsboro",IF(H95=2,"Angola",IF(H95=9,"Hillsboro",IF(H95=99,"Hillsboro",IF(H95=50,"Pixelle","???")))))</f>
        <v>Hillsboro</v>
      </c>
      <c r="F95" t="str">
        <f t="shared" ref="F95:F143" si="16">IF(H95=1,"Hillsboro",IF(H95=2,"Angola",IF(H95=9,"Corp",IF(H95=99,"Corp",IF(H95=50,"Pixelle","???")))))</f>
        <v>Hillsboro</v>
      </c>
      <c r="G95" s="1">
        <v>59500</v>
      </c>
      <c r="H95" s="1">
        <v>1</v>
      </c>
      <c r="I95" s="1" t="s">
        <v>71</v>
      </c>
      <c r="J95" s="1" t="s">
        <v>56</v>
      </c>
      <c r="K95" s="1" t="s">
        <v>9</v>
      </c>
      <c r="L95" s="5">
        <v>0</v>
      </c>
      <c r="M95" s="5">
        <v>9098.17</v>
      </c>
      <c r="N95" s="5">
        <v>9098.17</v>
      </c>
    </row>
    <row r="96" spans="1:14" hidden="1" x14ac:dyDescent="0.25">
      <c r="A96" t="str">
        <f t="shared" si="10"/>
        <v>595501</v>
      </c>
      <c r="B96" t="s">
        <v>176</v>
      </c>
      <c r="C96" t="s">
        <v>188</v>
      </c>
      <c r="D96" t="s">
        <v>189</v>
      </c>
      <c r="E96" t="str">
        <f t="shared" si="15"/>
        <v>Hillsboro</v>
      </c>
      <c r="F96" t="str">
        <f t="shared" si="16"/>
        <v>Hillsboro</v>
      </c>
      <c r="G96" s="1">
        <v>59550</v>
      </c>
      <c r="H96" s="1">
        <v>1</v>
      </c>
      <c r="I96" s="1" t="s">
        <v>72</v>
      </c>
      <c r="J96" s="1" t="s">
        <v>56</v>
      </c>
      <c r="K96" s="1" t="s">
        <v>9</v>
      </c>
      <c r="L96" s="5">
        <v>0</v>
      </c>
      <c r="M96" s="5">
        <v>2610</v>
      </c>
      <c r="N96" s="5">
        <v>2610</v>
      </c>
    </row>
    <row r="97" spans="1:18" hidden="1" x14ac:dyDescent="0.25">
      <c r="A97" t="str">
        <f t="shared" si="10"/>
        <v>601001</v>
      </c>
      <c r="B97" t="s">
        <v>176</v>
      </c>
      <c r="C97" t="s">
        <v>179</v>
      </c>
      <c r="D97" t="s">
        <v>190</v>
      </c>
      <c r="E97" t="str">
        <f t="shared" si="15"/>
        <v>Hillsboro</v>
      </c>
      <c r="F97" t="str">
        <f t="shared" si="16"/>
        <v>Hillsboro</v>
      </c>
      <c r="G97" s="1">
        <v>60100</v>
      </c>
      <c r="H97" s="1">
        <v>1</v>
      </c>
      <c r="I97" s="1" t="s">
        <v>73</v>
      </c>
      <c r="J97" s="1" t="s">
        <v>56</v>
      </c>
      <c r="K97" s="1" t="s">
        <v>9</v>
      </c>
      <c r="L97" s="5">
        <v>0</v>
      </c>
      <c r="M97" s="5">
        <v>26538.77</v>
      </c>
      <c r="N97" s="5">
        <v>26538.77</v>
      </c>
      <c r="P97">
        <f>VLOOKUP(A97,'[2]SORTED B VS P'!$A$82:$M$315,13,FALSE)</f>
        <v>32467.32</v>
      </c>
      <c r="Q97">
        <f t="shared" ref="Q97:Q98" si="17">P97/2</f>
        <v>16233.66</v>
      </c>
      <c r="R97" s="6">
        <f t="shared" ref="R97:R98" si="18">N97-Q97</f>
        <v>10305.11</v>
      </c>
    </row>
    <row r="98" spans="1:18" hidden="1" x14ac:dyDescent="0.25">
      <c r="A98" t="str">
        <f t="shared" si="10"/>
        <v>6010099</v>
      </c>
      <c r="B98" t="s">
        <v>176</v>
      </c>
      <c r="C98" t="s">
        <v>179</v>
      </c>
      <c r="D98" t="s">
        <v>190</v>
      </c>
      <c r="E98" t="str">
        <f t="shared" si="15"/>
        <v>Hillsboro</v>
      </c>
      <c r="F98" t="str">
        <f t="shared" si="16"/>
        <v>Corp</v>
      </c>
      <c r="G98" s="1">
        <v>60100</v>
      </c>
      <c r="H98" s="1">
        <v>99</v>
      </c>
      <c r="I98" s="1" t="s">
        <v>73</v>
      </c>
      <c r="J98" s="1" t="s">
        <v>56</v>
      </c>
      <c r="K98" s="1" t="s">
        <v>9</v>
      </c>
      <c r="L98" s="5">
        <v>0</v>
      </c>
      <c r="M98" s="5">
        <v>35341.54</v>
      </c>
      <c r="N98" s="5">
        <v>35341.54</v>
      </c>
      <c r="P98">
        <f>VLOOKUP(A98,'[2]SORTED B VS P'!$A$82:$M$315,13,FALSE)</f>
        <v>57038.44</v>
      </c>
      <c r="Q98">
        <f t="shared" si="17"/>
        <v>28519.22</v>
      </c>
      <c r="R98" s="6">
        <f t="shared" si="18"/>
        <v>6822.32</v>
      </c>
    </row>
    <row r="99" spans="1:18" hidden="1" x14ac:dyDescent="0.25">
      <c r="A99" t="str">
        <f t="shared" si="10"/>
        <v>604001</v>
      </c>
      <c r="B99" t="s">
        <v>176</v>
      </c>
      <c r="C99" s="8" t="s">
        <v>191</v>
      </c>
      <c r="D99" s="8"/>
      <c r="E99" s="8" t="str">
        <f t="shared" si="15"/>
        <v>Hillsboro</v>
      </c>
      <c r="F99" s="8" t="str">
        <f t="shared" si="16"/>
        <v>Hillsboro</v>
      </c>
      <c r="G99" s="1">
        <v>60400</v>
      </c>
      <c r="H99" s="1">
        <v>1</v>
      </c>
      <c r="I99" s="1" t="s">
        <v>74</v>
      </c>
      <c r="J99" s="1" t="s">
        <v>56</v>
      </c>
      <c r="K99" s="1" t="s">
        <v>74</v>
      </c>
      <c r="L99" s="5">
        <v>0</v>
      </c>
      <c r="M99" s="5">
        <v>3063.96</v>
      </c>
      <c r="N99" s="5">
        <v>3063.96</v>
      </c>
    </row>
    <row r="100" spans="1:18" x14ac:dyDescent="0.25">
      <c r="A100" t="str">
        <f t="shared" si="10"/>
        <v>604002</v>
      </c>
      <c r="B100" t="s">
        <v>176</v>
      </c>
      <c r="C100" s="47" t="s">
        <v>191</v>
      </c>
      <c r="D100" s="47"/>
      <c r="E100" s="47" t="str">
        <f t="shared" si="15"/>
        <v>Angola</v>
      </c>
      <c r="F100" s="47" t="str">
        <f t="shared" si="16"/>
        <v>Angola</v>
      </c>
      <c r="G100" s="13">
        <v>60400</v>
      </c>
      <c r="H100" s="13">
        <v>2</v>
      </c>
      <c r="I100" s="13" t="s">
        <v>74</v>
      </c>
      <c r="J100" s="13" t="s">
        <v>56</v>
      </c>
      <c r="K100" s="13" t="s">
        <v>74</v>
      </c>
      <c r="L100" s="163">
        <v>0</v>
      </c>
      <c r="M100" s="163">
        <v>4113.3100000000004</v>
      </c>
      <c r="N100" s="163">
        <v>4113.3100000000004</v>
      </c>
    </row>
    <row r="101" spans="1:18" hidden="1" x14ac:dyDescent="0.25">
      <c r="A101" t="str">
        <f t="shared" si="10"/>
        <v>6040050</v>
      </c>
      <c r="B101" t="s">
        <v>176</v>
      </c>
      <c r="C101" s="8" t="s">
        <v>191</v>
      </c>
      <c r="D101" s="8"/>
      <c r="E101" s="8" t="str">
        <f t="shared" si="15"/>
        <v>Pixelle</v>
      </c>
      <c r="F101" s="8" t="str">
        <f t="shared" si="16"/>
        <v>Pixelle</v>
      </c>
      <c r="G101" s="1">
        <v>60400</v>
      </c>
      <c r="H101" s="1">
        <v>50</v>
      </c>
      <c r="I101" s="1" t="s">
        <v>74</v>
      </c>
      <c r="J101" s="1" t="s">
        <v>56</v>
      </c>
      <c r="K101" s="1" t="s">
        <v>74</v>
      </c>
      <c r="L101" s="5">
        <v>0</v>
      </c>
      <c r="M101" s="5">
        <v>1569.48</v>
      </c>
      <c r="N101" s="5">
        <v>1569.48</v>
      </c>
    </row>
    <row r="102" spans="1:18" x14ac:dyDescent="0.25">
      <c r="A102" t="str">
        <f t="shared" si="10"/>
        <v>605002</v>
      </c>
      <c r="B102" t="s">
        <v>176</v>
      </c>
      <c r="C102" s="47" t="s">
        <v>191</v>
      </c>
      <c r="D102" s="47"/>
      <c r="E102" s="47" t="str">
        <f t="shared" si="15"/>
        <v>Angola</v>
      </c>
      <c r="F102" s="47" t="str">
        <f t="shared" si="16"/>
        <v>Angola</v>
      </c>
      <c r="G102" s="13">
        <v>60500</v>
      </c>
      <c r="H102" s="13">
        <v>2</v>
      </c>
      <c r="I102" s="13" t="s">
        <v>75</v>
      </c>
      <c r="J102" s="13" t="s">
        <v>56</v>
      </c>
      <c r="K102" s="13" t="s">
        <v>9</v>
      </c>
      <c r="L102" s="163">
        <v>0</v>
      </c>
      <c r="M102" s="163">
        <v>48000</v>
      </c>
      <c r="N102" s="163">
        <v>48000</v>
      </c>
    </row>
    <row r="103" spans="1:18" hidden="1" x14ac:dyDescent="0.25">
      <c r="A103" t="str">
        <f t="shared" si="10"/>
        <v>6050050</v>
      </c>
      <c r="B103" t="s">
        <v>176</v>
      </c>
      <c r="C103" t="s">
        <v>191</v>
      </c>
      <c r="E103" t="str">
        <f t="shared" si="15"/>
        <v>Pixelle</v>
      </c>
      <c r="F103" t="str">
        <f t="shared" si="16"/>
        <v>Pixelle</v>
      </c>
      <c r="G103" s="1">
        <v>60500</v>
      </c>
      <c r="H103" s="1">
        <v>50</v>
      </c>
      <c r="I103" s="1" t="s">
        <v>75</v>
      </c>
      <c r="J103" s="1" t="s">
        <v>56</v>
      </c>
      <c r="K103" s="1" t="s">
        <v>9</v>
      </c>
      <c r="L103" s="5">
        <v>0</v>
      </c>
      <c r="M103" s="5">
        <v>15000</v>
      </c>
      <c r="N103" s="5">
        <v>15000</v>
      </c>
    </row>
    <row r="104" spans="1:18" hidden="1" x14ac:dyDescent="0.25">
      <c r="A104" t="str">
        <f t="shared" si="10"/>
        <v>606001</v>
      </c>
      <c r="B104" t="s">
        <v>176</v>
      </c>
      <c r="C104" t="s">
        <v>191</v>
      </c>
      <c r="E104" t="str">
        <f t="shared" si="15"/>
        <v>Hillsboro</v>
      </c>
      <c r="F104" t="str">
        <f t="shared" si="16"/>
        <v>Hillsboro</v>
      </c>
      <c r="G104" s="1">
        <v>60600</v>
      </c>
      <c r="H104" s="1">
        <v>1</v>
      </c>
      <c r="I104" s="1" t="s">
        <v>76</v>
      </c>
      <c r="J104" s="1" t="s">
        <v>56</v>
      </c>
      <c r="K104" s="1" t="s">
        <v>9</v>
      </c>
      <c r="L104" s="5">
        <v>0</v>
      </c>
      <c r="M104" s="5">
        <v>48867.5</v>
      </c>
      <c r="N104" s="5">
        <v>48867.5</v>
      </c>
    </row>
    <row r="105" spans="1:18" x14ac:dyDescent="0.25">
      <c r="A105" t="str">
        <f t="shared" si="10"/>
        <v>606002</v>
      </c>
      <c r="B105" t="s">
        <v>176</v>
      </c>
      <c r="C105" t="s">
        <v>191</v>
      </c>
      <c r="E105" t="str">
        <f t="shared" si="15"/>
        <v>Angola</v>
      </c>
      <c r="F105" t="str">
        <f t="shared" si="16"/>
        <v>Angola</v>
      </c>
      <c r="G105" s="1">
        <v>60600</v>
      </c>
      <c r="H105" s="1">
        <v>2</v>
      </c>
      <c r="I105" s="1" t="s">
        <v>76</v>
      </c>
      <c r="J105" s="1" t="s">
        <v>56</v>
      </c>
      <c r="K105" s="1" t="s">
        <v>9</v>
      </c>
      <c r="L105" s="5">
        <v>0</v>
      </c>
      <c r="M105" s="5">
        <v>17564.43</v>
      </c>
      <c r="N105" s="5">
        <v>17564.43</v>
      </c>
    </row>
    <row r="106" spans="1:18" hidden="1" x14ac:dyDescent="0.25">
      <c r="A106" t="str">
        <f t="shared" si="10"/>
        <v>6060050</v>
      </c>
      <c r="B106" t="s">
        <v>176</v>
      </c>
      <c r="C106" t="s">
        <v>191</v>
      </c>
      <c r="E106" t="str">
        <f t="shared" si="15"/>
        <v>Pixelle</v>
      </c>
      <c r="F106" t="str">
        <f t="shared" si="16"/>
        <v>Pixelle</v>
      </c>
      <c r="G106" s="1">
        <v>60600</v>
      </c>
      <c r="H106" s="1">
        <v>50</v>
      </c>
      <c r="I106" s="1" t="s">
        <v>76</v>
      </c>
      <c r="J106" s="1" t="s">
        <v>56</v>
      </c>
      <c r="K106" s="1" t="s">
        <v>9</v>
      </c>
      <c r="L106" s="5">
        <v>0</v>
      </c>
      <c r="M106" s="5">
        <v>35479.599999999999</v>
      </c>
      <c r="N106" s="5">
        <v>35479.599999999999</v>
      </c>
    </row>
    <row r="107" spans="1:18" hidden="1" x14ac:dyDescent="0.25">
      <c r="A107" t="str">
        <f t="shared" si="10"/>
        <v>6060099</v>
      </c>
      <c r="B107" t="s">
        <v>176</v>
      </c>
      <c r="C107" s="10" t="s">
        <v>191</v>
      </c>
      <c r="D107" s="10"/>
      <c r="E107" s="10" t="str">
        <f t="shared" si="15"/>
        <v>Hillsboro</v>
      </c>
      <c r="F107" s="10" t="str">
        <f t="shared" si="16"/>
        <v>Corp</v>
      </c>
      <c r="G107" s="1">
        <v>60600</v>
      </c>
      <c r="H107" s="1">
        <v>99</v>
      </c>
      <c r="I107" s="1" t="s">
        <v>76</v>
      </c>
      <c r="J107" s="1" t="s">
        <v>56</v>
      </c>
      <c r="K107" s="1" t="s">
        <v>9</v>
      </c>
      <c r="L107" s="5">
        <v>0</v>
      </c>
      <c r="M107" s="5">
        <v>6711.18</v>
      </c>
      <c r="N107" s="5">
        <v>6711.18</v>
      </c>
    </row>
    <row r="108" spans="1:18" hidden="1" x14ac:dyDescent="0.25">
      <c r="A108" t="str">
        <f t="shared" si="10"/>
        <v>607001</v>
      </c>
      <c r="B108" t="s">
        <v>176</v>
      </c>
      <c r="C108" t="s">
        <v>192</v>
      </c>
      <c r="E108" t="str">
        <f t="shared" si="15"/>
        <v>Hillsboro</v>
      </c>
      <c r="F108" t="str">
        <f t="shared" si="16"/>
        <v>Hillsboro</v>
      </c>
      <c r="G108" s="1">
        <v>60700</v>
      </c>
      <c r="H108" s="1">
        <v>1</v>
      </c>
      <c r="I108" s="1" t="s">
        <v>77</v>
      </c>
      <c r="J108" s="1" t="s">
        <v>56</v>
      </c>
      <c r="K108" s="1" t="s">
        <v>9</v>
      </c>
      <c r="L108" s="5">
        <v>0</v>
      </c>
      <c r="M108" s="5">
        <v>195400.87</v>
      </c>
      <c r="N108" s="5">
        <v>195400.87</v>
      </c>
    </row>
    <row r="109" spans="1:18" x14ac:dyDescent="0.25">
      <c r="A109" t="str">
        <f t="shared" si="10"/>
        <v>607002</v>
      </c>
      <c r="B109" t="s">
        <v>176</v>
      </c>
      <c r="C109" t="s">
        <v>192</v>
      </c>
      <c r="E109" t="str">
        <f t="shared" si="15"/>
        <v>Angola</v>
      </c>
      <c r="F109" t="str">
        <f t="shared" si="16"/>
        <v>Angola</v>
      </c>
      <c r="G109" s="1">
        <v>60700</v>
      </c>
      <c r="H109" s="1">
        <v>2</v>
      </c>
      <c r="I109" s="1" t="s">
        <v>77</v>
      </c>
      <c r="J109" s="1" t="s">
        <v>56</v>
      </c>
      <c r="K109" s="1" t="s">
        <v>9</v>
      </c>
      <c r="L109" s="5">
        <v>0</v>
      </c>
      <c r="M109" s="5">
        <v>132082.51999999999</v>
      </c>
      <c r="N109" s="5">
        <v>132082.51999999999</v>
      </c>
    </row>
    <row r="110" spans="1:18" hidden="1" x14ac:dyDescent="0.25">
      <c r="A110" t="str">
        <f t="shared" si="10"/>
        <v>6070050</v>
      </c>
      <c r="B110" t="s">
        <v>176</v>
      </c>
      <c r="C110" t="s">
        <v>192</v>
      </c>
      <c r="E110" t="str">
        <f t="shared" si="15"/>
        <v>Pixelle</v>
      </c>
      <c r="F110" t="str">
        <f t="shared" si="16"/>
        <v>Pixelle</v>
      </c>
      <c r="G110" s="1">
        <v>60700</v>
      </c>
      <c r="H110" s="1">
        <v>50</v>
      </c>
      <c r="I110" s="1" t="s">
        <v>77</v>
      </c>
      <c r="J110" s="1" t="s">
        <v>56</v>
      </c>
      <c r="K110" s="1" t="s">
        <v>9</v>
      </c>
      <c r="L110" s="5">
        <v>0</v>
      </c>
      <c r="M110" s="216">
        <v>192924.91</v>
      </c>
      <c r="N110" s="5">
        <v>192924.91</v>
      </c>
    </row>
    <row r="111" spans="1:18" hidden="1" x14ac:dyDescent="0.25">
      <c r="A111" t="str">
        <f t="shared" si="10"/>
        <v>607101</v>
      </c>
      <c r="B111" t="s">
        <v>176</v>
      </c>
      <c r="C111" t="s">
        <v>192</v>
      </c>
      <c r="E111" t="str">
        <f t="shared" si="15"/>
        <v>Hillsboro</v>
      </c>
      <c r="F111" t="str">
        <f t="shared" si="16"/>
        <v>Hillsboro</v>
      </c>
      <c r="G111" s="1">
        <v>60710</v>
      </c>
      <c r="H111" s="1">
        <v>1</v>
      </c>
      <c r="I111" s="1" t="s">
        <v>78</v>
      </c>
      <c r="J111" s="1" t="s">
        <v>56</v>
      </c>
      <c r="K111" s="1" t="s">
        <v>9</v>
      </c>
      <c r="L111" s="5">
        <v>0</v>
      </c>
      <c r="M111" s="5">
        <v>11856.83</v>
      </c>
      <c r="N111" s="5">
        <v>11856.83</v>
      </c>
    </row>
    <row r="112" spans="1:18" x14ac:dyDescent="0.25">
      <c r="A112" t="str">
        <f t="shared" si="10"/>
        <v>607102</v>
      </c>
      <c r="B112" t="s">
        <v>176</v>
      </c>
      <c r="C112" t="s">
        <v>192</v>
      </c>
      <c r="E112" t="str">
        <f t="shared" si="15"/>
        <v>Angola</v>
      </c>
      <c r="F112" t="str">
        <f t="shared" si="16"/>
        <v>Angola</v>
      </c>
      <c r="G112" s="1">
        <v>60710</v>
      </c>
      <c r="H112" s="1">
        <v>2</v>
      </c>
      <c r="I112" s="1" t="s">
        <v>78</v>
      </c>
      <c r="J112" s="1" t="s">
        <v>56</v>
      </c>
      <c r="K112" s="1" t="s">
        <v>9</v>
      </c>
      <c r="L112" s="5">
        <v>0</v>
      </c>
      <c r="M112" s="5">
        <v>1885.59</v>
      </c>
      <c r="N112" s="5">
        <v>1885.59</v>
      </c>
    </row>
    <row r="113" spans="1:14" hidden="1" x14ac:dyDescent="0.25">
      <c r="A113" t="str">
        <f t="shared" si="10"/>
        <v>6071050</v>
      </c>
      <c r="B113" t="s">
        <v>176</v>
      </c>
      <c r="C113" t="s">
        <v>192</v>
      </c>
      <c r="E113" t="str">
        <f t="shared" si="15"/>
        <v>Pixelle</v>
      </c>
      <c r="F113" t="str">
        <f t="shared" si="16"/>
        <v>Pixelle</v>
      </c>
      <c r="G113" s="1">
        <v>60710</v>
      </c>
      <c r="H113" s="1">
        <v>50</v>
      </c>
      <c r="I113" s="1" t="s">
        <v>78</v>
      </c>
      <c r="J113" s="1" t="s">
        <v>56</v>
      </c>
      <c r="K113" s="1" t="s">
        <v>9</v>
      </c>
      <c r="L113" s="5">
        <v>0</v>
      </c>
      <c r="M113" s="216">
        <v>16086.61</v>
      </c>
      <c r="N113" s="5">
        <v>16086.61</v>
      </c>
    </row>
    <row r="114" spans="1:14" hidden="1" x14ac:dyDescent="0.25">
      <c r="A114" t="str">
        <f t="shared" si="10"/>
        <v>607201</v>
      </c>
      <c r="B114" t="s">
        <v>176</v>
      </c>
      <c r="C114" t="s">
        <v>192</v>
      </c>
      <c r="E114" t="str">
        <f t="shared" si="15"/>
        <v>Hillsboro</v>
      </c>
      <c r="F114" t="str">
        <f t="shared" si="16"/>
        <v>Hillsboro</v>
      </c>
      <c r="G114" s="1">
        <v>60720</v>
      </c>
      <c r="H114" s="1">
        <v>1</v>
      </c>
      <c r="I114" s="1" t="s">
        <v>79</v>
      </c>
      <c r="J114" s="1" t="s">
        <v>56</v>
      </c>
      <c r="K114" s="1" t="s">
        <v>9</v>
      </c>
      <c r="L114" s="5">
        <v>0</v>
      </c>
      <c r="M114" s="5">
        <v>13301.93</v>
      </c>
      <c r="N114" s="5">
        <v>13301.93</v>
      </c>
    </row>
    <row r="115" spans="1:14" x14ac:dyDescent="0.25">
      <c r="A115" t="str">
        <f t="shared" si="10"/>
        <v>607202</v>
      </c>
      <c r="B115" t="s">
        <v>176</v>
      </c>
      <c r="C115" t="s">
        <v>192</v>
      </c>
      <c r="E115" t="str">
        <f t="shared" si="15"/>
        <v>Angola</v>
      </c>
      <c r="F115" t="str">
        <f t="shared" si="16"/>
        <v>Angola</v>
      </c>
      <c r="G115" s="1">
        <v>60720</v>
      </c>
      <c r="H115" s="1">
        <v>2</v>
      </c>
      <c r="I115" s="1" t="s">
        <v>79</v>
      </c>
      <c r="J115" s="1" t="s">
        <v>56</v>
      </c>
      <c r="K115" s="1" t="s">
        <v>9</v>
      </c>
      <c r="L115" s="5">
        <v>0</v>
      </c>
      <c r="M115" s="5">
        <v>9474.5</v>
      </c>
      <c r="N115" s="5">
        <v>9474.5</v>
      </c>
    </row>
    <row r="116" spans="1:14" hidden="1" x14ac:dyDescent="0.25">
      <c r="A116" t="str">
        <f t="shared" si="10"/>
        <v>6072050</v>
      </c>
      <c r="B116" t="s">
        <v>176</v>
      </c>
      <c r="C116" t="s">
        <v>192</v>
      </c>
      <c r="E116" t="str">
        <f t="shared" si="15"/>
        <v>Pixelle</v>
      </c>
      <c r="F116" t="str">
        <f t="shared" si="16"/>
        <v>Pixelle</v>
      </c>
      <c r="G116" s="1">
        <v>60720</v>
      </c>
      <c r="H116" s="1">
        <v>50</v>
      </c>
      <c r="I116" s="1" t="s">
        <v>79</v>
      </c>
      <c r="J116" s="1" t="s">
        <v>56</v>
      </c>
      <c r="K116" s="1" t="s">
        <v>9</v>
      </c>
      <c r="L116" s="5">
        <v>0</v>
      </c>
      <c r="M116" s="216">
        <v>3777.6</v>
      </c>
      <c r="N116" s="5">
        <v>3777.6</v>
      </c>
    </row>
    <row r="117" spans="1:14" hidden="1" x14ac:dyDescent="0.25">
      <c r="A117" t="str">
        <f t="shared" si="10"/>
        <v>607301</v>
      </c>
      <c r="B117" t="s">
        <v>176</v>
      </c>
      <c r="C117" t="s">
        <v>192</v>
      </c>
      <c r="E117" t="str">
        <f t="shared" si="15"/>
        <v>Hillsboro</v>
      </c>
      <c r="F117" t="str">
        <f t="shared" si="16"/>
        <v>Hillsboro</v>
      </c>
      <c r="G117" s="1">
        <v>60730</v>
      </c>
      <c r="H117" s="1">
        <v>1</v>
      </c>
      <c r="I117" s="1" t="s">
        <v>80</v>
      </c>
      <c r="J117" s="1" t="s">
        <v>56</v>
      </c>
      <c r="K117" s="1" t="s">
        <v>9</v>
      </c>
      <c r="L117" s="5">
        <v>0</v>
      </c>
      <c r="M117" s="5">
        <v>4738.3999999999996</v>
      </c>
      <c r="N117" s="5">
        <v>4738.3999999999996</v>
      </c>
    </row>
    <row r="118" spans="1:14" x14ac:dyDescent="0.25">
      <c r="A118" t="str">
        <f t="shared" si="10"/>
        <v>607302</v>
      </c>
      <c r="B118" t="s">
        <v>176</v>
      </c>
      <c r="C118" t="s">
        <v>192</v>
      </c>
      <c r="E118" t="str">
        <f t="shared" si="15"/>
        <v>Angola</v>
      </c>
      <c r="F118" t="str">
        <f t="shared" si="16"/>
        <v>Angola</v>
      </c>
      <c r="G118" s="1">
        <v>60730</v>
      </c>
      <c r="H118" s="1">
        <v>2</v>
      </c>
      <c r="I118" s="1" t="s">
        <v>80</v>
      </c>
      <c r="J118" s="1" t="s">
        <v>56</v>
      </c>
      <c r="K118" s="1" t="s">
        <v>9</v>
      </c>
      <c r="L118" s="5">
        <v>0</v>
      </c>
      <c r="M118" s="5">
        <v>3327.68</v>
      </c>
      <c r="N118" s="5">
        <v>3327.68</v>
      </c>
    </row>
    <row r="119" spans="1:14" hidden="1" x14ac:dyDescent="0.25">
      <c r="A119" t="str">
        <f t="shared" si="10"/>
        <v>6073050</v>
      </c>
      <c r="B119" t="s">
        <v>176</v>
      </c>
      <c r="C119" t="s">
        <v>192</v>
      </c>
      <c r="E119" t="str">
        <f t="shared" si="15"/>
        <v>Pixelle</v>
      </c>
      <c r="F119" t="str">
        <f t="shared" si="16"/>
        <v>Pixelle</v>
      </c>
      <c r="G119" s="1">
        <v>60730</v>
      </c>
      <c r="H119" s="1">
        <v>50</v>
      </c>
      <c r="I119" s="1" t="s">
        <v>80</v>
      </c>
      <c r="J119" s="1" t="s">
        <v>56</v>
      </c>
      <c r="K119" s="1" t="s">
        <v>9</v>
      </c>
      <c r="L119" s="5">
        <v>0</v>
      </c>
      <c r="M119" s="216">
        <v>3916.4</v>
      </c>
      <c r="N119" s="5">
        <v>3916.4</v>
      </c>
    </row>
    <row r="120" spans="1:14" hidden="1" x14ac:dyDescent="0.25">
      <c r="A120" t="str">
        <f t="shared" si="10"/>
        <v>607501</v>
      </c>
      <c r="B120" t="s">
        <v>176</v>
      </c>
      <c r="C120" t="s">
        <v>192</v>
      </c>
      <c r="E120" t="str">
        <f t="shared" si="15"/>
        <v>Hillsboro</v>
      </c>
      <c r="F120" t="str">
        <f t="shared" si="16"/>
        <v>Hillsboro</v>
      </c>
      <c r="G120" s="1">
        <v>60750</v>
      </c>
      <c r="H120" s="1">
        <v>1</v>
      </c>
      <c r="I120" s="1" t="s">
        <v>81</v>
      </c>
      <c r="J120" s="1" t="s">
        <v>56</v>
      </c>
      <c r="K120" s="1" t="s">
        <v>9</v>
      </c>
      <c r="L120" s="5">
        <v>0</v>
      </c>
      <c r="M120" s="5">
        <v>18093.38</v>
      </c>
      <c r="N120" s="5">
        <v>18093.38</v>
      </c>
    </row>
    <row r="121" spans="1:14" x14ac:dyDescent="0.25">
      <c r="A121" t="str">
        <f t="shared" si="10"/>
        <v>607502</v>
      </c>
      <c r="B121" t="s">
        <v>176</v>
      </c>
      <c r="C121" t="s">
        <v>192</v>
      </c>
      <c r="E121" t="str">
        <f t="shared" si="15"/>
        <v>Angola</v>
      </c>
      <c r="F121" t="str">
        <f t="shared" si="16"/>
        <v>Angola</v>
      </c>
      <c r="G121" s="1">
        <v>60750</v>
      </c>
      <c r="H121" s="1">
        <v>2</v>
      </c>
      <c r="I121" s="1" t="s">
        <v>81</v>
      </c>
      <c r="J121" s="1" t="s">
        <v>56</v>
      </c>
      <c r="K121" s="1" t="s">
        <v>9</v>
      </c>
      <c r="L121" s="5">
        <v>0</v>
      </c>
      <c r="M121" s="5">
        <v>26890.05</v>
      </c>
      <c r="N121" s="5">
        <v>26890.05</v>
      </c>
    </row>
    <row r="122" spans="1:14" hidden="1" x14ac:dyDescent="0.25">
      <c r="A122" t="str">
        <f t="shared" si="10"/>
        <v>6075050</v>
      </c>
      <c r="B122" t="s">
        <v>176</v>
      </c>
      <c r="C122" t="s">
        <v>192</v>
      </c>
      <c r="E122" t="str">
        <f t="shared" si="15"/>
        <v>Pixelle</v>
      </c>
      <c r="F122" t="str">
        <f t="shared" si="16"/>
        <v>Pixelle</v>
      </c>
      <c r="G122" s="1">
        <v>60750</v>
      </c>
      <c r="H122" s="1">
        <v>50</v>
      </c>
      <c r="I122" s="1" t="s">
        <v>81</v>
      </c>
      <c r="J122" s="1" t="s">
        <v>56</v>
      </c>
      <c r="K122" s="1" t="s">
        <v>9</v>
      </c>
      <c r="L122" s="5">
        <v>0</v>
      </c>
      <c r="M122" s="216">
        <v>-8500.32</v>
      </c>
      <c r="N122" s="5">
        <v>-8500.32</v>
      </c>
    </row>
    <row r="123" spans="1:14" hidden="1" x14ac:dyDescent="0.25">
      <c r="A123" t="str">
        <f t="shared" si="10"/>
        <v>607511</v>
      </c>
      <c r="B123" t="s">
        <v>176</v>
      </c>
      <c r="C123" t="s">
        <v>192</v>
      </c>
      <c r="E123" t="str">
        <f t="shared" si="15"/>
        <v>Hillsboro</v>
      </c>
      <c r="F123" t="str">
        <f t="shared" si="16"/>
        <v>Hillsboro</v>
      </c>
      <c r="G123" s="1">
        <v>60751</v>
      </c>
      <c r="H123" s="1">
        <v>1</v>
      </c>
      <c r="I123" s="1" t="s">
        <v>82</v>
      </c>
      <c r="J123" s="1" t="s">
        <v>56</v>
      </c>
      <c r="K123" s="1" t="s">
        <v>9</v>
      </c>
      <c r="L123" s="5">
        <v>0</v>
      </c>
      <c r="M123" s="5">
        <v>1118.25</v>
      </c>
      <c r="N123" s="5">
        <v>1118.25</v>
      </c>
    </row>
    <row r="124" spans="1:14" x14ac:dyDescent="0.25">
      <c r="A124" t="str">
        <f t="shared" si="10"/>
        <v>607512</v>
      </c>
      <c r="B124" t="s">
        <v>176</v>
      </c>
      <c r="C124" t="s">
        <v>192</v>
      </c>
      <c r="E124" t="str">
        <f t="shared" si="15"/>
        <v>Angola</v>
      </c>
      <c r="F124" t="str">
        <f t="shared" si="16"/>
        <v>Angola</v>
      </c>
      <c r="G124" s="1">
        <v>60751</v>
      </c>
      <c r="H124" s="1">
        <v>2</v>
      </c>
      <c r="I124" s="1" t="s">
        <v>82</v>
      </c>
      <c r="J124" s="1" t="s">
        <v>56</v>
      </c>
      <c r="K124" s="1" t="s">
        <v>9</v>
      </c>
      <c r="L124" s="5">
        <v>0</v>
      </c>
      <c r="M124" s="5">
        <v>210.75</v>
      </c>
      <c r="N124" s="5">
        <v>210.75</v>
      </c>
    </row>
    <row r="125" spans="1:14" hidden="1" x14ac:dyDescent="0.25">
      <c r="A125" t="str">
        <f t="shared" si="10"/>
        <v>6075150</v>
      </c>
      <c r="B125" t="s">
        <v>176</v>
      </c>
      <c r="C125" t="s">
        <v>192</v>
      </c>
      <c r="E125" t="str">
        <f t="shared" si="15"/>
        <v>Pixelle</v>
      </c>
      <c r="F125" t="str">
        <f t="shared" si="16"/>
        <v>Pixelle</v>
      </c>
      <c r="G125" s="1">
        <v>60751</v>
      </c>
      <c r="H125" s="1">
        <v>50</v>
      </c>
      <c r="I125" s="1" t="s">
        <v>82</v>
      </c>
      <c r="J125" s="1" t="s">
        <v>56</v>
      </c>
      <c r="K125" s="1" t="s">
        <v>9</v>
      </c>
      <c r="L125" s="5">
        <v>0</v>
      </c>
      <c r="M125" s="216">
        <v>30</v>
      </c>
      <c r="N125" s="5">
        <v>30</v>
      </c>
    </row>
    <row r="126" spans="1:14" hidden="1" x14ac:dyDescent="0.25">
      <c r="A126" t="str">
        <f t="shared" si="10"/>
        <v>607521</v>
      </c>
      <c r="B126" t="s">
        <v>176</v>
      </c>
      <c r="C126" t="s">
        <v>192</v>
      </c>
      <c r="E126" t="str">
        <f t="shared" si="15"/>
        <v>Hillsboro</v>
      </c>
      <c r="F126" t="str">
        <f t="shared" si="16"/>
        <v>Hillsboro</v>
      </c>
      <c r="G126" s="1">
        <v>60752</v>
      </c>
      <c r="H126" s="1">
        <v>1</v>
      </c>
      <c r="I126" s="1" t="s">
        <v>83</v>
      </c>
      <c r="J126" s="1" t="s">
        <v>56</v>
      </c>
      <c r="K126" s="1" t="s">
        <v>9</v>
      </c>
      <c r="L126" s="5">
        <v>0</v>
      </c>
      <c r="M126" s="5">
        <v>1260</v>
      </c>
      <c r="N126" s="5">
        <v>1260</v>
      </c>
    </row>
    <row r="127" spans="1:14" x14ac:dyDescent="0.25">
      <c r="A127" t="str">
        <f t="shared" si="10"/>
        <v>607522</v>
      </c>
      <c r="B127" t="s">
        <v>176</v>
      </c>
      <c r="C127" t="s">
        <v>192</v>
      </c>
      <c r="E127" t="str">
        <f t="shared" si="15"/>
        <v>Angola</v>
      </c>
      <c r="F127" t="str">
        <f t="shared" si="16"/>
        <v>Angola</v>
      </c>
      <c r="G127" s="1">
        <v>60752</v>
      </c>
      <c r="H127" s="1">
        <v>2</v>
      </c>
      <c r="I127" s="1" t="s">
        <v>83</v>
      </c>
      <c r="J127" s="1" t="s">
        <v>56</v>
      </c>
      <c r="K127" s="1" t="s">
        <v>9</v>
      </c>
      <c r="L127" s="5">
        <v>0</v>
      </c>
      <c r="M127" s="5">
        <v>448</v>
      </c>
      <c r="N127" s="5">
        <v>448</v>
      </c>
    </row>
    <row r="128" spans="1:14" hidden="1" x14ac:dyDescent="0.25">
      <c r="A128" t="str">
        <f t="shared" si="10"/>
        <v>6075250</v>
      </c>
      <c r="B128" t="s">
        <v>176</v>
      </c>
      <c r="C128" t="s">
        <v>192</v>
      </c>
      <c r="E128" t="str">
        <f t="shared" si="15"/>
        <v>Pixelle</v>
      </c>
      <c r="F128" t="str">
        <f t="shared" si="16"/>
        <v>Pixelle</v>
      </c>
      <c r="G128" s="1">
        <v>60752</v>
      </c>
      <c r="H128" s="1">
        <v>50</v>
      </c>
      <c r="I128" s="1" t="s">
        <v>83</v>
      </c>
      <c r="J128" s="1" t="s">
        <v>56</v>
      </c>
      <c r="K128" s="1" t="s">
        <v>9</v>
      </c>
      <c r="L128" s="5">
        <v>0</v>
      </c>
      <c r="M128" s="216">
        <v>800</v>
      </c>
      <c r="N128" s="5">
        <v>800</v>
      </c>
    </row>
    <row r="129" spans="1:14" hidden="1" x14ac:dyDescent="0.25">
      <c r="A129" t="str">
        <f t="shared" si="10"/>
        <v>607531</v>
      </c>
      <c r="B129" t="s">
        <v>176</v>
      </c>
      <c r="C129" t="s">
        <v>192</v>
      </c>
      <c r="E129" t="str">
        <f t="shared" si="15"/>
        <v>Hillsboro</v>
      </c>
      <c r="F129" t="str">
        <f t="shared" si="16"/>
        <v>Hillsboro</v>
      </c>
      <c r="G129" s="1">
        <v>60753</v>
      </c>
      <c r="H129" s="1">
        <v>1</v>
      </c>
      <c r="I129" s="1" t="s">
        <v>84</v>
      </c>
      <c r="J129" s="1" t="s">
        <v>56</v>
      </c>
      <c r="K129" s="1" t="s">
        <v>9</v>
      </c>
      <c r="L129" s="5">
        <v>0</v>
      </c>
      <c r="M129" s="5">
        <v>480</v>
      </c>
      <c r="N129" s="5">
        <v>480</v>
      </c>
    </row>
    <row r="130" spans="1:14" x14ac:dyDescent="0.25">
      <c r="A130" t="str">
        <f t="shared" si="10"/>
        <v>607532</v>
      </c>
      <c r="B130" t="s">
        <v>176</v>
      </c>
      <c r="C130" t="s">
        <v>192</v>
      </c>
      <c r="E130" t="str">
        <f t="shared" si="15"/>
        <v>Angola</v>
      </c>
      <c r="F130" t="str">
        <f t="shared" si="16"/>
        <v>Angola</v>
      </c>
      <c r="G130" s="1">
        <v>60753</v>
      </c>
      <c r="H130" s="1">
        <v>2</v>
      </c>
      <c r="I130" s="1" t="s">
        <v>84</v>
      </c>
      <c r="J130" s="1" t="s">
        <v>56</v>
      </c>
      <c r="K130" s="1" t="s">
        <v>9</v>
      </c>
      <c r="L130" s="5">
        <v>0</v>
      </c>
      <c r="M130" s="5">
        <v>672</v>
      </c>
      <c r="N130" s="5">
        <v>672</v>
      </c>
    </row>
    <row r="131" spans="1:14" hidden="1" x14ac:dyDescent="0.25">
      <c r="A131" t="str">
        <f t="shared" si="10"/>
        <v>6075350</v>
      </c>
      <c r="B131" t="s">
        <v>176</v>
      </c>
      <c r="C131" t="s">
        <v>192</v>
      </c>
      <c r="E131" t="str">
        <f t="shared" si="15"/>
        <v>Pixelle</v>
      </c>
      <c r="F131" t="str">
        <f t="shared" si="16"/>
        <v>Pixelle</v>
      </c>
      <c r="G131" s="1">
        <v>60753</v>
      </c>
      <c r="H131" s="1">
        <v>50</v>
      </c>
      <c r="I131" s="1" t="s">
        <v>84</v>
      </c>
      <c r="J131" s="1" t="s">
        <v>56</v>
      </c>
      <c r="K131" s="1" t="s">
        <v>9</v>
      </c>
      <c r="L131" s="5">
        <v>0</v>
      </c>
      <c r="M131" s="216">
        <v>480</v>
      </c>
      <c r="N131" s="5">
        <v>480</v>
      </c>
    </row>
    <row r="132" spans="1:14" x14ac:dyDescent="0.25">
      <c r="A132" t="str">
        <f t="shared" si="10"/>
        <v>607602</v>
      </c>
      <c r="B132" t="s">
        <v>176</v>
      </c>
      <c r="C132" t="s">
        <v>192</v>
      </c>
      <c r="E132" t="str">
        <f t="shared" si="15"/>
        <v>Angola</v>
      </c>
      <c r="F132" t="str">
        <f t="shared" si="16"/>
        <v>Angola</v>
      </c>
      <c r="G132" s="1">
        <v>60760</v>
      </c>
      <c r="H132" s="1">
        <v>2</v>
      </c>
      <c r="I132" s="1" t="s">
        <v>85</v>
      </c>
      <c r="J132" s="1" t="s">
        <v>56</v>
      </c>
      <c r="K132" s="1" t="s">
        <v>9</v>
      </c>
      <c r="L132" s="5">
        <v>0</v>
      </c>
      <c r="M132" s="5">
        <v>35623.519999999997</v>
      </c>
      <c r="N132" s="5">
        <v>35623.519999999997</v>
      </c>
    </row>
    <row r="133" spans="1:14" x14ac:dyDescent="0.25">
      <c r="A133" t="str">
        <f t="shared" ref="A133:A196" si="19">G133&amp;H133</f>
        <v>607612</v>
      </c>
      <c r="B133" t="s">
        <v>176</v>
      </c>
      <c r="C133" t="s">
        <v>192</v>
      </c>
      <c r="E133" t="str">
        <f t="shared" si="15"/>
        <v>Angola</v>
      </c>
      <c r="F133" t="str">
        <f t="shared" si="16"/>
        <v>Angola</v>
      </c>
      <c r="G133" s="1">
        <v>60761</v>
      </c>
      <c r="H133" s="1">
        <v>2</v>
      </c>
      <c r="I133" s="1" t="s">
        <v>86</v>
      </c>
      <c r="J133" s="1" t="s">
        <v>56</v>
      </c>
      <c r="K133" s="1" t="s">
        <v>9</v>
      </c>
      <c r="L133" s="5">
        <v>0</v>
      </c>
      <c r="M133" s="5">
        <v>54.76</v>
      </c>
      <c r="N133" s="5">
        <v>54.76</v>
      </c>
    </row>
    <row r="134" spans="1:14" x14ac:dyDescent="0.25">
      <c r="A134" t="str">
        <f t="shared" si="19"/>
        <v>607622</v>
      </c>
      <c r="B134" t="s">
        <v>176</v>
      </c>
      <c r="C134" t="s">
        <v>192</v>
      </c>
      <c r="E134" t="str">
        <f t="shared" si="15"/>
        <v>Angola</v>
      </c>
      <c r="F134" t="str">
        <f t="shared" si="16"/>
        <v>Angola</v>
      </c>
      <c r="G134" s="1">
        <v>60762</v>
      </c>
      <c r="H134" s="1">
        <v>2</v>
      </c>
      <c r="I134" s="1" t="s">
        <v>87</v>
      </c>
      <c r="J134" s="1" t="s">
        <v>56</v>
      </c>
      <c r="K134" s="1" t="s">
        <v>9</v>
      </c>
      <c r="L134" s="5">
        <v>0</v>
      </c>
      <c r="M134" s="5">
        <v>2504.83</v>
      </c>
      <c r="N134" s="5">
        <v>2504.83</v>
      </c>
    </row>
    <row r="135" spans="1:14" x14ac:dyDescent="0.25">
      <c r="A135" t="str">
        <f t="shared" si="19"/>
        <v>607632</v>
      </c>
      <c r="B135" t="s">
        <v>176</v>
      </c>
      <c r="C135" t="s">
        <v>192</v>
      </c>
      <c r="E135" t="str">
        <f t="shared" si="15"/>
        <v>Angola</v>
      </c>
      <c r="F135" t="str">
        <f t="shared" si="16"/>
        <v>Angola</v>
      </c>
      <c r="G135" s="1">
        <v>60763</v>
      </c>
      <c r="H135" s="1">
        <v>2</v>
      </c>
      <c r="I135" s="1" t="s">
        <v>88</v>
      </c>
      <c r="J135" s="1" t="s">
        <v>56</v>
      </c>
      <c r="K135" s="1" t="s">
        <v>9</v>
      </c>
      <c r="L135" s="5">
        <v>0</v>
      </c>
      <c r="M135" s="5">
        <v>939.6</v>
      </c>
      <c r="N135" s="5">
        <v>939.6</v>
      </c>
    </row>
    <row r="136" spans="1:14" hidden="1" x14ac:dyDescent="0.25">
      <c r="A136" t="str">
        <f t="shared" si="19"/>
        <v>6076499</v>
      </c>
      <c r="B136" t="s">
        <v>176</v>
      </c>
      <c r="C136" s="8" t="s">
        <v>192</v>
      </c>
      <c r="D136" s="8"/>
      <c r="E136" s="8" t="str">
        <f t="shared" si="15"/>
        <v>Hillsboro</v>
      </c>
      <c r="F136" s="8" t="str">
        <f t="shared" si="16"/>
        <v>Corp</v>
      </c>
      <c r="G136" s="9">
        <v>60764</v>
      </c>
      <c r="H136" s="9">
        <v>99</v>
      </c>
      <c r="I136" s="9" t="s">
        <v>89</v>
      </c>
      <c r="J136" s="1" t="s">
        <v>56</v>
      </c>
      <c r="K136" s="1" t="s">
        <v>89</v>
      </c>
      <c r="L136" s="5">
        <v>0</v>
      </c>
      <c r="M136" s="5">
        <v>0</v>
      </c>
      <c r="N136" s="5">
        <v>0</v>
      </c>
    </row>
    <row r="137" spans="1:14" hidden="1" x14ac:dyDescent="0.25">
      <c r="A137" t="str">
        <f t="shared" si="19"/>
        <v>6076699</v>
      </c>
      <c r="B137" t="s">
        <v>176</v>
      </c>
      <c r="C137" s="8" t="s">
        <v>192</v>
      </c>
      <c r="D137" s="8"/>
      <c r="E137" s="8" t="str">
        <f t="shared" si="15"/>
        <v>Hillsboro</v>
      </c>
      <c r="F137" s="8" t="str">
        <f t="shared" si="16"/>
        <v>Corp</v>
      </c>
      <c r="G137" s="9">
        <v>60766</v>
      </c>
      <c r="H137" s="9">
        <v>99</v>
      </c>
      <c r="I137" s="9" t="s">
        <v>90</v>
      </c>
      <c r="J137" s="1" t="s">
        <v>56</v>
      </c>
      <c r="K137" s="1" t="s">
        <v>90</v>
      </c>
      <c r="L137" s="5">
        <v>0</v>
      </c>
      <c r="M137" s="5">
        <v>0</v>
      </c>
      <c r="N137" s="5">
        <v>0</v>
      </c>
    </row>
    <row r="138" spans="1:14" hidden="1" x14ac:dyDescent="0.25">
      <c r="A138" t="str">
        <f t="shared" si="19"/>
        <v>6076799</v>
      </c>
      <c r="B138" t="s">
        <v>176</v>
      </c>
      <c r="C138" s="8" t="s">
        <v>192</v>
      </c>
      <c r="D138" s="8"/>
      <c r="E138" s="8" t="str">
        <f t="shared" si="15"/>
        <v>Hillsboro</v>
      </c>
      <c r="F138" s="8" t="str">
        <f t="shared" si="16"/>
        <v>Corp</v>
      </c>
      <c r="G138" s="9">
        <v>60767</v>
      </c>
      <c r="H138" s="9">
        <v>99</v>
      </c>
      <c r="I138" s="9" t="s">
        <v>91</v>
      </c>
      <c r="J138" s="1" t="s">
        <v>56</v>
      </c>
      <c r="K138" s="1" t="s">
        <v>91</v>
      </c>
      <c r="L138" s="5">
        <v>0</v>
      </c>
      <c r="M138" s="5">
        <v>0</v>
      </c>
      <c r="N138" s="5">
        <v>0</v>
      </c>
    </row>
    <row r="139" spans="1:14" hidden="1" x14ac:dyDescent="0.25">
      <c r="A139" t="str">
        <f t="shared" si="19"/>
        <v>607701</v>
      </c>
      <c r="B139" t="s">
        <v>176</v>
      </c>
      <c r="C139" t="s">
        <v>193</v>
      </c>
      <c r="E139" t="str">
        <f t="shared" si="15"/>
        <v>Hillsboro</v>
      </c>
      <c r="F139" t="str">
        <f t="shared" si="16"/>
        <v>Hillsboro</v>
      </c>
      <c r="G139" s="1">
        <v>60770</v>
      </c>
      <c r="H139" s="1">
        <v>1</v>
      </c>
      <c r="I139" s="1" t="s">
        <v>92</v>
      </c>
      <c r="J139" s="1" t="s">
        <v>56</v>
      </c>
      <c r="K139" s="1" t="s">
        <v>9</v>
      </c>
      <c r="L139" s="5">
        <v>0</v>
      </c>
      <c r="M139" s="5">
        <v>31420.42</v>
      </c>
      <c r="N139" s="5">
        <v>31420.42</v>
      </c>
    </row>
    <row r="140" spans="1:14" x14ac:dyDescent="0.25">
      <c r="A140" t="str">
        <f t="shared" si="19"/>
        <v>607702</v>
      </c>
      <c r="B140" t="s">
        <v>176</v>
      </c>
      <c r="C140" t="s">
        <v>193</v>
      </c>
      <c r="E140" t="str">
        <f t="shared" si="15"/>
        <v>Angola</v>
      </c>
      <c r="F140" t="str">
        <f t="shared" si="16"/>
        <v>Angola</v>
      </c>
      <c r="G140" s="1">
        <v>60770</v>
      </c>
      <c r="H140" s="1">
        <v>2</v>
      </c>
      <c r="I140" s="1" t="s">
        <v>92</v>
      </c>
      <c r="J140" s="1" t="s">
        <v>56</v>
      </c>
      <c r="K140" s="1" t="s">
        <v>9</v>
      </c>
      <c r="L140" s="5">
        <v>0</v>
      </c>
      <c r="M140" s="5">
        <v>39840.400000000001</v>
      </c>
      <c r="N140" s="5">
        <v>39840.400000000001</v>
      </c>
    </row>
    <row r="141" spans="1:14" hidden="1" x14ac:dyDescent="0.25">
      <c r="A141" t="str">
        <f t="shared" si="19"/>
        <v>6077050</v>
      </c>
      <c r="B141" t="s">
        <v>176</v>
      </c>
      <c r="C141" t="s">
        <v>193</v>
      </c>
      <c r="E141" t="str">
        <f t="shared" si="15"/>
        <v>Pixelle</v>
      </c>
      <c r="F141" t="str">
        <f t="shared" si="16"/>
        <v>Pixelle</v>
      </c>
      <c r="G141" s="1">
        <v>60770</v>
      </c>
      <c r="H141" s="1">
        <v>50</v>
      </c>
      <c r="I141" s="1" t="s">
        <v>92</v>
      </c>
      <c r="J141" s="1" t="s">
        <v>56</v>
      </c>
      <c r="K141" s="1" t="s">
        <v>9</v>
      </c>
      <c r="L141" s="5">
        <v>0</v>
      </c>
      <c r="M141" s="217">
        <v>28614.880000000001</v>
      </c>
      <c r="N141" s="5">
        <v>28614.880000000001</v>
      </c>
    </row>
    <row r="142" spans="1:14" hidden="1" x14ac:dyDescent="0.25">
      <c r="A142" t="str">
        <f t="shared" si="19"/>
        <v>607801</v>
      </c>
      <c r="B142" t="s">
        <v>176</v>
      </c>
      <c r="C142" t="s">
        <v>192</v>
      </c>
      <c r="E142" t="str">
        <f t="shared" si="15"/>
        <v>Hillsboro</v>
      </c>
      <c r="F142" t="str">
        <f t="shared" si="16"/>
        <v>Hillsboro</v>
      </c>
      <c r="G142" s="1">
        <v>60780</v>
      </c>
      <c r="H142" s="1">
        <v>1</v>
      </c>
      <c r="I142" s="1" t="s">
        <v>93</v>
      </c>
      <c r="J142" s="1" t="s">
        <v>56</v>
      </c>
      <c r="K142" s="1" t="s">
        <v>93</v>
      </c>
      <c r="L142" s="5">
        <v>0</v>
      </c>
      <c r="M142" s="5">
        <v>88431.96</v>
      </c>
      <c r="N142" s="5">
        <v>88431.96</v>
      </c>
    </row>
    <row r="143" spans="1:14" hidden="1" x14ac:dyDescent="0.25">
      <c r="A143" t="str">
        <f t="shared" si="19"/>
        <v>607811</v>
      </c>
      <c r="B143" t="s">
        <v>176</v>
      </c>
      <c r="C143" t="s">
        <v>192</v>
      </c>
      <c r="E143" t="str">
        <f t="shared" si="15"/>
        <v>Hillsboro</v>
      </c>
      <c r="F143" t="str">
        <f t="shared" si="16"/>
        <v>Hillsboro</v>
      </c>
      <c r="G143" s="1">
        <v>60781</v>
      </c>
      <c r="H143" s="1">
        <v>1</v>
      </c>
      <c r="I143" s="1" t="s">
        <v>94</v>
      </c>
      <c r="J143" s="1" t="s">
        <v>56</v>
      </c>
      <c r="K143" s="1" t="s">
        <v>94</v>
      </c>
      <c r="L143" s="5">
        <v>0</v>
      </c>
      <c r="M143" s="5">
        <v>3399.18</v>
      </c>
      <c r="N143" s="5">
        <v>3399.18</v>
      </c>
    </row>
    <row r="144" spans="1:14" hidden="1" x14ac:dyDescent="0.25">
      <c r="A144" t="str">
        <f t="shared" si="19"/>
        <v>607821</v>
      </c>
      <c r="B144" t="s">
        <v>176</v>
      </c>
      <c r="C144" t="s">
        <v>192</v>
      </c>
      <c r="E144" t="str">
        <f t="shared" si="15"/>
        <v>Hillsboro</v>
      </c>
      <c r="F144" t="str">
        <f>IF(H144=1,"Hillsboro",IF(H144=2,"Angola",IF(H144=9,"Corp",IF(H144=99,"Corp",IF(H144=50,"Pixelle","???")))))</f>
        <v>Hillsboro</v>
      </c>
      <c r="G144" s="1">
        <v>60782</v>
      </c>
      <c r="H144" s="1">
        <v>1</v>
      </c>
      <c r="I144" s="1" t="s">
        <v>95</v>
      </c>
      <c r="J144" s="1" t="s">
        <v>56</v>
      </c>
      <c r="K144" s="1" t="s">
        <v>95</v>
      </c>
      <c r="L144" s="5">
        <v>0</v>
      </c>
      <c r="M144" s="5">
        <v>3773.1</v>
      </c>
      <c r="N144" s="5">
        <v>3773.1</v>
      </c>
    </row>
    <row r="145" spans="1:14" hidden="1" x14ac:dyDescent="0.25">
      <c r="A145" t="str">
        <f t="shared" si="19"/>
        <v>607831</v>
      </c>
      <c r="B145" t="s">
        <v>176</v>
      </c>
      <c r="C145" t="s">
        <v>192</v>
      </c>
      <c r="E145" t="str">
        <f t="shared" si="15"/>
        <v>Hillsboro</v>
      </c>
      <c r="F145" t="str">
        <f t="shared" ref="F145:F162" si="20">IF(H145=1,"Hillsboro",IF(H145=2,"Angola",IF(H145=9,"Corp",IF(H145=99,"Corp",IF(H145=50,"Pixelle","???")))))</f>
        <v>Hillsboro</v>
      </c>
      <c r="G145" s="1">
        <v>60783</v>
      </c>
      <c r="H145" s="1">
        <v>1</v>
      </c>
      <c r="I145" s="1" t="s">
        <v>96</v>
      </c>
      <c r="J145" s="1" t="s">
        <v>56</v>
      </c>
      <c r="K145" s="1" t="s">
        <v>96</v>
      </c>
      <c r="L145" s="5">
        <v>0</v>
      </c>
      <c r="M145" s="5">
        <v>1949.6</v>
      </c>
      <c r="N145" s="5">
        <v>1949.6</v>
      </c>
    </row>
    <row r="146" spans="1:14" hidden="1" x14ac:dyDescent="0.25">
      <c r="A146" t="str">
        <f t="shared" si="19"/>
        <v>608001</v>
      </c>
      <c r="B146" t="s">
        <v>176</v>
      </c>
      <c r="C146" t="s">
        <v>193</v>
      </c>
      <c r="E146" t="str">
        <f t="shared" si="15"/>
        <v>Hillsboro</v>
      </c>
      <c r="F146" t="str">
        <f t="shared" si="20"/>
        <v>Hillsboro</v>
      </c>
      <c r="G146" s="1">
        <v>60800</v>
      </c>
      <c r="H146" s="1">
        <v>1</v>
      </c>
      <c r="I146" s="1" t="s">
        <v>97</v>
      </c>
      <c r="J146" s="1" t="s">
        <v>56</v>
      </c>
      <c r="K146" s="1" t="s">
        <v>9</v>
      </c>
      <c r="L146" s="5">
        <v>0</v>
      </c>
      <c r="M146" s="5">
        <v>15107.15</v>
      </c>
      <c r="N146" s="5">
        <v>15107.15</v>
      </c>
    </row>
    <row r="147" spans="1:14" x14ac:dyDescent="0.25">
      <c r="A147" t="str">
        <f t="shared" si="19"/>
        <v>608002</v>
      </c>
      <c r="B147" t="s">
        <v>176</v>
      </c>
      <c r="C147" t="s">
        <v>193</v>
      </c>
      <c r="E147" t="str">
        <f t="shared" si="15"/>
        <v>Angola</v>
      </c>
      <c r="F147" t="str">
        <f t="shared" si="20"/>
        <v>Angola</v>
      </c>
      <c r="G147" s="1">
        <v>60800</v>
      </c>
      <c r="H147" s="1">
        <v>2</v>
      </c>
      <c r="I147" s="1" t="s">
        <v>97</v>
      </c>
      <c r="J147" s="1" t="s">
        <v>56</v>
      </c>
      <c r="K147" s="1" t="s">
        <v>9</v>
      </c>
      <c r="L147" s="5">
        <v>0</v>
      </c>
      <c r="M147" s="5">
        <v>24574.86</v>
      </c>
      <c r="N147" s="5">
        <v>24574.86</v>
      </c>
    </row>
    <row r="148" spans="1:14" hidden="1" x14ac:dyDescent="0.25">
      <c r="A148" t="str">
        <f t="shared" si="19"/>
        <v>608101</v>
      </c>
      <c r="B148" t="s">
        <v>176</v>
      </c>
      <c r="C148" t="s">
        <v>193</v>
      </c>
      <c r="E148" t="str">
        <f t="shared" si="15"/>
        <v>Hillsboro</v>
      </c>
      <c r="F148" t="str">
        <f t="shared" si="20"/>
        <v>Hillsboro</v>
      </c>
      <c r="G148" s="1">
        <v>60810</v>
      </c>
      <c r="H148" s="1">
        <v>1</v>
      </c>
      <c r="I148" s="1" t="s">
        <v>98</v>
      </c>
      <c r="J148" s="1" t="s">
        <v>56</v>
      </c>
      <c r="K148" s="1" t="s">
        <v>9</v>
      </c>
      <c r="L148" s="5">
        <v>0</v>
      </c>
      <c r="M148" s="5">
        <v>19.54</v>
      </c>
      <c r="N148" s="5">
        <v>19.54</v>
      </c>
    </row>
    <row r="149" spans="1:14" hidden="1" x14ac:dyDescent="0.25">
      <c r="A149" t="str">
        <f t="shared" si="19"/>
        <v>608201</v>
      </c>
      <c r="B149" t="s">
        <v>176</v>
      </c>
      <c r="C149" t="s">
        <v>193</v>
      </c>
      <c r="E149" t="str">
        <f t="shared" si="15"/>
        <v>Hillsboro</v>
      </c>
      <c r="F149" t="str">
        <f t="shared" si="20"/>
        <v>Hillsboro</v>
      </c>
      <c r="G149" s="1">
        <v>60820</v>
      </c>
      <c r="H149" s="1">
        <v>1</v>
      </c>
      <c r="I149" s="1" t="s">
        <v>99</v>
      </c>
      <c r="J149" s="1" t="s">
        <v>56</v>
      </c>
      <c r="K149" s="1" t="s">
        <v>9</v>
      </c>
      <c r="L149" s="5">
        <v>0</v>
      </c>
      <c r="M149" s="5">
        <v>1999.17</v>
      </c>
      <c r="N149" s="5">
        <v>1999.17</v>
      </c>
    </row>
    <row r="150" spans="1:14" x14ac:dyDescent="0.25">
      <c r="A150" t="str">
        <f t="shared" si="19"/>
        <v>608202</v>
      </c>
      <c r="B150" t="s">
        <v>176</v>
      </c>
      <c r="C150" t="s">
        <v>193</v>
      </c>
      <c r="E150" t="str">
        <f t="shared" si="15"/>
        <v>Angola</v>
      </c>
      <c r="F150" t="str">
        <f t="shared" si="20"/>
        <v>Angola</v>
      </c>
      <c r="G150" s="1">
        <v>60820</v>
      </c>
      <c r="H150" s="1">
        <v>2</v>
      </c>
      <c r="I150" s="1" t="s">
        <v>99</v>
      </c>
      <c r="J150" s="1" t="s">
        <v>56</v>
      </c>
      <c r="K150" s="1" t="s">
        <v>9</v>
      </c>
      <c r="L150" s="5">
        <v>0</v>
      </c>
      <c r="M150" s="5">
        <v>610.4</v>
      </c>
      <c r="N150" s="5">
        <v>610.4</v>
      </c>
    </row>
    <row r="151" spans="1:14" hidden="1" x14ac:dyDescent="0.25">
      <c r="A151" t="str">
        <f t="shared" si="19"/>
        <v>608301</v>
      </c>
      <c r="B151" t="s">
        <v>176</v>
      </c>
      <c r="C151" t="s">
        <v>193</v>
      </c>
      <c r="E151" t="str">
        <f t="shared" si="15"/>
        <v>Hillsboro</v>
      </c>
      <c r="F151" t="str">
        <f t="shared" si="20"/>
        <v>Hillsboro</v>
      </c>
      <c r="G151" s="1">
        <v>60830</v>
      </c>
      <c r="H151" s="1">
        <v>1</v>
      </c>
      <c r="I151" s="1" t="s">
        <v>100</v>
      </c>
      <c r="J151" s="1" t="s">
        <v>56</v>
      </c>
      <c r="K151" s="1" t="s">
        <v>9</v>
      </c>
      <c r="L151" s="5">
        <v>0</v>
      </c>
      <c r="M151" s="5">
        <v>409.2</v>
      </c>
      <c r="N151" s="5">
        <v>409.2</v>
      </c>
    </row>
    <row r="152" spans="1:14" x14ac:dyDescent="0.25">
      <c r="A152" t="str">
        <f t="shared" si="19"/>
        <v>608302</v>
      </c>
      <c r="B152" t="s">
        <v>176</v>
      </c>
      <c r="C152" t="s">
        <v>193</v>
      </c>
      <c r="E152" t="str">
        <f t="shared" si="15"/>
        <v>Angola</v>
      </c>
      <c r="F152" t="str">
        <f t="shared" si="20"/>
        <v>Angola</v>
      </c>
      <c r="G152" s="1">
        <v>60830</v>
      </c>
      <c r="H152" s="1">
        <v>2</v>
      </c>
      <c r="I152" s="1" t="s">
        <v>100</v>
      </c>
      <c r="J152" s="1" t="s">
        <v>56</v>
      </c>
      <c r="K152" s="1" t="s">
        <v>9</v>
      </c>
      <c r="L152" s="5">
        <v>0</v>
      </c>
      <c r="M152" s="5">
        <v>403.2</v>
      </c>
      <c r="N152" s="5">
        <v>403.2</v>
      </c>
    </row>
    <row r="153" spans="1:14" hidden="1" x14ac:dyDescent="0.25">
      <c r="A153" t="str">
        <f t="shared" si="19"/>
        <v>608401</v>
      </c>
      <c r="B153" t="s">
        <v>176</v>
      </c>
      <c r="C153" t="s">
        <v>193</v>
      </c>
      <c r="E153" t="str">
        <f t="shared" si="15"/>
        <v>Hillsboro</v>
      </c>
      <c r="F153" t="str">
        <f t="shared" si="20"/>
        <v>Hillsboro</v>
      </c>
      <c r="G153" s="1">
        <v>60840</v>
      </c>
      <c r="H153" s="1">
        <v>1</v>
      </c>
      <c r="I153" s="1" t="s">
        <v>101</v>
      </c>
      <c r="J153" s="1" t="s">
        <v>56</v>
      </c>
      <c r="K153" s="1" t="s">
        <v>9</v>
      </c>
      <c r="L153" s="5">
        <v>0</v>
      </c>
      <c r="M153" s="5">
        <v>15699.76</v>
      </c>
      <c r="N153" s="5">
        <v>15699.76</v>
      </c>
    </row>
    <row r="154" spans="1:14" x14ac:dyDescent="0.25">
      <c r="A154" t="str">
        <f t="shared" si="19"/>
        <v>608402</v>
      </c>
      <c r="B154" t="s">
        <v>176</v>
      </c>
      <c r="C154" t="s">
        <v>193</v>
      </c>
      <c r="E154" t="str">
        <f t="shared" si="15"/>
        <v>Angola</v>
      </c>
      <c r="F154" t="str">
        <f t="shared" si="20"/>
        <v>Angola</v>
      </c>
      <c r="G154" s="1">
        <v>60840</v>
      </c>
      <c r="H154" s="1">
        <v>2</v>
      </c>
      <c r="I154" s="1" t="s">
        <v>101</v>
      </c>
      <c r="J154" s="1" t="s">
        <v>56</v>
      </c>
      <c r="K154" s="1" t="s">
        <v>9</v>
      </c>
      <c r="L154" s="5">
        <v>0</v>
      </c>
      <c r="M154" s="5">
        <v>18393.18</v>
      </c>
      <c r="N154" s="5">
        <v>18393.18</v>
      </c>
    </row>
    <row r="155" spans="1:14" hidden="1" x14ac:dyDescent="0.25">
      <c r="A155" t="str">
        <f t="shared" si="19"/>
        <v>6084050</v>
      </c>
      <c r="B155" t="s">
        <v>176</v>
      </c>
      <c r="C155" t="s">
        <v>193</v>
      </c>
      <c r="E155" t="str">
        <f t="shared" si="15"/>
        <v>Pixelle</v>
      </c>
      <c r="F155" t="str">
        <f t="shared" si="20"/>
        <v>Pixelle</v>
      </c>
      <c r="G155" s="1">
        <v>60840</v>
      </c>
      <c r="H155" s="1">
        <v>50</v>
      </c>
      <c r="I155" s="1" t="s">
        <v>101</v>
      </c>
      <c r="J155" s="1" t="s">
        <v>56</v>
      </c>
      <c r="K155" s="1" t="s">
        <v>9</v>
      </c>
      <c r="L155" s="5">
        <v>0</v>
      </c>
      <c r="M155" s="217">
        <v>22463.200000000001</v>
      </c>
      <c r="N155" s="5">
        <v>22463.200000000001</v>
      </c>
    </row>
    <row r="156" spans="1:14" hidden="1" x14ac:dyDescent="0.25">
      <c r="A156" t="str">
        <f t="shared" si="19"/>
        <v>608411</v>
      </c>
      <c r="B156" t="s">
        <v>176</v>
      </c>
      <c r="C156" t="s">
        <v>193</v>
      </c>
      <c r="E156" t="str">
        <f t="shared" si="15"/>
        <v>Hillsboro</v>
      </c>
      <c r="F156" t="str">
        <f t="shared" si="20"/>
        <v>Hillsboro</v>
      </c>
      <c r="G156" s="1">
        <v>60841</v>
      </c>
      <c r="H156" s="1">
        <v>1</v>
      </c>
      <c r="I156" s="1" t="s">
        <v>102</v>
      </c>
      <c r="J156" s="1" t="s">
        <v>56</v>
      </c>
      <c r="K156" s="1" t="s">
        <v>9</v>
      </c>
      <c r="L156" s="5">
        <v>0</v>
      </c>
      <c r="M156" s="5">
        <v>57.9</v>
      </c>
      <c r="N156" s="5">
        <v>57.9</v>
      </c>
    </row>
    <row r="157" spans="1:14" x14ac:dyDescent="0.25">
      <c r="A157" t="str">
        <f t="shared" si="19"/>
        <v>608412</v>
      </c>
      <c r="B157" t="s">
        <v>176</v>
      </c>
      <c r="C157" t="s">
        <v>193</v>
      </c>
      <c r="E157" t="str">
        <f t="shared" si="15"/>
        <v>Angola</v>
      </c>
      <c r="F157" t="str">
        <f t="shared" si="20"/>
        <v>Angola</v>
      </c>
      <c r="G157" s="1">
        <v>60841</v>
      </c>
      <c r="H157" s="1">
        <v>2</v>
      </c>
      <c r="I157" s="1" t="s">
        <v>102</v>
      </c>
      <c r="J157" s="1" t="s">
        <v>56</v>
      </c>
      <c r="K157" s="1" t="s">
        <v>9</v>
      </c>
      <c r="L157" s="5">
        <v>0</v>
      </c>
      <c r="M157" s="5">
        <v>1512.92</v>
      </c>
      <c r="N157" s="5">
        <v>1512.92</v>
      </c>
    </row>
    <row r="158" spans="1:14" hidden="1" x14ac:dyDescent="0.25">
      <c r="A158" t="str">
        <f t="shared" si="19"/>
        <v>608421</v>
      </c>
      <c r="B158" t="s">
        <v>176</v>
      </c>
      <c r="C158" t="s">
        <v>193</v>
      </c>
      <c r="E158" t="str">
        <f t="shared" si="15"/>
        <v>Hillsboro</v>
      </c>
      <c r="F158" t="str">
        <f t="shared" si="20"/>
        <v>Hillsboro</v>
      </c>
      <c r="G158" s="1">
        <v>60842</v>
      </c>
      <c r="H158" s="1">
        <v>1</v>
      </c>
      <c r="I158" s="1" t="s">
        <v>103</v>
      </c>
      <c r="J158" s="1" t="s">
        <v>56</v>
      </c>
      <c r="K158" s="1" t="s">
        <v>9</v>
      </c>
      <c r="L158" s="5">
        <v>0</v>
      </c>
      <c r="M158" s="5">
        <v>1626.65</v>
      </c>
      <c r="N158" s="5">
        <v>1626.65</v>
      </c>
    </row>
    <row r="159" spans="1:14" x14ac:dyDescent="0.25">
      <c r="A159" t="str">
        <f t="shared" si="19"/>
        <v>608422</v>
      </c>
      <c r="B159" t="s">
        <v>176</v>
      </c>
      <c r="C159" t="s">
        <v>193</v>
      </c>
      <c r="E159" t="str">
        <f t="shared" ref="E159:E168" si="21">IF(H159=1,"Hillsboro",IF(H159=2,"Angola",IF(H159=9,"Hillsboro",IF(H159=99,"Hillsboro",IF(H159=50,"Pixelle","???")))))</f>
        <v>Angola</v>
      </c>
      <c r="F159" t="str">
        <f t="shared" si="20"/>
        <v>Angola</v>
      </c>
      <c r="G159" s="1">
        <v>60842</v>
      </c>
      <c r="H159" s="1">
        <v>2</v>
      </c>
      <c r="I159" s="1" t="s">
        <v>103</v>
      </c>
      <c r="J159" s="1" t="s">
        <v>56</v>
      </c>
      <c r="K159" s="1" t="s">
        <v>9</v>
      </c>
      <c r="L159" s="5">
        <v>0</v>
      </c>
      <c r="M159" s="5">
        <v>1324.85</v>
      </c>
      <c r="N159" s="5">
        <v>1324.85</v>
      </c>
    </row>
    <row r="160" spans="1:14" hidden="1" x14ac:dyDescent="0.25">
      <c r="A160" t="str">
        <f t="shared" si="19"/>
        <v>6084250</v>
      </c>
      <c r="B160" t="s">
        <v>176</v>
      </c>
      <c r="C160" t="s">
        <v>193</v>
      </c>
      <c r="E160" t="str">
        <f t="shared" si="21"/>
        <v>Pixelle</v>
      </c>
      <c r="F160" t="str">
        <f t="shared" si="20"/>
        <v>Pixelle</v>
      </c>
      <c r="G160" s="1">
        <v>60842</v>
      </c>
      <c r="H160" s="1">
        <v>50</v>
      </c>
      <c r="I160" s="1" t="s">
        <v>103</v>
      </c>
      <c r="J160" s="1" t="s">
        <v>56</v>
      </c>
      <c r="K160" s="1" t="s">
        <v>9</v>
      </c>
      <c r="L160" s="5">
        <v>0</v>
      </c>
      <c r="M160" s="217">
        <v>2422</v>
      </c>
      <c r="N160" s="5">
        <v>2422</v>
      </c>
    </row>
    <row r="161" spans="1:18" hidden="1" x14ac:dyDescent="0.25">
      <c r="A161" t="str">
        <f t="shared" si="19"/>
        <v>608431</v>
      </c>
      <c r="B161" t="s">
        <v>176</v>
      </c>
      <c r="C161" t="s">
        <v>193</v>
      </c>
      <c r="E161" t="str">
        <f t="shared" si="21"/>
        <v>Hillsboro</v>
      </c>
      <c r="F161" t="str">
        <f t="shared" si="20"/>
        <v>Hillsboro</v>
      </c>
      <c r="G161" s="1">
        <v>60843</v>
      </c>
      <c r="H161" s="1">
        <v>1</v>
      </c>
      <c r="I161" s="1" t="s">
        <v>104</v>
      </c>
      <c r="J161" s="1" t="s">
        <v>56</v>
      </c>
      <c r="K161" s="1" t="s">
        <v>9</v>
      </c>
      <c r="L161" s="5">
        <v>0</v>
      </c>
      <c r="M161" s="5">
        <v>409.2</v>
      </c>
      <c r="N161" s="5">
        <v>409.2</v>
      </c>
    </row>
    <row r="162" spans="1:18" x14ac:dyDescent="0.25">
      <c r="A162" t="str">
        <f t="shared" si="19"/>
        <v>608432</v>
      </c>
      <c r="B162" t="s">
        <v>176</v>
      </c>
      <c r="C162" t="s">
        <v>193</v>
      </c>
      <c r="E162" t="str">
        <f t="shared" si="21"/>
        <v>Angola</v>
      </c>
      <c r="F162" t="str">
        <f t="shared" si="20"/>
        <v>Angola</v>
      </c>
      <c r="G162" s="1">
        <v>60843</v>
      </c>
      <c r="H162" s="1">
        <v>2</v>
      </c>
      <c r="I162" s="1" t="s">
        <v>104</v>
      </c>
      <c r="J162" s="1" t="s">
        <v>56</v>
      </c>
      <c r="K162" s="1" t="s">
        <v>9</v>
      </c>
      <c r="L162" s="5">
        <v>0</v>
      </c>
      <c r="M162" s="5">
        <v>463.2</v>
      </c>
      <c r="N162" s="5">
        <v>463.2</v>
      </c>
    </row>
    <row r="163" spans="1:18" hidden="1" x14ac:dyDescent="0.25">
      <c r="A163" t="str">
        <f t="shared" si="19"/>
        <v>6085050</v>
      </c>
      <c r="B163" t="s">
        <v>176</v>
      </c>
      <c r="C163" s="11" t="s">
        <v>193</v>
      </c>
      <c r="D163" s="11"/>
      <c r="E163" s="11" t="str">
        <f t="shared" si="21"/>
        <v>Pixelle</v>
      </c>
      <c r="F163" s="11" t="str">
        <f>IF(H163=1,"Hillsboro",IF(H163=2,"Angola",IF(H163=9,"Corp",IF(H163=99,"Corp",IF(H163=50,"Pixelle","???")))))</f>
        <v>Pixelle</v>
      </c>
      <c r="G163" s="1">
        <v>60850</v>
      </c>
      <c r="H163" s="1">
        <v>50</v>
      </c>
      <c r="I163" s="1" t="s">
        <v>105</v>
      </c>
      <c r="J163" s="1" t="s">
        <v>56</v>
      </c>
      <c r="K163" s="1" t="s">
        <v>9</v>
      </c>
      <c r="L163" s="5">
        <v>0</v>
      </c>
      <c r="M163" s="58">
        <v>-41085.72</v>
      </c>
      <c r="N163" s="5">
        <v>-41085.72</v>
      </c>
    </row>
    <row r="164" spans="1:18" hidden="1" x14ac:dyDescent="0.25">
      <c r="A164" t="str">
        <f t="shared" si="19"/>
        <v>6085099</v>
      </c>
      <c r="B164" t="s">
        <v>176</v>
      </c>
      <c r="C164" s="10" t="s">
        <v>193</v>
      </c>
      <c r="D164" s="10"/>
      <c r="E164" s="10" t="str">
        <f t="shared" si="21"/>
        <v>Hillsboro</v>
      </c>
      <c r="F164" s="10" t="str">
        <f>IF(H164=1,"Hillsboro",IF(H164=2,"Angola",IF(H164=9,"Corp",IF(H164=99,"Corp",IF(H164=50,"Pixelle","???")))))</f>
        <v>Corp</v>
      </c>
      <c r="G164" s="1">
        <v>60850</v>
      </c>
      <c r="H164" s="1">
        <v>99</v>
      </c>
      <c r="I164" s="1" t="s">
        <v>105</v>
      </c>
      <c r="J164" s="1" t="s">
        <v>56</v>
      </c>
      <c r="K164" s="1" t="s">
        <v>9</v>
      </c>
      <c r="L164" s="5">
        <v>0</v>
      </c>
      <c r="M164" s="5">
        <v>48529.51</v>
      </c>
      <c r="N164" s="5">
        <v>48529.51</v>
      </c>
    </row>
    <row r="165" spans="1:18" hidden="1" x14ac:dyDescent="0.25">
      <c r="A165" t="str">
        <f t="shared" si="19"/>
        <v>609001</v>
      </c>
      <c r="B165" t="s">
        <v>176</v>
      </c>
      <c r="C165" t="s">
        <v>191</v>
      </c>
      <c r="E165" t="str">
        <f t="shared" si="21"/>
        <v>Hillsboro</v>
      </c>
      <c r="F165" t="str">
        <f t="shared" ref="F165:F168" si="22">IF(H165=1,"Hillsboro",IF(H165=2,"Angola",IF(H165=9,"Corp",IF(H165=99,"Corp",IF(H165=50,"Pixelle","???")))))</f>
        <v>Hillsboro</v>
      </c>
      <c r="G165" s="1">
        <v>60900</v>
      </c>
      <c r="H165" s="1">
        <v>1</v>
      </c>
      <c r="I165" s="1" t="s">
        <v>106</v>
      </c>
      <c r="J165" s="1" t="s">
        <v>56</v>
      </c>
      <c r="K165" s="1" t="s">
        <v>9</v>
      </c>
      <c r="L165" s="5">
        <v>0</v>
      </c>
      <c r="M165" s="5">
        <v>0</v>
      </c>
      <c r="N165" s="5">
        <v>0</v>
      </c>
    </row>
    <row r="166" spans="1:18" x14ac:dyDescent="0.25">
      <c r="A166" t="str">
        <f t="shared" si="19"/>
        <v>609002</v>
      </c>
      <c r="B166" t="s">
        <v>176</v>
      </c>
      <c r="C166" t="s">
        <v>191</v>
      </c>
      <c r="E166" t="str">
        <f t="shared" si="21"/>
        <v>Angola</v>
      </c>
      <c r="F166" t="str">
        <f t="shared" si="22"/>
        <v>Angola</v>
      </c>
      <c r="G166" s="1">
        <v>60900</v>
      </c>
      <c r="H166" s="1">
        <v>2</v>
      </c>
      <c r="I166" s="1" t="s">
        <v>106</v>
      </c>
      <c r="J166" s="1" t="s">
        <v>56</v>
      </c>
      <c r="K166" s="1" t="s">
        <v>9</v>
      </c>
      <c r="L166" s="5">
        <v>0</v>
      </c>
      <c r="M166" s="5">
        <v>0</v>
      </c>
      <c r="N166" s="5">
        <v>0</v>
      </c>
    </row>
    <row r="167" spans="1:18" hidden="1" x14ac:dyDescent="0.25">
      <c r="A167" t="str">
        <f t="shared" si="19"/>
        <v>609121</v>
      </c>
      <c r="B167" t="s">
        <v>176</v>
      </c>
      <c r="C167" t="s">
        <v>191</v>
      </c>
      <c r="E167" t="str">
        <f t="shared" si="21"/>
        <v>Hillsboro</v>
      </c>
      <c r="F167" t="str">
        <f t="shared" si="22"/>
        <v>Hillsboro</v>
      </c>
      <c r="G167" s="1">
        <v>60912</v>
      </c>
      <c r="H167" s="1">
        <v>1</v>
      </c>
      <c r="I167" s="13" t="s">
        <v>107</v>
      </c>
      <c r="J167" s="13" t="s">
        <v>56</v>
      </c>
      <c r="K167" s="13" t="s">
        <v>107</v>
      </c>
      <c r="L167" s="5">
        <v>0</v>
      </c>
      <c r="M167" s="5">
        <v>681.79</v>
      </c>
      <c r="N167" s="5">
        <v>681.79</v>
      </c>
    </row>
    <row r="168" spans="1:18" x14ac:dyDescent="0.25">
      <c r="A168" t="str">
        <f t="shared" si="19"/>
        <v>609122</v>
      </c>
      <c r="B168" t="s">
        <v>176</v>
      </c>
      <c r="C168" t="s">
        <v>191</v>
      </c>
      <c r="E168" t="str">
        <f t="shared" si="21"/>
        <v>Angola</v>
      </c>
      <c r="F168" t="str">
        <f t="shared" si="22"/>
        <v>Angola</v>
      </c>
      <c r="G168" s="1">
        <v>60912</v>
      </c>
      <c r="H168" s="1">
        <v>2</v>
      </c>
      <c r="I168" s="13" t="s">
        <v>107</v>
      </c>
      <c r="J168" s="13" t="s">
        <v>56</v>
      </c>
      <c r="K168" s="13" t="s">
        <v>107</v>
      </c>
      <c r="L168" s="5">
        <v>0</v>
      </c>
      <c r="M168" s="5">
        <v>374.71</v>
      </c>
      <c r="N168" s="5">
        <v>374.71</v>
      </c>
    </row>
    <row r="169" spans="1:18" hidden="1" x14ac:dyDescent="0.25">
      <c r="A169" t="str">
        <f t="shared" si="19"/>
        <v>609131</v>
      </c>
      <c r="B169" t="s">
        <v>176</v>
      </c>
      <c r="C169" t="s">
        <v>191</v>
      </c>
      <c r="E169" t="str">
        <f t="shared" ref="E169" si="23">IF(H169=1,"Hillsboro",IF(H169=2,"Angola",IF(H169=9,"Hillsboro",IF(H169=99,"Hillsboro",IF(H169=50,"Pixelle","???")))))</f>
        <v>Hillsboro</v>
      </c>
      <c r="F169" t="str">
        <f t="shared" ref="F169" si="24">IF(H169=1,"Hillsboro",IF(H169=2,"Angola",IF(H169=9,"Corp",IF(H169=99,"Corp",IF(H169=50,"Pixelle","???")))))</f>
        <v>Hillsboro</v>
      </c>
      <c r="G169" s="1">
        <v>60913</v>
      </c>
      <c r="H169" s="1">
        <v>1</v>
      </c>
      <c r="I169" s="13" t="s">
        <v>108</v>
      </c>
      <c r="J169" s="13" t="s">
        <v>56</v>
      </c>
      <c r="K169" s="13" t="s">
        <v>108</v>
      </c>
      <c r="L169" s="5">
        <v>0</v>
      </c>
      <c r="M169" s="5">
        <v>3035.55</v>
      </c>
      <c r="N169" s="5">
        <v>3035.55</v>
      </c>
    </row>
    <row r="170" spans="1:18" hidden="1" x14ac:dyDescent="0.25">
      <c r="A170" t="str">
        <f t="shared" si="19"/>
        <v>610001</v>
      </c>
      <c r="B170" t="s">
        <v>176</v>
      </c>
      <c r="C170" t="s">
        <v>192</v>
      </c>
      <c r="E170" t="str">
        <f>IF(H170=1,"Hillsboro",IF(H170=2,"Angola",IF(H170=9,"Hillsboro",IF(H170=99,"Hillsboro",IF(H170=50,"Pixelle","???")))))</f>
        <v>Hillsboro</v>
      </c>
      <c r="F170" t="str">
        <f>IF(H170=1,"Hillsboro",IF(H170=2,"Angola",IF(H170=9,"Corp",IF(H170=99,"Corp",IF(H170=50,"Pixelle","???")))))</f>
        <v>Hillsboro</v>
      </c>
      <c r="G170" s="1">
        <v>61000</v>
      </c>
      <c r="H170" s="1">
        <v>1</v>
      </c>
      <c r="I170" s="1" t="s">
        <v>109</v>
      </c>
      <c r="J170" s="1" t="s">
        <v>56</v>
      </c>
      <c r="K170" s="1" t="s">
        <v>9</v>
      </c>
      <c r="L170" s="5">
        <v>0</v>
      </c>
      <c r="M170" s="5">
        <v>31124.25</v>
      </c>
      <c r="N170" s="5">
        <v>31124.25</v>
      </c>
    </row>
    <row r="171" spans="1:18" x14ac:dyDescent="0.25">
      <c r="A171" t="str">
        <f t="shared" si="19"/>
        <v>610002</v>
      </c>
      <c r="B171" t="s">
        <v>176</v>
      </c>
      <c r="C171" t="s">
        <v>192</v>
      </c>
      <c r="E171" t="str">
        <f t="shared" ref="E171:E233" si="25">IF(H171=1,"Hillsboro",IF(H171=2,"Angola",IF(H171=9,"Hillsboro",IF(H171=99,"Hillsboro",IF(H171=50,"Pixelle","???")))))</f>
        <v>Angola</v>
      </c>
      <c r="F171" t="str">
        <f>IF(H171=1,"Hillsboro",IF(H171=2,"Angola",IF(H171=9,"Corp",IF(H171=99,"Corp",IF(H171=50,"Pixelle","???")))))</f>
        <v>Angola</v>
      </c>
      <c r="G171" s="1">
        <v>61000</v>
      </c>
      <c r="H171" s="1">
        <v>2</v>
      </c>
      <c r="I171" s="1" t="s">
        <v>109</v>
      </c>
      <c r="J171" s="1" t="s">
        <v>56</v>
      </c>
      <c r="K171" s="1" t="s">
        <v>9</v>
      </c>
      <c r="L171" s="5">
        <v>0</v>
      </c>
      <c r="M171" s="5">
        <v>26019.69</v>
      </c>
      <c r="N171" s="5">
        <v>26019.69</v>
      </c>
    </row>
    <row r="172" spans="1:18" hidden="1" x14ac:dyDescent="0.25">
      <c r="A172" t="str">
        <f t="shared" si="19"/>
        <v>6100050</v>
      </c>
      <c r="B172" t="s">
        <v>176</v>
      </c>
      <c r="C172" t="s">
        <v>192</v>
      </c>
      <c r="E172" t="str">
        <f t="shared" si="25"/>
        <v>Pixelle</v>
      </c>
      <c r="F172" t="str">
        <f t="shared" ref="F172:F233" si="26">IF(H172=1,"Hillsboro",IF(H172=2,"Angola",IF(H172=9,"Corp",IF(H172=99,"Corp",IF(H172=50,"Pixelle","???")))))</f>
        <v>Pixelle</v>
      </c>
      <c r="G172" s="1">
        <v>61000</v>
      </c>
      <c r="H172" s="1">
        <v>50</v>
      </c>
      <c r="I172" s="1" t="s">
        <v>109</v>
      </c>
      <c r="J172" s="1" t="s">
        <v>56</v>
      </c>
      <c r="K172" s="1" t="s">
        <v>9</v>
      </c>
      <c r="L172" s="5">
        <v>0</v>
      </c>
      <c r="M172" s="217">
        <v>22023.279999999999</v>
      </c>
      <c r="N172" s="5">
        <v>22023.279999999999</v>
      </c>
    </row>
    <row r="173" spans="1:18" hidden="1" x14ac:dyDescent="0.25">
      <c r="A173" t="str">
        <f t="shared" si="19"/>
        <v>6100099</v>
      </c>
      <c r="B173" t="s">
        <v>176</v>
      </c>
      <c r="C173" s="12" t="s">
        <v>179</v>
      </c>
      <c r="E173" t="str">
        <f t="shared" si="25"/>
        <v>Hillsboro</v>
      </c>
      <c r="F173" t="str">
        <f t="shared" si="26"/>
        <v>Corp</v>
      </c>
      <c r="G173" s="1">
        <v>61000</v>
      </c>
      <c r="H173" s="1">
        <v>99</v>
      </c>
      <c r="I173" s="1" t="s">
        <v>109</v>
      </c>
      <c r="J173" s="1" t="s">
        <v>56</v>
      </c>
      <c r="K173" s="1" t="s">
        <v>9</v>
      </c>
      <c r="L173" s="5">
        <v>0</v>
      </c>
      <c r="M173" s="5">
        <v>7218.85</v>
      </c>
      <c r="N173" s="5">
        <v>7218.85</v>
      </c>
      <c r="P173">
        <f>VLOOKUP(A173,'[2]SORTED B VS P'!$A$82:$M$315,13,FALSE)</f>
        <v>20639.72</v>
      </c>
      <c r="Q173">
        <f>P173/2</f>
        <v>10319.86</v>
      </c>
      <c r="R173" s="6">
        <f>N173-Q173</f>
        <v>-3101.01</v>
      </c>
    </row>
    <row r="174" spans="1:18" hidden="1" x14ac:dyDescent="0.25">
      <c r="A174" t="str">
        <f t="shared" si="19"/>
        <v>611001</v>
      </c>
      <c r="B174" t="s">
        <v>176</v>
      </c>
      <c r="C174" t="s">
        <v>192</v>
      </c>
      <c r="E174" t="str">
        <f t="shared" si="25"/>
        <v>Hillsboro</v>
      </c>
      <c r="F174" t="str">
        <f t="shared" si="26"/>
        <v>Hillsboro</v>
      </c>
      <c r="G174" s="1">
        <v>61100</v>
      </c>
      <c r="H174" s="1">
        <v>1</v>
      </c>
      <c r="I174" s="1" t="s">
        <v>110</v>
      </c>
      <c r="J174" s="1" t="s">
        <v>56</v>
      </c>
      <c r="K174" s="1" t="s">
        <v>9</v>
      </c>
      <c r="L174" s="5">
        <v>0</v>
      </c>
      <c r="M174" s="5">
        <v>852.06</v>
      </c>
      <c r="N174" s="5">
        <v>852.06</v>
      </c>
    </row>
    <row r="175" spans="1:18" x14ac:dyDescent="0.25">
      <c r="A175" t="str">
        <f t="shared" si="19"/>
        <v>611002</v>
      </c>
      <c r="B175" t="s">
        <v>176</v>
      </c>
      <c r="C175" t="s">
        <v>192</v>
      </c>
      <c r="E175" t="str">
        <f t="shared" si="25"/>
        <v>Angola</v>
      </c>
      <c r="F175" t="str">
        <f t="shared" si="26"/>
        <v>Angola</v>
      </c>
      <c r="G175" s="1">
        <v>61100</v>
      </c>
      <c r="H175" s="1">
        <v>2</v>
      </c>
      <c r="I175" s="1" t="s">
        <v>110</v>
      </c>
      <c r="J175" s="1" t="s">
        <v>56</v>
      </c>
      <c r="K175" s="1" t="s">
        <v>9</v>
      </c>
      <c r="L175" s="5">
        <v>0</v>
      </c>
      <c r="M175" s="5">
        <v>654.16999999999996</v>
      </c>
      <c r="N175" s="5">
        <v>654.16999999999996</v>
      </c>
    </row>
    <row r="176" spans="1:18" hidden="1" x14ac:dyDescent="0.25">
      <c r="A176" t="str">
        <f t="shared" si="19"/>
        <v>6110050</v>
      </c>
      <c r="B176" t="s">
        <v>176</v>
      </c>
      <c r="C176" t="s">
        <v>192</v>
      </c>
      <c r="E176" t="str">
        <f t="shared" si="25"/>
        <v>Pixelle</v>
      </c>
      <c r="F176" t="str">
        <f t="shared" si="26"/>
        <v>Pixelle</v>
      </c>
      <c r="G176" s="1">
        <v>61100</v>
      </c>
      <c r="H176" s="1">
        <v>50</v>
      </c>
      <c r="I176" s="1" t="s">
        <v>110</v>
      </c>
      <c r="J176" s="1" t="s">
        <v>56</v>
      </c>
      <c r="K176" s="1" t="s">
        <v>9</v>
      </c>
      <c r="L176" s="5">
        <v>0</v>
      </c>
      <c r="M176" s="216">
        <v>560.34</v>
      </c>
      <c r="N176" s="5">
        <v>560.34</v>
      </c>
    </row>
    <row r="177" spans="1:18" hidden="1" x14ac:dyDescent="0.25">
      <c r="A177" t="str">
        <f t="shared" si="19"/>
        <v>6110099</v>
      </c>
      <c r="B177" t="s">
        <v>176</v>
      </c>
      <c r="C177" s="12" t="s">
        <v>179</v>
      </c>
      <c r="E177" t="str">
        <f t="shared" si="25"/>
        <v>Hillsboro</v>
      </c>
      <c r="F177" t="str">
        <f t="shared" si="26"/>
        <v>Corp</v>
      </c>
      <c r="G177" s="1">
        <v>61100</v>
      </c>
      <c r="H177" s="1">
        <v>99</v>
      </c>
      <c r="I177" s="1" t="s">
        <v>110</v>
      </c>
      <c r="J177" s="1" t="s">
        <v>56</v>
      </c>
      <c r="K177" s="1" t="s">
        <v>9</v>
      </c>
      <c r="L177" s="5">
        <v>0</v>
      </c>
      <c r="M177" s="5">
        <v>126</v>
      </c>
      <c r="N177" s="5">
        <v>126</v>
      </c>
      <c r="P177">
        <f>VLOOKUP(A177,'[2]SORTED B VS P'!$A$82:$M$315,13,FALSE)</f>
        <v>126</v>
      </c>
      <c r="Q177">
        <f>P177/2</f>
        <v>63</v>
      </c>
      <c r="R177" s="6">
        <f>N177-Q177</f>
        <v>63</v>
      </c>
    </row>
    <row r="178" spans="1:18" hidden="1" x14ac:dyDescent="0.25">
      <c r="A178" t="str">
        <f t="shared" si="19"/>
        <v>612001</v>
      </c>
      <c r="B178" t="s">
        <v>176</v>
      </c>
      <c r="C178" t="s">
        <v>192</v>
      </c>
      <c r="E178" t="str">
        <f t="shared" si="25"/>
        <v>Hillsboro</v>
      </c>
      <c r="F178" t="str">
        <f t="shared" si="26"/>
        <v>Hillsboro</v>
      </c>
      <c r="G178" s="1">
        <v>61200</v>
      </c>
      <c r="H178" s="1">
        <v>1</v>
      </c>
      <c r="I178" s="1" t="s">
        <v>111</v>
      </c>
      <c r="J178" s="1" t="s">
        <v>56</v>
      </c>
      <c r="K178" s="1" t="s">
        <v>9</v>
      </c>
      <c r="L178" s="5">
        <v>0</v>
      </c>
      <c r="M178" s="5">
        <v>1168.02</v>
      </c>
      <c r="N178" s="5">
        <v>1168.02</v>
      </c>
    </row>
    <row r="179" spans="1:18" x14ac:dyDescent="0.25">
      <c r="A179" t="str">
        <f t="shared" si="19"/>
        <v>612002</v>
      </c>
      <c r="B179" t="s">
        <v>176</v>
      </c>
      <c r="C179" t="s">
        <v>192</v>
      </c>
      <c r="E179" t="str">
        <f t="shared" si="25"/>
        <v>Angola</v>
      </c>
      <c r="F179" t="str">
        <f t="shared" si="26"/>
        <v>Angola</v>
      </c>
      <c r="G179" s="1">
        <v>61200</v>
      </c>
      <c r="H179" s="1">
        <v>2</v>
      </c>
      <c r="I179" s="1" t="s">
        <v>111</v>
      </c>
      <c r="J179" s="1" t="s">
        <v>56</v>
      </c>
      <c r="K179" s="1" t="s">
        <v>9</v>
      </c>
      <c r="L179" s="5">
        <v>0</v>
      </c>
      <c r="M179" s="5">
        <v>728.4</v>
      </c>
      <c r="N179" s="5">
        <v>728.4</v>
      </c>
    </row>
    <row r="180" spans="1:18" hidden="1" x14ac:dyDescent="0.25">
      <c r="A180" t="str">
        <f t="shared" si="19"/>
        <v>6120050</v>
      </c>
      <c r="B180" t="s">
        <v>176</v>
      </c>
      <c r="C180" t="s">
        <v>192</v>
      </c>
      <c r="E180" t="str">
        <f t="shared" si="25"/>
        <v>Pixelle</v>
      </c>
      <c r="F180" t="str">
        <f t="shared" si="26"/>
        <v>Pixelle</v>
      </c>
      <c r="G180" s="1">
        <v>61200</v>
      </c>
      <c r="H180" s="1">
        <v>50</v>
      </c>
      <c r="I180" s="1" t="s">
        <v>111</v>
      </c>
      <c r="J180" s="1" t="s">
        <v>56</v>
      </c>
      <c r="K180" s="1" t="s">
        <v>9</v>
      </c>
      <c r="L180" s="5">
        <v>0</v>
      </c>
      <c r="M180" s="216">
        <v>765.05</v>
      </c>
      <c r="N180" s="5">
        <v>765.05</v>
      </c>
    </row>
    <row r="181" spans="1:18" hidden="1" x14ac:dyDescent="0.25">
      <c r="A181" t="str">
        <f t="shared" si="19"/>
        <v>6120099</v>
      </c>
      <c r="B181" t="s">
        <v>176</v>
      </c>
      <c r="C181" s="12" t="s">
        <v>179</v>
      </c>
      <c r="E181" t="str">
        <f t="shared" si="25"/>
        <v>Hillsboro</v>
      </c>
      <c r="F181" t="str">
        <f t="shared" si="26"/>
        <v>Corp</v>
      </c>
      <c r="G181" s="1">
        <v>61200</v>
      </c>
      <c r="H181" s="1">
        <v>99</v>
      </c>
      <c r="I181" s="1" t="s">
        <v>111</v>
      </c>
      <c r="J181" s="1" t="s">
        <v>56</v>
      </c>
      <c r="K181" s="1" t="s">
        <v>9</v>
      </c>
      <c r="L181" s="5">
        <v>0</v>
      </c>
      <c r="M181" s="5">
        <v>58.51</v>
      </c>
      <c r="N181" s="5">
        <v>58.51</v>
      </c>
      <c r="P181">
        <f>VLOOKUP(A181,'[2]SORTED B VS P'!$A$82:$M$315,13,FALSE)</f>
        <v>5575.02</v>
      </c>
      <c r="Q181">
        <f>P181/2</f>
        <v>2787.51</v>
      </c>
      <c r="R181" s="6">
        <f>N181-Q181</f>
        <v>-2729</v>
      </c>
    </row>
    <row r="182" spans="1:18" hidden="1" x14ac:dyDescent="0.25">
      <c r="A182" t="str">
        <f t="shared" si="19"/>
        <v>613001</v>
      </c>
      <c r="B182" t="s">
        <v>176</v>
      </c>
      <c r="C182" t="s">
        <v>192</v>
      </c>
      <c r="E182" t="str">
        <f t="shared" si="25"/>
        <v>Hillsboro</v>
      </c>
      <c r="F182" t="str">
        <f t="shared" si="26"/>
        <v>Hillsboro</v>
      </c>
      <c r="G182" s="1">
        <v>61300</v>
      </c>
      <c r="H182" s="1">
        <v>1</v>
      </c>
      <c r="I182" s="1" t="s">
        <v>112</v>
      </c>
      <c r="J182" s="1" t="s">
        <v>56</v>
      </c>
      <c r="K182" s="1" t="s">
        <v>9</v>
      </c>
      <c r="L182" s="5">
        <v>0</v>
      </c>
      <c r="M182" s="5">
        <v>0</v>
      </c>
      <c r="N182" s="5">
        <v>0</v>
      </c>
    </row>
    <row r="183" spans="1:18" x14ac:dyDescent="0.25">
      <c r="A183" t="str">
        <f t="shared" si="19"/>
        <v>613002</v>
      </c>
      <c r="B183" t="s">
        <v>176</v>
      </c>
      <c r="C183" t="s">
        <v>192</v>
      </c>
      <c r="E183" t="str">
        <f t="shared" si="25"/>
        <v>Angola</v>
      </c>
      <c r="F183" t="str">
        <f t="shared" si="26"/>
        <v>Angola</v>
      </c>
      <c r="G183" s="1">
        <v>61300</v>
      </c>
      <c r="H183" s="1">
        <v>2</v>
      </c>
      <c r="I183" s="1" t="s">
        <v>112</v>
      </c>
      <c r="J183" s="1" t="s">
        <v>56</v>
      </c>
      <c r="K183" s="1" t="s">
        <v>9</v>
      </c>
      <c r="L183" s="5">
        <v>0</v>
      </c>
      <c r="M183" s="5">
        <v>3810.48</v>
      </c>
      <c r="N183" s="5">
        <v>3810.48</v>
      </c>
    </row>
    <row r="184" spans="1:18" hidden="1" x14ac:dyDescent="0.25">
      <c r="A184" t="str">
        <f t="shared" si="19"/>
        <v>6130050</v>
      </c>
      <c r="B184" t="s">
        <v>176</v>
      </c>
      <c r="C184" t="s">
        <v>192</v>
      </c>
      <c r="E184" t="str">
        <f t="shared" si="25"/>
        <v>Pixelle</v>
      </c>
      <c r="F184" t="str">
        <f t="shared" si="26"/>
        <v>Pixelle</v>
      </c>
      <c r="G184" s="1">
        <v>61300</v>
      </c>
      <c r="H184" s="1">
        <v>50</v>
      </c>
      <c r="I184" s="1" t="s">
        <v>112</v>
      </c>
      <c r="J184" s="1" t="s">
        <v>56</v>
      </c>
      <c r="K184" s="1" t="s">
        <v>9</v>
      </c>
      <c r="L184" s="5">
        <v>0</v>
      </c>
      <c r="M184" s="216">
        <v>0</v>
      </c>
      <c r="N184" s="5">
        <v>0</v>
      </c>
    </row>
    <row r="185" spans="1:18" hidden="1" x14ac:dyDescent="0.25">
      <c r="A185" t="str">
        <f t="shared" si="19"/>
        <v>6130099</v>
      </c>
      <c r="B185" t="s">
        <v>176</v>
      </c>
      <c r="C185" s="12" t="s">
        <v>179</v>
      </c>
      <c r="E185" t="str">
        <f t="shared" si="25"/>
        <v>Hillsboro</v>
      </c>
      <c r="F185" t="str">
        <f t="shared" si="26"/>
        <v>Corp</v>
      </c>
      <c r="G185" s="1">
        <v>61300</v>
      </c>
      <c r="H185" s="1">
        <v>99</v>
      </c>
      <c r="I185" s="1" t="s">
        <v>112</v>
      </c>
      <c r="J185" s="1" t="s">
        <v>56</v>
      </c>
      <c r="K185" s="1" t="s">
        <v>9</v>
      </c>
      <c r="L185" s="5">
        <v>0</v>
      </c>
      <c r="M185" s="5">
        <v>390</v>
      </c>
      <c r="N185" s="5">
        <v>390</v>
      </c>
      <c r="P185">
        <f>VLOOKUP(A185,'[2]SORTED B VS P'!$A$82:$M$315,13,FALSE)</f>
        <v>780</v>
      </c>
      <c r="Q185">
        <f>P185/2</f>
        <v>390</v>
      </c>
      <c r="R185" s="6">
        <f>N185-Q185</f>
        <v>0</v>
      </c>
    </row>
    <row r="186" spans="1:18" hidden="1" x14ac:dyDescent="0.25">
      <c r="A186" t="str">
        <f t="shared" si="19"/>
        <v>613501</v>
      </c>
      <c r="B186" t="s">
        <v>176</v>
      </c>
      <c r="C186" t="s">
        <v>192</v>
      </c>
      <c r="E186" t="str">
        <f t="shared" si="25"/>
        <v>Hillsboro</v>
      </c>
      <c r="F186" t="str">
        <f t="shared" si="26"/>
        <v>Hillsboro</v>
      </c>
      <c r="G186" s="1">
        <v>61350</v>
      </c>
      <c r="H186" s="1">
        <v>1</v>
      </c>
      <c r="I186" s="1" t="s">
        <v>113</v>
      </c>
      <c r="J186" s="1" t="s">
        <v>56</v>
      </c>
      <c r="K186" s="1" t="s">
        <v>9</v>
      </c>
      <c r="L186" s="5">
        <v>0</v>
      </c>
      <c r="M186" s="5">
        <v>6683.9</v>
      </c>
      <c r="N186" s="5">
        <v>6683.9</v>
      </c>
    </row>
    <row r="187" spans="1:18" x14ac:dyDescent="0.25">
      <c r="A187" t="str">
        <f t="shared" si="19"/>
        <v>613502</v>
      </c>
      <c r="B187" t="s">
        <v>176</v>
      </c>
      <c r="C187" t="s">
        <v>192</v>
      </c>
      <c r="E187" t="str">
        <f t="shared" si="25"/>
        <v>Angola</v>
      </c>
      <c r="F187" t="str">
        <f t="shared" si="26"/>
        <v>Angola</v>
      </c>
      <c r="G187" s="1">
        <v>61350</v>
      </c>
      <c r="H187" s="1">
        <v>2</v>
      </c>
      <c r="I187" s="1" t="s">
        <v>113</v>
      </c>
      <c r="J187" s="1" t="s">
        <v>56</v>
      </c>
      <c r="K187" s="1" t="s">
        <v>9</v>
      </c>
      <c r="L187" s="5">
        <v>0</v>
      </c>
      <c r="M187" s="5">
        <v>7717.48</v>
      </c>
      <c r="N187" s="5">
        <v>7717.48</v>
      </c>
    </row>
    <row r="188" spans="1:18" hidden="1" x14ac:dyDescent="0.25">
      <c r="A188" t="str">
        <f t="shared" si="19"/>
        <v>6135050</v>
      </c>
      <c r="B188" t="s">
        <v>176</v>
      </c>
      <c r="C188" t="s">
        <v>192</v>
      </c>
      <c r="E188" t="str">
        <f t="shared" si="25"/>
        <v>Pixelle</v>
      </c>
      <c r="F188" t="str">
        <f t="shared" si="26"/>
        <v>Pixelle</v>
      </c>
      <c r="G188" s="1">
        <v>61350</v>
      </c>
      <c r="H188" s="1">
        <v>50</v>
      </c>
      <c r="I188" s="1" t="s">
        <v>113</v>
      </c>
      <c r="J188" s="1" t="s">
        <v>56</v>
      </c>
      <c r="K188" s="1" t="s">
        <v>9</v>
      </c>
      <c r="L188" s="5">
        <v>0</v>
      </c>
      <c r="M188" s="216">
        <v>5196.6000000000004</v>
      </c>
      <c r="N188" s="5">
        <v>5196.6000000000004</v>
      </c>
    </row>
    <row r="189" spans="1:18" hidden="1" x14ac:dyDescent="0.25">
      <c r="A189" t="str">
        <f t="shared" si="19"/>
        <v>6135099</v>
      </c>
      <c r="B189" t="s">
        <v>176</v>
      </c>
      <c r="C189" s="12" t="s">
        <v>179</v>
      </c>
      <c r="E189" t="str">
        <f t="shared" si="25"/>
        <v>Hillsboro</v>
      </c>
      <c r="F189" t="str">
        <f t="shared" si="26"/>
        <v>Corp</v>
      </c>
      <c r="G189" s="1">
        <v>61350</v>
      </c>
      <c r="H189" s="1">
        <v>99</v>
      </c>
      <c r="I189" s="1" t="s">
        <v>113</v>
      </c>
      <c r="J189" s="1" t="s">
        <v>56</v>
      </c>
      <c r="K189" s="1" t="s">
        <v>9</v>
      </c>
      <c r="L189" s="5">
        <v>0</v>
      </c>
      <c r="M189" s="5">
        <v>3712.07</v>
      </c>
      <c r="N189" s="5">
        <v>3712.07</v>
      </c>
      <c r="P189">
        <f>VLOOKUP(A189,'[2]SORTED B VS P'!$A$82:$M$315,13,FALSE)</f>
        <v>12249.58</v>
      </c>
      <c r="Q189">
        <f>P189/2</f>
        <v>6124.79</v>
      </c>
      <c r="R189" s="6">
        <f>N189-Q189</f>
        <v>-2412.7199999999998</v>
      </c>
    </row>
    <row r="190" spans="1:18" hidden="1" x14ac:dyDescent="0.25">
      <c r="A190" t="str">
        <f t="shared" si="19"/>
        <v>613701</v>
      </c>
      <c r="B190" t="s">
        <v>176</v>
      </c>
      <c r="C190" t="s">
        <v>192</v>
      </c>
      <c r="E190" t="str">
        <f t="shared" si="25"/>
        <v>Hillsboro</v>
      </c>
      <c r="F190" t="str">
        <f t="shared" si="26"/>
        <v>Hillsboro</v>
      </c>
      <c r="G190" s="1">
        <v>61370</v>
      </c>
      <c r="H190" s="1">
        <v>1</v>
      </c>
      <c r="I190" s="1" t="s">
        <v>114</v>
      </c>
      <c r="J190" s="1" t="s">
        <v>56</v>
      </c>
      <c r="K190" s="1" t="s">
        <v>9</v>
      </c>
      <c r="L190" s="5">
        <v>0</v>
      </c>
      <c r="M190" s="5">
        <v>114624.78</v>
      </c>
      <c r="N190" s="5">
        <v>114624.78</v>
      </c>
    </row>
    <row r="191" spans="1:18" x14ac:dyDescent="0.25">
      <c r="A191" t="str">
        <f t="shared" si="19"/>
        <v>613702</v>
      </c>
      <c r="B191" t="s">
        <v>176</v>
      </c>
      <c r="C191" t="s">
        <v>192</v>
      </c>
      <c r="E191" t="str">
        <f t="shared" si="25"/>
        <v>Angola</v>
      </c>
      <c r="F191" t="str">
        <f t="shared" si="26"/>
        <v>Angola</v>
      </c>
      <c r="G191" s="1">
        <v>61370</v>
      </c>
      <c r="H191" s="1">
        <v>2</v>
      </c>
      <c r="I191" s="1" t="s">
        <v>114</v>
      </c>
      <c r="J191" s="1" t="s">
        <v>56</v>
      </c>
      <c r="K191" s="1" t="s">
        <v>9</v>
      </c>
      <c r="L191" s="5">
        <v>0</v>
      </c>
      <c r="M191" s="5">
        <v>90144.1</v>
      </c>
      <c r="N191" s="5">
        <v>90144.1</v>
      </c>
    </row>
    <row r="192" spans="1:18" hidden="1" x14ac:dyDescent="0.25">
      <c r="A192" t="str">
        <f t="shared" si="19"/>
        <v>6137050</v>
      </c>
      <c r="B192" t="s">
        <v>176</v>
      </c>
      <c r="C192" t="s">
        <v>192</v>
      </c>
      <c r="E192" t="str">
        <f t="shared" si="25"/>
        <v>Pixelle</v>
      </c>
      <c r="F192" t="str">
        <f t="shared" si="26"/>
        <v>Pixelle</v>
      </c>
      <c r="G192" s="1">
        <v>61370</v>
      </c>
      <c r="H192" s="1">
        <v>50</v>
      </c>
      <c r="I192" s="1" t="s">
        <v>114</v>
      </c>
      <c r="J192" s="1" t="s">
        <v>56</v>
      </c>
      <c r="K192" s="1" t="s">
        <v>9</v>
      </c>
      <c r="L192" s="5">
        <v>0</v>
      </c>
      <c r="M192" s="216">
        <v>77692.61</v>
      </c>
      <c r="N192" s="5">
        <v>77692.61</v>
      </c>
    </row>
    <row r="193" spans="1:18" hidden="1" x14ac:dyDescent="0.25">
      <c r="A193" t="str">
        <f t="shared" si="19"/>
        <v>6137099</v>
      </c>
      <c r="B193" t="s">
        <v>176</v>
      </c>
      <c r="C193" s="12" t="s">
        <v>179</v>
      </c>
      <c r="E193" t="str">
        <f t="shared" si="25"/>
        <v>Hillsboro</v>
      </c>
      <c r="F193" t="str">
        <f t="shared" si="26"/>
        <v>Corp</v>
      </c>
      <c r="G193" s="1">
        <v>61370</v>
      </c>
      <c r="H193" s="1">
        <v>99</v>
      </c>
      <c r="I193" s="1" t="s">
        <v>114</v>
      </c>
      <c r="J193" s="1" t="s">
        <v>56</v>
      </c>
      <c r="K193" s="1" t="s">
        <v>9</v>
      </c>
      <c r="L193" s="5">
        <v>0</v>
      </c>
      <c r="M193" s="5">
        <v>16819.45</v>
      </c>
      <c r="N193" s="5">
        <v>16819.45</v>
      </c>
      <c r="P193">
        <f>VLOOKUP(A193,'[2]SORTED B VS P'!$A$82:$M$315,13,FALSE)</f>
        <v>30253.87</v>
      </c>
      <c r="Q193">
        <f t="shared" ref="Q193:Q194" si="27">P193/2</f>
        <v>15126.934999999999</v>
      </c>
      <c r="R193" s="6">
        <f t="shared" ref="R193:R194" si="28">N193-Q193</f>
        <v>1692.5150000000012</v>
      </c>
    </row>
    <row r="194" spans="1:18" hidden="1" x14ac:dyDescent="0.25">
      <c r="A194" t="str">
        <f t="shared" si="19"/>
        <v>6140099</v>
      </c>
      <c r="B194" t="s">
        <v>176</v>
      </c>
      <c r="C194" t="s">
        <v>179</v>
      </c>
      <c r="E194" t="str">
        <f t="shared" si="25"/>
        <v>Hillsboro</v>
      </c>
      <c r="F194" t="str">
        <f t="shared" si="26"/>
        <v>Corp</v>
      </c>
      <c r="G194" s="1">
        <v>61400</v>
      </c>
      <c r="H194" s="1">
        <v>99</v>
      </c>
      <c r="I194" s="1" t="s">
        <v>115</v>
      </c>
      <c r="J194" s="1" t="s">
        <v>56</v>
      </c>
      <c r="K194" s="1" t="s">
        <v>9</v>
      </c>
      <c r="L194" s="5">
        <v>0</v>
      </c>
      <c r="M194" s="5">
        <v>10982.55</v>
      </c>
      <c r="N194" s="5">
        <v>10982.55</v>
      </c>
      <c r="P194">
        <f>VLOOKUP(A194,'[2]SORTED B VS P'!$A$82:$M$315,13,FALSE)</f>
        <v>21535.95</v>
      </c>
      <c r="Q194">
        <f t="shared" si="27"/>
        <v>10767.975</v>
      </c>
      <c r="R194" s="6">
        <f t="shared" si="28"/>
        <v>214.57499999999891</v>
      </c>
    </row>
    <row r="195" spans="1:18" hidden="1" x14ac:dyDescent="0.25">
      <c r="A195" t="str">
        <f t="shared" si="19"/>
        <v>621001</v>
      </c>
      <c r="B195" t="s">
        <v>176</v>
      </c>
      <c r="C195" t="s">
        <v>191</v>
      </c>
      <c r="E195" t="str">
        <f t="shared" si="25"/>
        <v>Hillsboro</v>
      </c>
      <c r="F195" t="str">
        <f t="shared" si="26"/>
        <v>Hillsboro</v>
      </c>
      <c r="G195" s="1">
        <v>62100</v>
      </c>
      <c r="H195" s="1">
        <v>1</v>
      </c>
      <c r="I195" s="1" t="s">
        <v>116</v>
      </c>
      <c r="J195" s="1" t="s">
        <v>56</v>
      </c>
      <c r="K195" s="1" t="s">
        <v>9</v>
      </c>
      <c r="L195" s="5">
        <v>0</v>
      </c>
      <c r="M195" s="5">
        <v>39273.300000000003</v>
      </c>
      <c r="N195" s="5">
        <v>39273.300000000003</v>
      </c>
    </row>
    <row r="196" spans="1:18" x14ac:dyDescent="0.25">
      <c r="A196" t="str">
        <f t="shared" si="19"/>
        <v>621002</v>
      </c>
      <c r="B196" t="s">
        <v>176</v>
      </c>
      <c r="C196" t="s">
        <v>191</v>
      </c>
      <c r="E196" t="str">
        <f t="shared" si="25"/>
        <v>Angola</v>
      </c>
      <c r="F196" t="str">
        <f t="shared" si="26"/>
        <v>Angola</v>
      </c>
      <c r="G196" s="1">
        <v>62100</v>
      </c>
      <c r="H196" s="1">
        <v>2</v>
      </c>
      <c r="I196" s="1" t="s">
        <v>116</v>
      </c>
      <c r="J196" s="1" t="s">
        <v>56</v>
      </c>
      <c r="K196" s="1" t="s">
        <v>9</v>
      </c>
      <c r="L196" s="5">
        <v>0</v>
      </c>
      <c r="M196" s="5">
        <v>30196.14</v>
      </c>
      <c r="N196" s="5">
        <v>30196.14</v>
      </c>
    </row>
    <row r="197" spans="1:18" hidden="1" x14ac:dyDescent="0.25">
      <c r="A197" t="str">
        <f t="shared" ref="A197:A260" si="29">G197&amp;H197</f>
        <v>6210050</v>
      </c>
      <c r="B197" t="s">
        <v>176</v>
      </c>
      <c r="C197" t="s">
        <v>191</v>
      </c>
      <c r="E197" t="str">
        <f t="shared" si="25"/>
        <v>Pixelle</v>
      </c>
      <c r="F197" t="str">
        <f t="shared" si="26"/>
        <v>Pixelle</v>
      </c>
      <c r="G197" s="1">
        <v>62100</v>
      </c>
      <c r="H197" s="1">
        <v>50</v>
      </c>
      <c r="I197" s="1" t="s">
        <v>116</v>
      </c>
      <c r="J197" s="1" t="s">
        <v>56</v>
      </c>
      <c r="K197" s="1" t="s">
        <v>9</v>
      </c>
      <c r="L197" s="5">
        <v>0</v>
      </c>
      <c r="M197" s="5">
        <v>3133.38</v>
      </c>
      <c r="N197" s="5">
        <v>3133.38</v>
      </c>
    </row>
    <row r="198" spans="1:18" hidden="1" x14ac:dyDescent="0.25">
      <c r="A198" t="str">
        <f t="shared" si="29"/>
        <v>622001</v>
      </c>
      <c r="B198" t="s">
        <v>176</v>
      </c>
      <c r="C198" s="8" t="s">
        <v>179</v>
      </c>
      <c r="D198" s="8"/>
      <c r="E198" s="8" t="str">
        <f t="shared" si="25"/>
        <v>Hillsboro</v>
      </c>
      <c r="F198" s="8" t="str">
        <f>IF(H198=1,"Hillsboro",IF(H198=2,"Angola",IF(H198=9,"Corp",IF(H198=99,"Corp",IF(H198=50,"Pixelle","???")))))</f>
        <v>Hillsboro</v>
      </c>
      <c r="G198" s="1">
        <v>62200</v>
      </c>
      <c r="H198" s="1">
        <v>1</v>
      </c>
      <c r="I198" s="1" t="s">
        <v>117</v>
      </c>
      <c r="J198" s="1" t="s">
        <v>56</v>
      </c>
      <c r="K198" s="1" t="s">
        <v>9</v>
      </c>
      <c r="L198" s="5">
        <v>0</v>
      </c>
      <c r="M198" s="5">
        <v>6249.96</v>
      </c>
      <c r="N198" s="5">
        <v>6249.96</v>
      </c>
      <c r="P198">
        <f>VLOOKUP(A198,'[2]SORTED B VS P'!$A$82:$M$315,13,FALSE)</f>
        <v>12500</v>
      </c>
      <c r="Q198">
        <f t="shared" ref="Q198:Q199" si="30">P198/2</f>
        <v>6250</v>
      </c>
      <c r="R198" s="6">
        <f t="shared" ref="R198:R199" si="31">N198-Q198</f>
        <v>-3.999999999996362E-2</v>
      </c>
    </row>
    <row r="199" spans="1:18" hidden="1" x14ac:dyDescent="0.25">
      <c r="A199" t="str">
        <f t="shared" si="29"/>
        <v>630001</v>
      </c>
      <c r="B199" t="s">
        <v>176</v>
      </c>
      <c r="C199" s="8" t="s">
        <v>179</v>
      </c>
      <c r="D199" s="8"/>
      <c r="E199" s="8" t="str">
        <f t="shared" si="25"/>
        <v>Hillsboro</v>
      </c>
      <c r="F199" s="8" t="str">
        <f>IF(H199=1,"Hillsboro",IF(H199=2,"Angola",IF(H199=9,"Corp",IF(H199=99,"Corp",IF(H199=50,"Pixelle","???")))))</f>
        <v>Hillsboro</v>
      </c>
      <c r="G199" s="1">
        <v>63000</v>
      </c>
      <c r="H199" s="1">
        <v>1</v>
      </c>
      <c r="I199" s="1" t="s">
        <v>118</v>
      </c>
      <c r="J199" s="1" t="s">
        <v>56</v>
      </c>
      <c r="K199" s="1" t="s">
        <v>9</v>
      </c>
      <c r="L199" s="5">
        <v>0</v>
      </c>
      <c r="M199" s="5">
        <v>15675.72</v>
      </c>
      <c r="N199" s="5">
        <v>15675.72</v>
      </c>
      <c r="P199">
        <f>VLOOKUP(A199,'[2]SORTED B VS P'!$A$82:$M$315,13,FALSE)</f>
        <v>38051.949999999997</v>
      </c>
      <c r="Q199">
        <f t="shared" si="30"/>
        <v>19025.974999999999</v>
      </c>
      <c r="R199" s="6">
        <f t="shared" si="31"/>
        <v>-3350.2549999999992</v>
      </c>
    </row>
    <row r="200" spans="1:18" x14ac:dyDescent="0.25">
      <c r="A200" t="str">
        <f t="shared" si="29"/>
        <v>630002</v>
      </c>
      <c r="B200" t="s">
        <v>176</v>
      </c>
      <c r="C200" s="8" t="s">
        <v>179</v>
      </c>
      <c r="D200" s="8"/>
      <c r="E200" s="8" t="str">
        <f t="shared" si="25"/>
        <v>Angola</v>
      </c>
      <c r="F200" s="8" t="str">
        <f t="shared" si="26"/>
        <v>Angola</v>
      </c>
      <c r="G200" s="1">
        <v>63000</v>
      </c>
      <c r="H200" s="1">
        <v>2</v>
      </c>
      <c r="I200" s="1" t="s">
        <v>118</v>
      </c>
      <c r="J200" s="1" t="s">
        <v>56</v>
      </c>
      <c r="K200" s="1" t="s">
        <v>9</v>
      </c>
      <c r="L200" s="5">
        <v>0</v>
      </c>
      <c r="M200" s="5">
        <v>1563.66</v>
      </c>
      <c r="N200" s="5">
        <v>1563.66</v>
      </c>
    </row>
    <row r="201" spans="1:18" hidden="1" x14ac:dyDescent="0.25">
      <c r="A201" t="str">
        <f t="shared" si="29"/>
        <v>6300050</v>
      </c>
      <c r="B201" t="s">
        <v>176</v>
      </c>
      <c r="C201" s="8" t="s">
        <v>179</v>
      </c>
      <c r="D201" s="8"/>
      <c r="E201" s="8" t="str">
        <f t="shared" si="25"/>
        <v>Pixelle</v>
      </c>
      <c r="F201" s="8" t="str">
        <f t="shared" si="26"/>
        <v>Pixelle</v>
      </c>
      <c r="G201" s="1">
        <v>63000</v>
      </c>
      <c r="H201" s="1">
        <v>50</v>
      </c>
      <c r="I201" s="1" t="s">
        <v>118</v>
      </c>
      <c r="J201" s="1" t="s">
        <v>56</v>
      </c>
      <c r="K201" s="1" t="s">
        <v>9</v>
      </c>
      <c r="L201" s="5">
        <v>0</v>
      </c>
      <c r="M201" s="5">
        <v>4553.5200000000004</v>
      </c>
      <c r="N201" s="5">
        <v>4553.5200000000004</v>
      </c>
    </row>
    <row r="202" spans="1:18" hidden="1" x14ac:dyDescent="0.25">
      <c r="A202" t="str">
        <f t="shared" si="29"/>
        <v>632001</v>
      </c>
      <c r="B202" t="s">
        <v>176</v>
      </c>
      <c r="C202" t="s">
        <v>191</v>
      </c>
      <c r="E202" t="str">
        <f t="shared" si="25"/>
        <v>Hillsboro</v>
      </c>
      <c r="F202" t="str">
        <f t="shared" si="26"/>
        <v>Hillsboro</v>
      </c>
      <c r="G202" s="1">
        <v>63200</v>
      </c>
      <c r="H202" s="1">
        <v>1</v>
      </c>
      <c r="I202" s="1" t="s">
        <v>119</v>
      </c>
      <c r="J202" s="1" t="s">
        <v>56</v>
      </c>
      <c r="K202" s="1" t="s">
        <v>9</v>
      </c>
      <c r="L202" s="5">
        <v>0</v>
      </c>
      <c r="M202" s="5">
        <v>2192.58</v>
      </c>
      <c r="N202" s="5">
        <v>2192.58</v>
      </c>
    </row>
    <row r="203" spans="1:18" hidden="1" x14ac:dyDescent="0.25">
      <c r="A203" t="str">
        <f t="shared" si="29"/>
        <v>640001</v>
      </c>
      <c r="B203" t="s">
        <v>176</v>
      </c>
      <c r="C203" s="8" t="s">
        <v>179</v>
      </c>
      <c r="D203" s="8"/>
      <c r="E203" s="8" t="str">
        <f t="shared" si="25"/>
        <v>Hillsboro</v>
      </c>
      <c r="F203" s="8" t="str">
        <f t="shared" si="26"/>
        <v>Hillsboro</v>
      </c>
      <c r="G203" s="1">
        <v>64000</v>
      </c>
      <c r="H203" s="1">
        <v>1</v>
      </c>
      <c r="I203" s="1" t="s">
        <v>120</v>
      </c>
      <c r="J203" s="1" t="s">
        <v>56</v>
      </c>
      <c r="K203" s="1" t="s">
        <v>9</v>
      </c>
      <c r="L203" s="5">
        <v>0</v>
      </c>
      <c r="M203" s="5">
        <v>2359.14</v>
      </c>
      <c r="N203" s="5">
        <v>2359.14</v>
      </c>
      <c r="P203">
        <f>VLOOKUP(A203,'[2]SORTED B VS P'!$A$82:$M$315,13,FALSE)</f>
        <v>4718.33</v>
      </c>
      <c r="Q203">
        <f>P203/2</f>
        <v>2359.165</v>
      </c>
      <c r="R203" s="6">
        <f>N203-Q203</f>
        <v>-2.5000000000090949E-2</v>
      </c>
    </row>
    <row r="204" spans="1:18" x14ac:dyDescent="0.25">
      <c r="A204" t="str">
        <f t="shared" si="29"/>
        <v>640002</v>
      </c>
      <c r="B204" t="s">
        <v>176</v>
      </c>
      <c r="C204" s="8" t="s">
        <v>179</v>
      </c>
      <c r="D204" s="8"/>
      <c r="E204" s="8" t="str">
        <f t="shared" si="25"/>
        <v>Angola</v>
      </c>
      <c r="F204" s="8" t="str">
        <f t="shared" si="26"/>
        <v>Angola</v>
      </c>
      <c r="G204" s="1">
        <v>64000</v>
      </c>
      <c r="H204" s="1">
        <v>2</v>
      </c>
      <c r="I204" s="1" t="s">
        <v>120</v>
      </c>
      <c r="J204" s="1" t="s">
        <v>56</v>
      </c>
      <c r="K204" s="1" t="s">
        <v>9</v>
      </c>
      <c r="L204" s="5">
        <v>0</v>
      </c>
      <c r="M204" s="5">
        <v>1393.38</v>
      </c>
      <c r="N204" s="5">
        <v>1393.38</v>
      </c>
    </row>
    <row r="205" spans="1:18" hidden="1" x14ac:dyDescent="0.25">
      <c r="A205" t="str">
        <f t="shared" si="29"/>
        <v>650001</v>
      </c>
      <c r="B205" t="s">
        <v>176</v>
      </c>
      <c r="C205" t="s">
        <v>191</v>
      </c>
      <c r="E205" t="str">
        <f t="shared" si="25"/>
        <v>Hillsboro</v>
      </c>
      <c r="F205" t="str">
        <f t="shared" si="26"/>
        <v>Hillsboro</v>
      </c>
      <c r="G205" s="1">
        <v>65000</v>
      </c>
      <c r="H205" s="1">
        <v>1</v>
      </c>
      <c r="I205" s="1" t="s">
        <v>121</v>
      </c>
      <c r="J205" s="1" t="s">
        <v>56</v>
      </c>
      <c r="K205" s="1" t="s">
        <v>9</v>
      </c>
      <c r="L205" s="5">
        <v>0</v>
      </c>
      <c r="M205" s="5">
        <v>75616.62</v>
      </c>
      <c r="N205" s="5">
        <v>75616.62</v>
      </c>
    </row>
    <row r="206" spans="1:18" x14ac:dyDescent="0.25">
      <c r="A206" t="str">
        <f t="shared" si="29"/>
        <v>650002</v>
      </c>
      <c r="B206" t="s">
        <v>176</v>
      </c>
      <c r="C206" s="47" t="s">
        <v>191</v>
      </c>
      <c r="D206" s="47"/>
      <c r="E206" s="47" t="str">
        <f t="shared" si="25"/>
        <v>Angola</v>
      </c>
      <c r="F206" s="47" t="str">
        <f t="shared" si="26"/>
        <v>Angola</v>
      </c>
      <c r="G206" s="13">
        <v>65000</v>
      </c>
      <c r="H206" s="13">
        <v>2</v>
      </c>
      <c r="I206" s="13" t="s">
        <v>121</v>
      </c>
      <c r="J206" s="13" t="s">
        <v>56</v>
      </c>
      <c r="K206" s="13" t="s">
        <v>9</v>
      </c>
      <c r="L206" s="163">
        <v>0</v>
      </c>
      <c r="M206" s="163">
        <v>61340.06</v>
      </c>
      <c r="N206" s="163">
        <v>61340.06</v>
      </c>
    </row>
    <row r="207" spans="1:18" hidden="1" x14ac:dyDescent="0.25">
      <c r="A207" t="str">
        <f t="shared" si="29"/>
        <v>6500050</v>
      </c>
      <c r="B207" t="s">
        <v>176</v>
      </c>
      <c r="C207" t="s">
        <v>191</v>
      </c>
      <c r="E207" t="str">
        <f t="shared" si="25"/>
        <v>Pixelle</v>
      </c>
      <c r="F207" t="str">
        <f t="shared" si="26"/>
        <v>Pixelle</v>
      </c>
      <c r="G207" s="1">
        <v>65000</v>
      </c>
      <c r="H207" s="1">
        <v>50</v>
      </c>
      <c r="I207" s="1" t="s">
        <v>121</v>
      </c>
      <c r="J207" s="1" t="s">
        <v>56</v>
      </c>
      <c r="K207" s="1" t="s">
        <v>9</v>
      </c>
      <c r="L207" s="5">
        <v>0</v>
      </c>
      <c r="M207" s="5">
        <v>20148.8</v>
      </c>
      <c r="N207" s="5">
        <v>20148.8</v>
      </c>
    </row>
    <row r="208" spans="1:18" hidden="1" x14ac:dyDescent="0.25">
      <c r="A208" t="str">
        <f t="shared" si="29"/>
        <v>6600099</v>
      </c>
      <c r="B208" t="s">
        <v>176</v>
      </c>
      <c r="C208" t="s">
        <v>194</v>
      </c>
      <c r="E208" t="str">
        <f t="shared" si="25"/>
        <v>Hillsboro</v>
      </c>
      <c r="F208" t="str">
        <f t="shared" si="26"/>
        <v>Corp</v>
      </c>
      <c r="G208" s="1">
        <v>66000</v>
      </c>
      <c r="H208" s="1">
        <v>99</v>
      </c>
      <c r="I208" s="1" t="s">
        <v>122</v>
      </c>
      <c r="J208" s="1" t="s">
        <v>56</v>
      </c>
      <c r="K208" s="1" t="s">
        <v>9</v>
      </c>
      <c r="L208" s="5">
        <v>0</v>
      </c>
      <c r="M208" s="5">
        <v>1531.79</v>
      </c>
      <c r="N208" s="5">
        <v>1531.79</v>
      </c>
    </row>
    <row r="209" spans="1:18" hidden="1" x14ac:dyDescent="0.25">
      <c r="A209" t="str">
        <f t="shared" si="29"/>
        <v>6610099</v>
      </c>
      <c r="B209" t="s">
        <v>176</v>
      </c>
      <c r="C209" t="s">
        <v>194</v>
      </c>
      <c r="E209" s="51" t="str">
        <f t="shared" si="25"/>
        <v>Hillsboro</v>
      </c>
      <c r="F209" s="51" t="str">
        <f t="shared" si="26"/>
        <v>Corp</v>
      </c>
      <c r="G209" s="99">
        <v>66100</v>
      </c>
      <c r="H209" s="99">
        <v>99</v>
      </c>
      <c r="I209" s="99" t="s">
        <v>123</v>
      </c>
      <c r="J209" s="99" t="s">
        <v>56</v>
      </c>
      <c r="K209" s="99" t="s">
        <v>9</v>
      </c>
      <c r="L209" s="100">
        <v>0</v>
      </c>
      <c r="M209" s="100">
        <v>0</v>
      </c>
      <c r="N209" s="100">
        <v>0</v>
      </c>
    </row>
    <row r="210" spans="1:18" hidden="1" x14ac:dyDescent="0.25">
      <c r="A210" t="str">
        <f t="shared" si="29"/>
        <v>662009</v>
      </c>
      <c r="B210" t="s">
        <v>176</v>
      </c>
      <c r="C210" t="s">
        <v>179</v>
      </c>
      <c r="E210" t="str">
        <f t="shared" si="25"/>
        <v>Hillsboro</v>
      </c>
      <c r="F210" t="str">
        <f t="shared" si="26"/>
        <v>Corp</v>
      </c>
      <c r="G210" s="1">
        <v>66200</v>
      </c>
      <c r="H210" s="1">
        <v>9</v>
      </c>
      <c r="I210" s="1" t="s">
        <v>124</v>
      </c>
      <c r="J210" s="1" t="s">
        <v>56</v>
      </c>
      <c r="K210" s="1" t="s">
        <v>9</v>
      </c>
      <c r="L210" s="5">
        <v>0</v>
      </c>
      <c r="M210" s="5">
        <v>0</v>
      </c>
      <c r="N210" s="5">
        <v>0</v>
      </c>
      <c r="P210" t="e">
        <f>VLOOKUP(A210,'[2]SORTED B VS P'!$A$82:$M$315,13,FALSE)</f>
        <v>#N/A</v>
      </c>
      <c r="Q210" t="e">
        <f t="shared" ref="Q210:Q213" si="32">P210/2</f>
        <v>#N/A</v>
      </c>
      <c r="R210" s="6" t="e">
        <f t="shared" ref="R210:R213" si="33">N210-Q210</f>
        <v>#N/A</v>
      </c>
    </row>
    <row r="211" spans="1:18" hidden="1" x14ac:dyDescent="0.25">
      <c r="A211" t="str">
        <f t="shared" si="29"/>
        <v>6620099</v>
      </c>
      <c r="B211" t="s">
        <v>176</v>
      </c>
      <c r="C211" t="s">
        <v>179</v>
      </c>
      <c r="E211" t="str">
        <f t="shared" si="25"/>
        <v>Hillsboro</v>
      </c>
      <c r="F211" t="str">
        <f t="shared" si="26"/>
        <v>Corp</v>
      </c>
      <c r="G211" s="1">
        <v>66200</v>
      </c>
      <c r="H211" s="1">
        <v>99</v>
      </c>
      <c r="I211" s="1" t="s">
        <v>124</v>
      </c>
      <c r="J211" s="1" t="s">
        <v>56</v>
      </c>
      <c r="K211" s="1" t="s">
        <v>9</v>
      </c>
      <c r="L211" s="5">
        <v>0</v>
      </c>
      <c r="M211" s="5">
        <v>7990.61</v>
      </c>
      <c r="N211" s="5">
        <v>7990.61</v>
      </c>
      <c r="P211">
        <f>VLOOKUP(A211,'[2]SORTED B VS P'!$A$82:$M$315,13,FALSE)</f>
        <v>15895.29</v>
      </c>
      <c r="Q211">
        <f t="shared" si="32"/>
        <v>7947.6450000000004</v>
      </c>
      <c r="R211" s="6">
        <f t="shared" si="33"/>
        <v>42.964999999999236</v>
      </c>
    </row>
    <row r="212" spans="1:18" hidden="1" x14ac:dyDescent="0.25">
      <c r="A212" t="str">
        <f t="shared" si="29"/>
        <v>6624099</v>
      </c>
      <c r="B212" t="s">
        <v>176</v>
      </c>
      <c r="C212" t="s">
        <v>179</v>
      </c>
      <c r="E212" s="51" t="str">
        <f t="shared" si="25"/>
        <v>Hillsboro</v>
      </c>
      <c r="F212" s="51" t="str">
        <f t="shared" si="26"/>
        <v>Corp</v>
      </c>
      <c r="G212" s="99">
        <v>66240</v>
      </c>
      <c r="H212" s="99">
        <v>99</v>
      </c>
      <c r="I212" s="99" t="s">
        <v>125</v>
      </c>
      <c r="J212" s="99" t="s">
        <v>56</v>
      </c>
      <c r="K212" s="99" t="s">
        <v>125</v>
      </c>
      <c r="L212" s="100">
        <v>0</v>
      </c>
      <c r="M212" s="100">
        <v>17884.740000000002</v>
      </c>
      <c r="N212" s="5">
        <v>17884.740000000002</v>
      </c>
      <c r="P212">
        <f>VLOOKUP(A212,'[2]SORTED B VS P'!$A$82:$M$315,13,FALSE)</f>
        <v>27407.83</v>
      </c>
      <c r="Q212">
        <f t="shared" si="32"/>
        <v>13703.915000000001</v>
      </c>
      <c r="R212" s="6">
        <f t="shared" si="33"/>
        <v>4180.8250000000007</v>
      </c>
    </row>
    <row r="213" spans="1:18" hidden="1" x14ac:dyDescent="0.25">
      <c r="A213" t="str">
        <f t="shared" si="29"/>
        <v>663001</v>
      </c>
      <c r="B213" t="s">
        <v>176</v>
      </c>
      <c r="C213" t="s">
        <v>179</v>
      </c>
      <c r="E213" t="str">
        <f t="shared" si="25"/>
        <v>Hillsboro</v>
      </c>
      <c r="F213" t="str">
        <f t="shared" si="26"/>
        <v>Hillsboro</v>
      </c>
      <c r="G213" s="1">
        <v>66300</v>
      </c>
      <c r="H213" s="1">
        <v>1</v>
      </c>
      <c r="I213" s="1" t="s">
        <v>126</v>
      </c>
      <c r="J213" s="1" t="s">
        <v>56</v>
      </c>
      <c r="K213" s="1" t="s">
        <v>9</v>
      </c>
      <c r="L213" s="5">
        <v>0</v>
      </c>
      <c r="M213" s="5">
        <v>8564.49</v>
      </c>
      <c r="N213" s="5">
        <v>8564.49</v>
      </c>
      <c r="P213">
        <f>VLOOKUP(A213,'[2]SORTED B VS P'!$A$82:$M$315,13,FALSE)</f>
        <v>11302.53</v>
      </c>
      <c r="Q213">
        <f t="shared" si="32"/>
        <v>5651.2650000000003</v>
      </c>
      <c r="R213" s="6">
        <f t="shared" si="33"/>
        <v>2913.2249999999995</v>
      </c>
    </row>
    <row r="214" spans="1:18" x14ac:dyDescent="0.25">
      <c r="A214" t="str">
        <f t="shared" si="29"/>
        <v>663002</v>
      </c>
      <c r="B214" t="s">
        <v>176</v>
      </c>
      <c r="C214" s="47" t="s">
        <v>179</v>
      </c>
      <c r="D214" s="47"/>
      <c r="E214" s="47" t="str">
        <f t="shared" si="25"/>
        <v>Angola</v>
      </c>
      <c r="F214" s="47" t="str">
        <f t="shared" si="26"/>
        <v>Angola</v>
      </c>
      <c r="G214" s="13">
        <v>66300</v>
      </c>
      <c r="H214" s="13">
        <v>2</v>
      </c>
      <c r="I214" s="13" t="s">
        <v>126</v>
      </c>
      <c r="J214" s="13" t="s">
        <v>56</v>
      </c>
      <c r="K214" s="13" t="s">
        <v>9</v>
      </c>
      <c r="L214" s="163">
        <v>0</v>
      </c>
      <c r="M214" s="163">
        <v>5788.65</v>
      </c>
      <c r="N214" s="163">
        <v>5788.65</v>
      </c>
    </row>
    <row r="215" spans="1:18" hidden="1" x14ac:dyDescent="0.25">
      <c r="A215" t="str">
        <f t="shared" si="29"/>
        <v>6630050</v>
      </c>
      <c r="B215" t="s">
        <v>176</v>
      </c>
      <c r="C215" t="s">
        <v>179</v>
      </c>
      <c r="E215" t="str">
        <f t="shared" si="25"/>
        <v>Pixelle</v>
      </c>
      <c r="F215" t="str">
        <f t="shared" si="26"/>
        <v>Pixelle</v>
      </c>
      <c r="G215" s="1">
        <v>66300</v>
      </c>
      <c r="H215" s="1">
        <v>50</v>
      </c>
      <c r="I215" s="1" t="s">
        <v>126</v>
      </c>
      <c r="J215" s="1" t="s">
        <v>56</v>
      </c>
      <c r="K215" s="1" t="s">
        <v>9</v>
      </c>
      <c r="L215" s="5">
        <v>0</v>
      </c>
      <c r="M215" s="5">
        <v>1555.09</v>
      </c>
      <c r="N215" s="5">
        <v>1555.09</v>
      </c>
    </row>
    <row r="216" spans="1:18" hidden="1" x14ac:dyDescent="0.25">
      <c r="A216" t="str">
        <f t="shared" si="29"/>
        <v>6630099</v>
      </c>
      <c r="B216" t="s">
        <v>176</v>
      </c>
      <c r="C216" t="s">
        <v>179</v>
      </c>
      <c r="E216" t="str">
        <f t="shared" si="25"/>
        <v>Hillsboro</v>
      </c>
      <c r="F216" t="str">
        <f t="shared" si="26"/>
        <v>Corp</v>
      </c>
      <c r="G216" s="1">
        <v>66300</v>
      </c>
      <c r="H216" s="1">
        <v>99</v>
      </c>
      <c r="I216" s="1" t="s">
        <v>126</v>
      </c>
      <c r="J216" s="1" t="s">
        <v>56</v>
      </c>
      <c r="K216" s="1" t="s">
        <v>9</v>
      </c>
      <c r="L216" s="5">
        <v>0</v>
      </c>
      <c r="M216" s="5">
        <v>0</v>
      </c>
      <c r="N216" s="5">
        <v>0</v>
      </c>
      <c r="P216" t="e">
        <f>VLOOKUP(A216,'[2]SORTED B VS P'!$A$82:$M$315,13,FALSE)</f>
        <v>#N/A</v>
      </c>
      <c r="Q216" t="e">
        <f t="shared" ref="Q216:Q217" si="34">P216/2</f>
        <v>#N/A</v>
      </c>
      <c r="R216" s="6" t="e">
        <f t="shared" ref="R216:R217" si="35">N216-Q216</f>
        <v>#N/A</v>
      </c>
    </row>
    <row r="217" spans="1:18" hidden="1" x14ac:dyDescent="0.25">
      <c r="A217" t="str">
        <f t="shared" si="29"/>
        <v>6640099</v>
      </c>
      <c r="B217" t="s">
        <v>176</v>
      </c>
      <c r="C217" t="s">
        <v>179</v>
      </c>
      <c r="E217" t="str">
        <f t="shared" si="25"/>
        <v>Hillsboro</v>
      </c>
      <c r="F217" t="str">
        <f t="shared" si="26"/>
        <v>Corp</v>
      </c>
      <c r="G217" s="1">
        <v>66400</v>
      </c>
      <c r="H217" s="1">
        <v>99</v>
      </c>
      <c r="I217" s="1" t="s">
        <v>127</v>
      </c>
      <c r="J217" s="1" t="s">
        <v>56</v>
      </c>
      <c r="K217" s="1" t="s">
        <v>9</v>
      </c>
      <c r="L217" s="5">
        <v>0</v>
      </c>
      <c r="M217" s="5">
        <v>0</v>
      </c>
      <c r="N217" s="5">
        <v>0</v>
      </c>
      <c r="P217" t="e">
        <f>VLOOKUP(A217,'[2]SORTED B VS P'!$A$82:$M$315,13,FALSE)</f>
        <v>#N/A</v>
      </c>
      <c r="Q217" t="e">
        <f t="shared" si="34"/>
        <v>#N/A</v>
      </c>
      <c r="R217" s="6" t="e">
        <f t="shared" si="35"/>
        <v>#N/A</v>
      </c>
    </row>
    <row r="218" spans="1:18" hidden="1" x14ac:dyDescent="0.25">
      <c r="A218" t="str">
        <f t="shared" si="29"/>
        <v>665001</v>
      </c>
      <c r="B218" t="s">
        <v>176</v>
      </c>
      <c r="C218" t="s">
        <v>194</v>
      </c>
      <c r="E218" t="str">
        <f t="shared" si="25"/>
        <v>Hillsboro</v>
      </c>
      <c r="F218" t="str">
        <f t="shared" si="26"/>
        <v>Hillsboro</v>
      </c>
      <c r="G218" s="1">
        <v>66500</v>
      </c>
      <c r="H218" s="1">
        <v>1</v>
      </c>
      <c r="I218" s="1" t="s">
        <v>128</v>
      </c>
      <c r="J218" s="1" t="s">
        <v>56</v>
      </c>
      <c r="K218" s="1" t="s">
        <v>9</v>
      </c>
      <c r="L218" s="5">
        <v>0</v>
      </c>
      <c r="M218" s="5">
        <v>91.2</v>
      </c>
      <c r="N218" s="5">
        <v>91.2</v>
      </c>
    </row>
    <row r="219" spans="1:18" x14ac:dyDescent="0.25">
      <c r="A219" t="str">
        <f t="shared" si="29"/>
        <v>665002</v>
      </c>
      <c r="B219" t="s">
        <v>176</v>
      </c>
      <c r="C219" t="s">
        <v>194</v>
      </c>
      <c r="E219" t="str">
        <f t="shared" si="25"/>
        <v>Angola</v>
      </c>
      <c r="F219" t="str">
        <f t="shared" si="26"/>
        <v>Angola</v>
      </c>
      <c r="G219" s="1">
        <v>66500</v>
      </c>
      <c r="H219" s="1">
        <v>2</v>
      </c>
      <c r="I219" s="1" t="s">
        <v>128</v>
      </c>
      <c r="J219" s="1" t="s">
        <v>56</v>
      </c>
      <c r="K219" s="1" t="s">
        <v>9</v>
      </c>
      <c r="L219" s="5">
        <v>0</v>
      </c>
      <c r="M219" s="5">
        <v>86.69</v>
      </c>
      <c r="N219" s="5">
        <v>86.69</v>
      </c>
    </row>
    <row r="220" spans="1:18" hidden="1" x14ac:dyDescent="0.25">
      <c r="A220" t="str">
        <f t="shared" si="29"/>
        <v>6650099</v>
      </c>
      <c r="B220" t="s">
        <v>176</v>
      </c>
      <c r="C220" t="s">
        <v>194</v>
      </c>
      <c r="E220" t="str">
        <f t="shared" si="25"/>
        <v>Hillsboro</v>
      </c>
      <c r="F220" t="str">
        <f t="shared" si="26"/>
        <v>Corp</v>
      </c>
      <c r="G220" s="1">
        <v>66500</v>
      </c>
      <c r="H220" s="1">
        <v>99</v>
      </c>
      <c r="I220" s="1" t="s">
        <v>128</v>
      </c>
      <c r="J220" s="1" t="s">
        <v>56</v>
      </c>
      <c r="K220" s="1" t="s">
        <v>9</v>
      </c>
      <c r="L220" s="5">
        <v>0</v>
      </c>
      <c r="M220" s="5">
        <v>1356.22</v>
      </c>
      <c r="N220" s="5">
        <v>1356.22</v>
      </c>
    </row>
    <row r="221" spans="1:18" hidden="1" x14ac:dyDescent="0.25">
      <c r="A221" t="str">
        <f t="shared" si="29"/>
        <v>6651099</v>
      </c>
      <c r="B221" t="s">
        <v>176</v>
      </c>
      <c r="C221" t="s">
        <v>194</v>
      </c>
      <c r="E221" t="str">
        <f t="shared" si="25"/>
        <v>Hillsboro</v>
      </c>
      <c r="F221" t="str">
        <f t="shared" si="26"/>
        <v>Corp</v>
      </c>
      <c r="G221" s="1">
        <v>66510</v>
      </c>
      <c r="H221" s="1">
        <v>99</v>
      </c>
      <c r="I221" s="1" t="s">
        <v>129</v>
      </c>
      <c r="J221" s="1" t="s">
        <v>56</v>
      </c>
      <c r="K221" s="1" t="s">
        <v>9</v>
      </c>
      <c r="L221" s="5">
        <v>0</v>
      </c>
      <c r="M221" s="5">
        <v>1000</v>
      </c>
      <c r="N221" s="5">
        <v>1000</v>
      </c>
    </row>
    <row r="222" spans="1:18" hidden="1" x14ac:dyDescent="0.25">
      <c r="A222" t="str">
        <f t="shared" si="29"/>
        <v>6670099</v>
      </c>
      <c r="B222" t="s">
        <v>176</v>
      </c>
      <c r="C222" t="s">
        <v>179</v>
      </c>
      <c r="E222" t="str">
        <f t="shared" si="25"/>
        <v>Hillsboro</v>
      </c>
      <c r="F222" t="str">
        <f t="shared" si="26"/>
        <v>Corp</v>
      </c>
      <c r="G222" s="1">
        <v>66700</v>
      </c>
      <c r="H222" s="1">
        <v>99</v>
      </c>
      <c r="I222" s="1" t="s">
        <v>130</v>
      </c>
      <c r="J222" s="1" t="s">
        <v>56</v>
      </c>
      <c r="K222" s="1" t="s">
        <v>9</v>
      </c>
      <c r="L222" s="5">
        <v>0</v>
      </c>
      <c r="M222" s="5">
        <v>6163.68</v>
      </c>
      <c r="N222" s="5">
        <v>6163.68</v>
      </c>
      <c r="P222">
        <f>VLOOKUP(A222,'[2]SORTED B VS P'!$A$82:$M$315,13,FALSE)</f>
        <v>12174.84</v>
      </c>
      <c r="Q222">
        <f>P222/2</f>
        <v>6087.42</v>
      </c>
      <c r="R222" s="6">
        <f>N222-Q222</f>
        <v>76.260000000000218</v>
      </c>
    </row>
    <row r="223" spans="1:18" hidden="1" x14ac:dyDescent="0.25">
      <c r="A223" t="str">
        <f t="shared" si="29"/>
        <v>668001</v>
      </c>
      <c r="B223" t="s">
        <v>176</v>
      </c>
      <c r="C223" s="8" t="s">
        <v>191</v>
      </c>
      <c r="D223" s="8"/>
      <c r="E223" s="8" t="str">
        <f>IF(H223=1,"Hillsboro",IF(H223=2,"Angola",IF(H223=9,"Hillsboro",IF(H223=99,"Hillsboro",IF(H223=50,"Pixelle","???")))))</f>
        <v>Hillsboro</v>
      </c>
      <c r="F223" t="str">
        <f t="shared" si="26"/>
        <v>Hillsboro</v>
      </c>
      <c r="G223" s="1">
        <v>66800</v>
      </c>
      <c r="H223" s="1">
        <v>1</v>
      </c>
      <c r="I223" s="1" t="s">
        <v>131</v>
      </c>
      <c r="J223" s="1" t="s">
        <v>56</v>
      </c>
      <c r="K223" s="1" t="s">
        <v>9</v>
      </c>
      <c r="L223" s="5">
        <v>0</v>
      </c>
      <c r="M223" s="5">
        <v>15203.94</v>
      </c>
      <c r="N223" s="5">
        <v>15203.94</v>
      </c>
    </row>
    <row r="224" spans="1:18" x14ac:dyDescent="0.25">
      <c r="A224" t="str">
        <f t="shared" si="29"/>
        <v>668002</v>
      </c>
      <c r="B224" t="s">
        <v>176</v>
      </c>
      <c r="C224" s="47" t="s">
        <v>191</v>
      </c>
      <c r="D224" s="47"/>
      <c r="E224" s="47" t="str">
        <f>IF(H224=1,"Hillsboro",IF(H224=2,"Angola",IF(H224=9,"Hillsboro",IF(H224=99,"Hillsboro",IF(H224=50,"Pixelle","???")))))</f>
        <v>Angola</v>
      </c>
      <c r="F224" s="47" t="str">
        <f t="shared" si="26"/>
        <v>Angola</v>
      </c>
      <c r="G224" s="13">
        <v>66800</v>
      </c>
      <c r="H224" s="13">
        <v>2</v>
      </c>
      <c r="I224" s="13" t="s">
        <v>131</v>
      </c>
      <c r="J224" s="13" t="s">
        <v>56</v>
      </c>
      <c r="K224" s="13" t="s">
        <v>9</v>
      </c>
      <c r="L224" s="163">
        <v>0</v>
      </c>
      <c r="M224" s="163">
        <v>12139.32</v>
      </c>
      <c r="N224" s="163">
        <v>12139.32</v>
      </c>
    </row>
    <row r="225" spans="1:18" hidden="1" x14ac:dyDescent="0.25">
      <c r="A225" t="str">
        <f t="shared" si="29"/>
        <v>6680050</v>
      </c>
      <c r="B225" t="s">
        <v>176</v>
      </c>
      <c r="C225" s="8" t="s">
        <v>191</v>
      </c>
      <c r="D225" s="8"/>
      <c r="E225" s="8" t="str">
        <f>IF(H225=1,"Hillsboro",IF(H225=2,"Angola",IF(H225=9,"Hillsboro",IF(H225=99,"Hillsboro",IF(H225=50,"Pixelle","???")))))</f>
        <v>Pixelle</v>
      </c>
      <c r="F225" t="str">
        <f t="shared" si="26"/>
        <v>Pixelle</v>
      </c>
      <c r="G225" s="1">
        <v>66800</v>
      </c>
      <c r="H225" s="1">
        <v>50</v>
      </c>
      <c r="I225" s="1" t="s">
        <v>131</v>
      </c>
      <c r="J225" s="1" t="s">
        <v>56</v>
      </c>
      <c r="K225" s="1" t="s">
        <v>9</v>
      </c>
      <c r="L225" s="5">
        <v>0</v>
      </c>
      <c r="M225" s="5">
        <v>3062.76</v>
      </c>
      <c r="N225" s="5">
        <v>3062.76</v>
      </c>
    </row>
    <row r="226" spans="1:18" x14ac:dyDescent="0.25">
      <c r="A226" t="str">
        <f t="shared" si="29"/>
        <v>669002</v>
      </c>
      <c r="B226" t="s">
        <v>176</v>
      </c>
      <c r="C226" s="47" t="s">
        <v>179</v>
      </c>
      <c r="D226" s="47"/>
      <c r="E226" s="47" t="str">
        <f t="shared" si="25"/>
        <v>Angola</v>
      </c>
      <c r="F226" s="47" t="str">
        <f t="shared" si="26"/>
        <v>Angola</v>
      </c>
      <c r="G226" s="13">
        <v>66900</v>
      </c>
      <c r="H226" s="13">
        <v>2</v>
      </c>
      <c r="I226" s="13" t="s">
        <v>132</v>
      </c>
      <c r="J226" s="13" t="s">
        <v>56</v>
      </c>
      <c r="K226" s="13" t="s">
        <v>9</v>
      </c>
      <c r="L226" s="163">
        <v>0</v>
      </c>
      <c r="M226" s="163">
        <v>745.5</v>
      </c>
      <c r="N226" s="163">
        <v>745.5</v>
      </c>
    </row>
    <row r="227" spans="1:18" hidden="1" x14ac:dyDescent="0.25">
      <c r="A227" t="str">
        <f t="shared" si="29"/>
        <v>6690099</v>
      </c>
      <c r="B227" t="s">
        <v>176</v>
      </c>
      <c r="C227" t="s">
        <v>179</v>
      </c>
      <c r="E227" t="str">
        <f t="shared" si="25"/>
        <v>Hillsboro</v>
      </c>
      <c r="F227" t="str">
        <f t="shared" si="26"/>
        <v>Corp</v>
      </c>
      <c r="G227" s="1">
        <v>66900</v>
      </c>
      <c r="H227" s="1">
        <v>99</v>
      </c>
      <c r="I227" s="1" t="s">
        <v>132</v>
      </c>
      <c r="J227" s="1" t="s">
        <v>56</v>
      </c>
      <c r="K227" s="1" t="s">
        <v>9</v>
      </c>
      <c r="L227" s="5">
        <v>0</v>
      </c>
      <c r="M227" s="5">
        <v>12477.3</v>
      </c>
      <c r="N227" s="5">
        <v>12477.3</v>
      </c>
      <c r="P227">
        <f>VLOOKUP(A227,'[2]SORTED B VS P'!$A$82:$M$315,13,FALSE)</f>
        <v>24569.86</v>
      </c>
      <c r="Q227">
        <f t="shared" ref="Q227:Q229" si="36">P227/2</f>
        <v>12284.93</v>
      </c>
      <c r="R227" s="6">
        <f t="shared" ref="R227:R229" si="37">N227-Q227</f>
        <v>192.36999999999898</v>
      </c>
    </row>
    <row r="228" spans="1:18" hidden="1" x14ac:dyDescent="0.25">
      <c r="A228" t="str">
        <f t="shared" si="29"/>
        <v>670001</v>
      </c>
      <c r="B228" t="s">
        <v>176</v>
      </c>
      <c r="C228" t="s">
        <v>179</v>
      </c>
      <c r="E228" t="str">
        <f t="shared" si="25"/>
        <v>Hillsboro</v>
      </c>
      <c r="F228" t="str">
        <f t="shared" si="26"/>
        <v>Hillsboro</v>
      </c>
      <c r="G228" s="1">
        <v>67000</v>
      </c>
      <c r="H228" s="1">
        <v>1</v>
      </c>
      <c r="I228" s="1" t="s">
        <v>133</v>
      </c>
      <c r="J228" s="1" t="s">
        <v>56</v>
      </c>
      <c r="K228" s="1" t="s">
        <v>9</v>
      </c>
      <c r="L228" s="5">
        <v>0</v>
      </c>
      <c r="M228" s="5">
        <v>106.12</v>
      </c>
      <c r="N228" s="5">
        <v>106.12</v>
      </c>
      <c r="P228">
        <f>VLOOKUP(A228,'[2]SORTED B VS P'!$A$82:$M$315,13,FALSE)</f>
        <v>105.05</v>
      </c>
      <c r="Q228">
        <f t="shared" si="36"/>
        <v>52.524999999999999</v>
      </c>
      <c r="R228" s="6">
        <f t="shared" si="37"/>
        <v>53.595000000000006</v>
      </c>
    </row>
    <row r="229" spans="1:18" hidden="1" x14ac:dyDescent="0.25">
      <c r="A229" t="str">
        <f t="shared" si="29"/>
        <v>6700099</v>
      </c>
      <c r="B229" t="s">
        <v>176</v>
      </c>
      <c r="C229" t="s">
        <v>179</v>
      </c>
      <c r="E229" t="str">
        <f t="shared" si="25"/>
        <v>Hillsboro</v>
      </c>
      <c r="F229" t="str">
        <f t="shared" si="26"/>
        <v>Corp</v>
      </c>
      <c r="G229" s="1">
        <v>67000</v>
      </c>
      <c r="H229" s="1">
        <v>99</v>
      </c>
      <c r="I229" s="1" t="s">
        <v>133</v>
      </c>
      <c r="J229" s="1" t="s">
        <v>56</v>
      </c>
      <c r="K229" s="1" t="s">
        <v>9</v>
      </c>
      <c r="L229" s="5">
        <v>0</v>
      </c>
      <c r="M229" s="5">
        <v>55843.57</v>
      </c>
      <c r="N229" s="5">
        <v>55843.57</v>
      </c>
      <c r="P229">
        <f>VLOOKUP(A229,'[2]SORTED B VS P'!$A$82:$M$315,13,FALSE)</f>
        <v>85350.21</v>
      </c>
      <c r="Q229">
        <f t="shared" si="36"/>
        <v>42675.105000000003</v>
      </c>
      <c r="R229" s="6">
        <f t="shared" si="37"/>
        <v>13168.464999999997</v>
      </c>
    </row>
    <row r="230" spans="1:18" hidden="1" x14ac:dyDescent="0.25">
      <c r="A230" t="str">
        <f t="shared" si="29"/>
        <v>671001</v>
      </c>
      <c r="B230" t="s">
        <v>176</v>
      </c>
      <c r="C230" s="8" t="s">
        <v>191</v>
      </c>
      <c r="D230" s="8"/>
      <c r="E230" t="str">
        <f t="shared" si="25"/>
        <v>Hillsboro</v>
      </c>
      <c r="F230" t="str">
        <f t="shared" si="26"/>
        <v>Hillsboro</v>
      </c>
      <c r="G230" s="1">
        <v>67100</v>
      </c>
      <c r="H230" s="1">
        <v>1</v>
      </c>
      <c r="I230" s="1" t="s">
        <v>134</v>
      </c>
      <c r="J230" s="1" t="s">
        <v>56</v>
      </c>
      <c r="K230" s="1" t="s">
        <v>9</v>
      </c>
      <c r="L230" s="5">
        <v>0</v>
      </c>
      <c r="M230" s="5">
        <v>180</v>
      </c>
      <c r="N230" s="5">
        <v>180</v>
      </c>
    </row>
    <row r="231" spans="1:18" hidden="1" x14ac:dyDescent="0.25">
      <c r="A231" t="str">
        <f t="shared" si="29"/>
        <v>6710099</v>
      </c>
      <c r="B231" t="s">
        <v>176</v>
      </c>
      <c r="C231" s="8" t="s">
        <v>191</v>
      </c>
      <c r="D231" s="8"/>
      <c r="E231" t="str">
        <f t="shared" si="25"/>
        <v>Hillsboro</v>
      </c>
      <c r="F231" t="str">
        <f t="shared" si="26"/>
        <v>Corp</v>
      </c>
      <c r="G231" s="1">
        <v>67100</v>
      </c>
      <c r="H231" s="1">
        <v>99</v>
      </c>
      <c r="I231" s="1" t="s">
        <v>134</v>
      </c>
      <c r="J231" s="1" t="s">
        <v>56</v>
      </c>
      <c r="K231" s="1" t="s">
        <v>9</v>
      </c>
      <c r="L231" s="5">
        <v>0</v>
      </c>
      <c r="M231" s="5">
        <v>55</v>
      </c>
      <c r="N231" s="5">
        <v>55</v>
      </c>
    </row>
    <row r="232" spans="1:18" hidden="1" x14ac:dyDescent="0.25">
      <c r="A232" t="str">
        <f t="shared" si="29"/>
        <v>672001</v>
      </c>
      <c r="B232" t="s">
        <v>176</v>
      </c>
      <c r="C232" t="s">
        <v>179</v>
      </c>
      <c r="E232" t="str">
        <f t="shared" si="25"/>
        <v>Hillsboro</v>
      </c>
      <c r="F232" t="str">
        <f t="shared" si="26"/>
        <v>Hillsboro</v>
      </c>
      <c r="G232" s="1">
        <v>67200</v>
      </c>
      <c r="H232" s="1">
        <v>1</v>
      </c>
      <c r="I232" s="1" t="s">
        <v>135</v>
      </c>
      <c r="J232" s="1" t="s">
        <v>56</v>
      </c>
      <c r="K232" s="1" t="s">
        <v>9</v>
      </c>
      <c r="L232" s="5">
        <v>0</v>
      </c>
      <c r="M232" s="5">
        <v>2140.83</v>
      </c>
      <c r="N232" s="5">
        <v>2140.83</v>
      </c>
      <c r="P232">
        <f>VLOOKUP(A232,'[2]SORTED B VS P'!$A$82:$M$315,13,FALSE)</f>
        <v>4074.79</v>
      </c>
      <c r="Q232">
        <f>P232/2</f>
        <v>2037.395</v>
      </c>
      <c r="R232" s="6">
        <f>N232-Q232</f>
        <v>103.43499999999995</v>
      </c>
    </row>
    <row r="233" spans="1:18" x14ac:dyDescent="0.25">
      <c r="A233" t="str">
        <f t="shared" si="29"/>
        <v>672002</v>
      </c>
      <c r="B233" t="s">
        <v>176</v>
      </c>
      <c r="C233" t="s">
        <v>179</v>
      </c>
      <c r="E233" t="str">
        <f t="shared" si="25"/>
        <v>Angola</v>
      </c>
      <c r="F233" t="str">
        <f t="shared" si="26"/>
        <v>Angola</v>
      </c>
      <c r="G233" s="1">
        <v>67200</v>
      </c>
      <c r="H233" s="1">
        <v>2</v>
      </c>
      <c r="I233" s="1" t="s">
        <v>135</v>
      </c>
      <c r="J233" s="1" t="s">
        <v>56</v>
      </c>
      <c r="K233" s="1" t="s">
        <v>9</v>
      </c>
      <c r="L233" s="5">
        <v>0</v>
      </c>
      <c r="M233" s="5">
        <v>2458</v>
      </c>
      <c r="N233" s="5">
        <v>2458</v>
      </c>
    </row>
    <row r="234" spans="1:18" hidden="1" x14ac:dyDescent="0.25">
      <c r="A234" t="str">
        <f t="shared" si="29"/>
        <v>6720099</v>
      </c>
      <c r="B234" t="s">
        <v>176</v>
      </c>
      <c r="C234" t="s">
        <v>179</v>
      </c>
      <c r="E234" t="str">
        <f t="shared" ref="E234:E259" si="38">IF(H234=1,"Hillsboro",IF(H234=2,"Angola",IF(H234=9,"Hillsboro",IF(H234=99,"Hillsboro",IF(H234=50,"Pixelle","???")))))</f>
        <v>Hillsboro</v>
      </c>
      <c r="F234" t="str">
        <f t="shared" ref="F234:F259" si="39">IF(H234=1,"Hillsboro",IF(H234=2,"Angola",IF(H234=9,"Corp",IF(H234=99,"Corp",IF(H234=50,"Pixelle","???")))))</f>
        <v>Corp</v>
      </c>
      <c r="G234" s="1">
        <v>67200</v>
      </c>
      <c r="H234" s="1">
        <v>99</v>
      </c>
      <c r="I234" s="1" t="s">
        <v>135</v>
      </c>
      <c r="J234" s="1" t="s">
        <v>56</v>
      </c>
      <c r="K234" s="1" t="s">
        <v>9</v>
      </c>
      <c r="L234" s="5">
        <v>0</v>
      </c>
      <c r="M234" s="5">
        <v>2497.08</v>
      </c>
      <c r="N234" s="5">
        <v>2497.08</v>
      </c>
      <c r="P234">
        <f>VLOOKUP(A234,'[2]SORTED B VS P'!$A$82:$M$315,13,FALSE)</f>
        <v>8992.16</v>
      </c>
      <c r="Q234">
        <f>P234/2</f>
        <v>4496.08</v>
      </c>
      <c r="R234" s="6">
        <f>N234-Q234</f>
        <v>-1999</v>
      </c>
    </row>
    <row r="235" spans="1:18" x14ac:dyDescent="0.25">
      <c r="A235" t="str">
        <f t="shared" si="29"/>
        <v>673002</v>
      </c>
      <c r="B235" t="s">
        <v>176</v>
      </c>
      <c r="C235" t="s">
        <v>179</v>
      </c>
      <c r="E235" t="str">
        <f t="shared" si="38"/>
        <v>Angola</v>
      </c>
      <c r="F235" t="str">
        <f t="shared" si="39"/>
        <v>Angola</v>
      </c>
      <c r="G235" s="1">
        <v>67300</v>
      </c>
      <c r="H235" s="1">
        <v>2</v>
      </c>
      <c r="I235" s="1" t="s">
        <v>136</v>
      </c>
      <c r="J235" s="1" t="s">
        <v>56</v>
      </c>
      <c r="K235" s="1" t="s">
        <v>9</v>
      </c>
      <c r="L235" s="5">
        <v>0</v>
      </c>
      <c r="M235" s="5">
        <v>368.06</v>
      </c>
      <c r="N235" s="5">
        <v>368.06</v>
      </c>
    </row>
    <row r="236" spans="1:18" hidden="1" x14ac:dyDescent="0.25">
      <c r="A236" t="str">
        <f t="shared" si="29"/>
        <v>6730099</v>
      </c>
      <c r="B236" t="s">
        <v>176</v>
      </c>
      <c r="C236" t="s">
        <v>179</v>
      </c>
      <c r="E236" t="str">
        <f t="shared" si="38"/>
        <v>Hillsboro</v>
      </c>
      <c r="F236" t="str">
        <f t="shared" si="39"/>
        <v>Corp</v>
      </c>
      <c r="G236" s="1">
        <v>67300</v>
      </c>
      <c r="H236" s="1">
        <v>99</v>
      </c>
      <c r="I236" s="1" t="s">
        <v>136</v>
      </c>
      <c r="J236" s="1" t="s">
        <v>56</v>
      </c>
      <c r="K236" s="1" t="s">
        <v>9</v>
      </c>
      <c r="L236" s="5">
        <v>0</v>
      </c>
      <c r="M236" s="5">
        <v>1371.44</v>
      </c>
      <c r="N236" s="5">
        <v>1371.44</v>
      </c>
      <c r="P236">
        <f>VLOOKUP(A236,'[2]SORTED B VS P'!$A$82:$M$315,13,FALSE)</f>
        <v>2780.06</v>
      </c>
      <c r="Q236">
        <f>P236/2</f>
        <v>1390.03</v>
      </c>
      <c r="R236" s="6">
        <f>N236-Q236</f>
        <v>-18.589999999999918</v>
      </c>
    </row>
    <row r="237" spans="1:18" hidden="1" x14ac:dyDescent="0.25">
      <c r="A237" t="str">
        <f t="shared" si="29"/>
        <v>6734099</v>
      </c>
      <c r="B237" t="s">
        <v>176</v>
      </c>
      <c r="C237" t="s">
        <v>194</v>
      </c>
      <c r="E237" t="str">
        <f t="shared" si="38"/>
        <v>Hillsboro</v>
      </c>
      <c r="F237" t="str">
        <f t="shared" si="39"/>
        <v>Corp</v>
      </c>
      <c r="G237" s="1">
        <v>67340</v>
      </c>
      <c r="H237" s="1">
        <v>99</v>
      </c>
      <c r="I237" s="1" t="s">
        <v>137</v>
      </c>
      <c r="J237" s="1" t="s">
        <v>56</v>
      </c>
      <c r="K237" s="1" t="s">
        <v>137</v>
      </c>
      <c r="L237" s="5">
        <v>0</v>
      </c>
      <c r="M237" s="5">
        <v>62136.25</v>
      </c>
      <c r="N237" s="5">
        <v>62136.25</v>
      </c>
    </row>
    <row r="238" spans="1:18" x14ac:dyDescent="0.25">
      <c r="A238" t="str">
        <f t="shared" si="29"/>
        <v>674002</v>
      </c>
      <c r="B238" t="s">
        <v>176</v>
      </c>
      <c r="C238" t="s">
        <v>194</v>
      </c>
      <c r="E238" t="str">
        <f t="shared" si="38"/>
        <v>Angola</v>
      </c>
      <c r="F238" t="str">
        <f t="shared" si="39"/>
        <v>Angola</v>
      </c>
      <c r="G238" s="1">
        <v>67400</v>
      </c>
      <c r="H238" s="1">
        <v>2</v>
      </c>
      <c r="I238" s="1" t="s">
        <v>138</v>
      </c>
      <c r="J238" s="1" t="s">
        <v>56</v>
      </c>
      <c r="K238" s="1" t="s">
        <v>9</v>
      </c>
      <c r="L238" s="5">
        <v>0</v>
      </c>
      <c r="M238" s="5">
        <v>36469.85</v>
      </c>
      <c r="N238" s="5">
        <v>36469.85</v>
      </c>
    </row>
    <row r="239" spans="1:18" hidden="1" x14ac:dyDescent="0.25">
      <c r="A239" t="str">
        <f t="shared" si="29"/>
        <v>6740099</v>
      </c>
      <c r="B239" t="s">
        <v>176</v>
      </c>
      <c r="C239" t="s">
        <v>194</v>
      </c>
      <c r="E239" t="str">
        <f t="shared" si="38"/>
        <v>Hillsboro</v>
      </c>
      <c r="F239" t="str">
        <f t="shared" si="39"/>
        <v>Corp</v>
      </c>
      <c r="G239" s="1">
        <v>67400</v>
      </c>
      <c r="H239" s="1">
        <v>99</v>
      </c>
      <c r="I239" s="1" t="s">
        <v>138</v>
      </c>
      <c r="J239" s="1" t="s">
        <v>56</v>
      </c>
      <c r="K239" s="1" t="s">
        <v>9</v>
      </c>
      <c r="L239" s="5">
        <v>0</v>
      </c>
      <c r="M239" s="5">
        <v>101065.75</v>
      </c>
      <c r="N239" s="5">
        <v>101065.75</v>
      </c>
    </row>
    <row r="240" spans="1:18" hidden="1" x14ac:dyDescent="0.25">
      <c r="A240" t="str">
        <f t="shared" si="29"/>
        <v>6741099</v>
      </c>
      <c r="B240" t="s">
        <v>176</v>
      </c>
      <c r="C240" t="s">
        <v>194</v>
      </c>
      <c r="E240" t="str">
        <f t="shared" si="38"/>
        <v>Hillsboro</v>
      </c>
      <c r="F240" t="str">
        <f t="shared" si="39"/>
        <v>Corp</v>
      </c>
      <c r="G240" s="1">
        <v>67410</v>
      </c>
      <c r="H240" s="1">
        <v>99</v>
      </c>
      <c r="I240" s="1" t="s">
        <v>139</v>
      </c>
      <c r="J240" s="1" t="s">
        <v>56</v>
      </c>
      <c r="K240" s="1" t="s">
        <v>9</v>
      </c>
      <c r="L240" s="5">
        <v>0</v>
      </c>
      <c r="M240" s="5">
        <v>276.45</v>
      </c>
      <c r="N240" s="5">
        <v>276.45</v>
      </c>
    </row>
    <row r="241" spans="1:18" hidden="1" x14ac:dyDescent="0.25">
      <c r="A241" t="str">
        <f t="shared" si="29"/>
        <v>6742099</v>
      </c>
      <c r="B241" t="s">
        <v>176</v>
      </c>
      <c r="C241" t="s">
        <v>194</v>
      </c>
      <c r="E241" t="str">
        <f t="shared" si="38"/>
        <v>Hillsboro</v>
      </c>
      <c r="F241" t="str">
        <f t="shared" si="39"/>
        <v>Corp</v>
      </c>
      <c r="G241" s="1">
        <v>67420</v>
      </c>
      <c r="H241" s="1">
        <v>99</v>
      </c>
      <c r="I241" s="1" t="s">
        <v>140</v>
      </c>
      <c r="J241" s="1" t="s">
        <v>56</v>
      </c>
      <c r="K241" s="1" t="s">
        <v>9</v>
      </c>
      <c r="L241" s="5">
        <v>0</v>
      </c>
      <c r="M241" s="5">
        <v>7778.73</v>
      </c>
      <c r="N241" s="5">
        <v>7778.73</v>
      </c>
    </row>
    <row r="242" spans="1:18" hidden="1" x14ac:dyDescent="0.25">
      <c r="A242" t="str">
        <f t="shared" si="29"/>
        <v>6743099</v>
      </c>
      <c r="B242" t="s">
        <v>176</v>
      </c>
      <c r="C242" t="s">
        <v>194</v>
      </c>
      <c r="E242" t="str">
        <f t="shared" si="38"/>
        <v>Hillsboro</v>
      </c>
      <c r="F242" t="str">
        <f t="shared" si="39"/>
        <v>Corp</v>
      </c>
      <c r="G242" s="1">
        <v>67430</v>
      </c>
      <c r="H242" s="1">
        <v>99</v>
      </c>
      <c r="I242" s="1" t="s">
        <v>141</v>
      </c>
      <c r="J242" s="1" t="s">
        <v>56</v>
      </c>
      <c r="K242" s="1" t="s">
        <v>9</v>
      </c>
      <c r="L242" s="5">
        <v>0</v>
      </c>
      <c r="M242" s="5">
        <v>2582.4</v>
      </c>
      <c r="N242" s="5">
        <v>2582.4</v>
      </c>
    </row>
    <row r="243" spans="1:18" hidden="1" x14ac:dyDescent="0.25">
      <c r="A243" t="str">
        <f t="shared" si="29"/>
        <v>6750099</v>
      </c>
      <c r="B243" t="s">
        <v>176</v>
      </c>
      <c r="C243" t="s">
        <v>179</v>
      </c>
      <c r="E243" t="str">
        <f t="shared" si="38"/>
        <v>Hillsboro</v>
      </c>
      <c r="F243" t="str">
        <f t="shared" si="39"/>
        <v>Corp</v>
      </c>
      <c r="G243" s="1">
        <v>67500</v>
      </c>
      <c r="H243" s="1">
        <v>99</v>
      </c>
      <c r="I243" s="1" t="s">
        <v>142</v>
      </c>
      <c r="J243" s="1" t="s">
        <v>56</v>
      </c>
      <c r="K243" s="1" t="s">
        <v>9</v>
      </c>
      <c r="L243" s="5">
        <v>0</v>
      </c>
      <c r="M243" s="5">
        <v>65997.58</v>
      </c>
      <c r="N243" s="5">
        <v>65997.58</v>
      </c>
      <c r="P243">
        <f>VLOOKUP(A243,'[2]SORTED B VS P'!$A$82:$M$315,13,FALSE)</f>
        <v>129210.54</v>
      </c>
      <c r="Q243">
        <f t="shared" ref="Q243:Q244" si="40">P243/2</f>
        <v>64605.27</v>
      </c>
      <c r="R243" s="6">
        <f t="shared" ref="R243:R244" si="41">N243-Q243</f>
        <v>1392.3100000000049</v>
      </c>
    </row>
    <row r="244" spans="1:18" hidden="1" x14ac:dyDescent="0.25">
      <c r="A244" t="str">
        <f t="shared" si="29"/>
        <v>677001</v>
      </c>
      <c r="B244" t="s">
        <v>176</v>
      </c>
      <c r="C244" t="s">
        <v>179</v>
      </c>
      <c r="E244" t="str">
        <f t="shared" si="38"/>
        <v>Hillsboro</v>
      </c>
      <c r="F244" t="str">
        <f t="shared" si="39"/>
        <v>Hillsboro</v>
      </c>
      <c r="G244" s="1">
        <v>67700</v>
      </c>
      <c r="H244" s="1">
        <v>1</v>
      </c>
      <c r="I244" s="1" t="s">
        <v>143</v>
      </c>
      <c r="J244" s="1" t="s">
        <v>56</v>
      </c>
      <c r="K244" s="1" t="s">
        <v>9</v>
      </c>
      <c r="L244" s="5">
        <v>0</v>
      </c>
      <c r="M244" s="5">
        <v>22599.55</v>
      </c>
      <c r="N244" s="5">
        <v>22599.55</v>
      </c>
      <c r="P244">
        <f>VLOOKUP(A244,'[2]SORTED B VS P'!$A$82:$M$315,13,FALSE)</f>
        <v>23941.599999999999</v>
      </c>
      <c r="Q244">
        <f t="shared" si="40"/>
        <v>11970.8</v>
      </c>
      <c r="R244" s="6">
        <f t="shared" si="41"/>
        <v>10628.75</v>
      </c>
    </row>
    <row r="245" spans="1:18" x14ac:dyDescent="0.25">
      <c r="A245" t="str">
        <f t="shared" si="29"/>
        <v>677002</v>
      </c>
      <c r="B245" t="s">
        <v>176</v>
      </c>
      <c r="C245" t="s">
        <v>179</v>
      </c>
      <c r="E245" t="str">
        <f t="shared" si="38"/>
        <v>Angola</v>
      </c>
      <c r="F245" t="str">
        <f t="shared" si="39"/>
        <v>Angola</v>
      </c>
      <c r="G245" s="1">
        <v>67700</v>
      </c>
      <c r="H245" s="1">
        <v>2</v>
      </c>
      <c r="I245" s="1" t="s">
        <v>143</v>
      </c>
      <c r="J245" s="1" t="s">
        <v>56</v>
      </c>
      <c r="K245" s="1" t="s">
        <v>9</v>
      </c>
      <c r="L245" s="5">
        <v>0</v>
      </c>
      <c r="M245" s="5">
        <v>16687.55</v>
      </c>
      <c r="N245" s="5">
        <v>16687.55</v>
      </c>
    </row>
    <row r="246" spans="1:18" hidden="1" x14ac:dyDescent="0.25">
      <c r="A246" t="str">
        <f t="shared" si="29"/>
        <v>6770050</v>
      </c>
      <c r="B246" t="s">
        <v>176</v>
      </c>
      <c r="C246" t="s">
        <v>179</v>
      </c>
      <c r="E246" t="str">
        <f t="shared" si="38"/>
        <v>Pixelle</v>
      </c>
      <c r="F246" t="str">
        <f t="shared" si="39"/>
        <v>Pixelle</v>
      </c>
      <c r="G246" s="1">
        <v>67700</v>
      </c>
      <c r="H246" s="1">
        <v>50</v>
      </c>
      <c r="I246" s="1" t="s">
        <v>143</v>
      </c>
      <c r="J246" s="1" t="s">
        <v>56</v>
      </c>
      <c r="K246" s="1" t="s">
        <v>9</v>
      </c>
      <c r="L246" s="5">
        <v>0</v>
      </c>
      <c r="M246" s="5">
        <v>13052.14</v>
      </c>
      <c r="N246" s="5">
        <v>13052.14</v>
      </c>
    </row>
    <row r="247" spans="1:18" hidden="1" x14ac:dyDescent="0.25">
      <c r="A247" t="str">
        <f t="shared" si="29"/>
        <v>6770099</v>
      </c>
      <c r="B247" t="s">
        <v>176</v>
      </c>
      <c r="C247" t="s">
        <v>179</v>
      </c>
      <c r="E247" s="111" t="str">
        <f t="shared" si="38"/>
        <v>Hillsboro</v>
      </c>
      <c r="F247" s="111" t="str">
        <f t="shared" si="39"/>
        <v>Corp</v>
      </c>
      <c r="G247" s="112">
        <v>67700</v>
      </c>
      <c r="H247" s="112">
        <v>99</v>
      </c>
      <c r="I247" s="112" t="s">
        <v>143</v>
      </c>
      <c r="J247" s="112" t="s">
        <v>56</v>
      </c>
      <c r="K247" s="112" t="s">
        <v>9</v>
      </c>
      <c r="L247" s="113">
        <v>0</v>
      </c>
      <c r="M247" s="113">
        <v>-14250.33</v>
      </c>
      <c r="N247" s="113">
        <v>-14250.33</v>
      </c>
      <c r="O247" s="111"/>
      <c r="P247" s="111">
        <f>VLOOKUP(A247,'[2]SORTED B VS P'!$A$82:$M$315,13,FALSE)</f>
        <v>147612.53</v>
      </c>
      <c r="Q247" s="111">
        <f t="shared" ref="Q247:Q248" si="42">P247/2</f>
        <v>73806.264999999999</v>
      </c>
      <c r="R247" s="6">
        <f t="shared" ref="R247:R248" si="43">N247-Q247</f>
        <v>-88056.595000000001</v>
      </c>
    </row>
    <row r="248" spans="1:18" hidden="1" x14ac:dyDescent="0.25">
      <c r="A248" t="str">
        <f t="shared" si="29"/>
        <v>679001</v>
      </c>
      <c r="B248" t="s">
        <v>176</v>
      </c>
      <c r="C248" t="s">
        <v>179</v>
      </c>
      <c r="E248" t="str">
        <f t="shared" si="38"/>
        <v>Hillsboro</v>
      </c>
      <c r="F248" t="str">
        <f t="shared" si="39"/>
        <v>Hillsboro</v>
      </c>
      <c r="G248" s="1">
        <v>67900</v>
      </c>
      <c r="H248" s="1">
        <v>1</v>
      </c>
      <c r="I248" s="1" t="s">
        <v>144</v>
      </c>
      <c r="J248" s="1" t="s">
        <v>56</v>
      </c>
      <c r="K248" s="1" t="s">
        <v>9</v>
      </c>
      <c r="L248" s="5">
        <v>0</v>
      </c>
      <c r="M248" s="5">
        <v>4328.92</v>
      </c>
      <c r="N248" s="5">
        <v>4328.92</v>
      </c>
      <c r="P248">
        <f>VLOOKUP(A248,'[2]SORTED B VS P'!$A$82:$M$315,13,FALSE)</f>
        <v>2323.3200000000002</v>
      </c>
      <c r="Q248">
        <f t="shared" si="42"/>
        <v>1161.6600000000001</v>
      </c>
      <c r="R248" s="6">
        <f t="shared" si="43"/>
        <v>3167.26</v>
      </c>
    </row>
    <row r="249" spans="1:18" x14ac:dyDescent="0.25">
      <c r="A249" t="str">
        <f t="shared" si="29"/>
        <v>679002</v>
      </c>
      <c r="B249" t="s">
        <v>176</v>
      </c>
      <c r="C249" t="s">
        <v>179</v>
      </c>
      <c r="E249" t="str">
        <f t="shared" si="38"/>
        <v>Angola</v>
      </c>
      <c r="F249" t="str">
        <f t="shared" si="39"/>
        <v>Angola</v>
      </c>
      <c r="G249" s="1">
        <v>67900</v>
      </c>
      <c r="H249" s="1">
        <v>2</v>
      </c>
      <c r="I249" s="1" t="s">
        <v>144</v>
      </c>
      <c r="J249" s="1" t="s">
        <v>56</v>
      </c>
      <c r="K249" s="1" t="s">
        <v>9</v>
      </c>
      <c r="L249" s="5">
        <v>0</v>
      </c>
      <c r="M249" s="5">
        <v>2531.6</v>
      </c>
      <c r="N249" s="5">
        <v>2531.6</v>
      </c>
    </row>
    <row r="250" spans="1:18" hidden="1" x14ac:dyDescent="0.25">
      <c r="A250" t="str">
        <f t="shared" si="29"/>
        <v>6790050</v>
      </c>
      <c r="B250" t="s">
        <v>176</v>
      </c>
      <c r="C250" t="s">
        <v>179</v>
      </c>
      <c r="E250" t="str">
        <f t="shared" si="38"/>
        <v>Pixelle</v>
      </c>
      <c r="F250" t="str">
        <f t="shared" si="39"/>
        <v>Pixelle</v>
      </c>
      <c r="G250" s="1">
        <v>67900</v>
      </c>
      <c r="H250" s="1">
        <v>50</v>
      </c>
      <c r="I250" s="1" t="s">
        <v>144</v>
      </c>
      <c r="J250" s="1" t="s">
        <v>56</v>
      </c>
      <c r="K250" s="1" t="s">
        <v>9</v>
      </c>
      <c r="L250" s="5">
        <v>0</v>
      </c>
      <c r="M250" s="5">
        <v>282.95999999999998</v>
      </c>
      <c r="N250" s="5">
        <v>282.95999999999998</v>
      </c>
    </row>
    <row r="251" spans="1:18" hidden="1" x14ac:dyDescent="0.25">
      <c r="A251" t="str">
        <f t="shared" si="29"/>
        <v>6790099</v>
      </c>
      <c r="B251" t="s">
        <v>176</v>
      </c>
      <c r="C251" t="s">
        <v>179</v>
      </c>
      <c r="E251" t="str">
        <f t="shared" si="38"/>
        <v>Hillsboro</v>
      </c>
      <c r="F251" t="str">
        <f t="shared" si="39"/>
        <v>Corp</v>
      </c>
      <c r="G251" s="1">
        <v>67900</v>
      </c>
      <c r="H251" s="1">
        <v>99</v>
      </c>
      <c r="I251" s="1" t="s">
        <v>144</v>
      </c>
      <c r="J251" s="1" t="s">
        <v>56</v>
      </c>
      <c r="K251" s="1" t="s">
        <v>9</v>
      </c>
      <c r="L251" s="5">
        <v>0</v>
      </c>
      <c r="M251" s="5">
        <v>0</v>
      </c>
      <c r="N251" s="5">
        <v>0</v>
      </c>
      <c r="P251">
        <f>VLOOKUP(A251,'[2]SORTED B VS P'!$A$82:$M$315,13,FALSE)</f>
        <v>1590.13</v>
      </c>
      <c r="Q251">
        <f>P251/2</f>
        <v>795.06500000000005</v>
      </c>
      <c r="R251" s="6">
        <f>N251-Q251</f>
        <v>-795.06500000000005</v>
      </c>
    </row>
    <row r="252" spans="1:18" hidden="1" x14ac:dyDescent="0.25">
      <c r="A252" t="str">
        <f t="shared" si="29"/>
        <v>680001</v>
      </c>
      <c r="B252" t="s">
        <v>176</v>
      </c>
      <c r="C252" s="8" t="s">
        <v>191</v>
      </c>
      <c r="E252" t="str">
        <f t="shared" si="38"/>
        <v>Hillsboro</v>
      </c>
      <c r="F252" t="str">
        <f t="shared" si="39"/>
        <v>Hillsboro</v>
      </c>
      <c r="G252" s="1">
        <v>68000</v>
      </c>
      <c r="H252" s="1">
        <v>1</v>
      </c>
      <c r="I252" s="1" t="s">
        <v>145</v>
      </c>
      <c r="J252" s="1" t="s">
        <v>56</v>
      </c>
      <c r="K252" s="1" t="s">
        <v>9</v>
      </c>
      <c r="L252" s="5">
        <v>0</v>
      </c>
      <c r="M252" s="5">
        <v>8121.82</v>
      </c>
      <c r="N252" s="5">
        <v>8121.82</v>
      </c>
    </row>
    <row r="253" spans="1:18" x14ac:dyDescent="0.25">
      <c r="A253" t="str">
        <f t="shared" si="29"/>
        <v>680002</v>
      </c>
      <c r="B253" t="s">
        <v>176</v>
      </c>
      <c r="C253" s="8" t="s">
        <v>191</v>
      </c>
      <c r="E253" t="str">
        <f t="shared" si="38"/>
        <v>Angola</v>
      </c>
      <c r="F253" t="str">
        <f t="shared" si="39"/>
        <v>Angola</v>
      </c>
      <c r="G253" s="1">
        <v>68000</v>
      </c>
      <c r="H253" s="1">
        <v>2</v>
      </c>
      <c r="I253" s="1" t="s">
        <v>145</v>
      </c>
      <c r="J253" s="1" t="s">
        <v>56</v>
      </c>
      <c r="K253" s="1" t="s">
        <v>9</v>
      </c>
      <c r="L253" s="5">
        <v>0</v>
      </c>
      <c r="M253" s="5">
        <v>12481.92</v>
      </c>
      <c r="N253" s="5">
        <v>12481.92</v>
      </c>
    </row>
    <row r="254" spans="1:18" hidden="1" x14ac:dyDescent="0.25">
      <c r="A254" t="str">
        <f t="shared" si="29"/>
        <v>6800050</v>
      </c>
      <c r="B254" t="s">
        <v>176</v>
      </c>
      <c r="C254" s="8" t="s">
        <v>191</v>
      </c>
      <c r="E254" t="str">
        <f t="shared" si="38"/>
        <v>Pixelle</v>
      </c>
      <c r="F254" t="str">
        <f t="shared" si="39"/>
        <v>Pixelle</v>
      </c>
      <c r="G254" s="1">
        <v>68000</v>
      </c>
      <c r="H254" s="1">
        <v>50</v>
      </c>
      <c r="I254" s="1" t="s">
        <v>145</v>
      </c>
      <c r="J254" s="1" t="s">
        <v>56</v>
      </c>
      <c r="K254" s="1" t="s">
        <v>9</v>
      </c>
      <c r="L254" s="5">
        <v>0</v>
      </c>
      <c r="M254" s="5">
        <v>4350.55</v>
      </c>
      <c r="N254" s="5">
        <v>4350.55</v>
      </c>
    </row>
    <row r="255" spans="1:18" hidden="1" x14ac:dyDescent="0.25">
      <c r="A255" t="str">
        <f t="shared" si="29"/>
        <v>6800099</v>
      </c>
      <c r="B255" t="s">
        <v>176</v>
      </c>
      <c r="C255" s="8" t="s">
        <v>191</v>
      </c>
      <c r="E255" t="str">
        <f t="shared" si="38"/>
        <v>Hillsboro</v>
      </c>
      <c r="F255" t="str">
        <f t="shared" si="39"/>
        <v>Corp</v>
      </c>
      <c r="G255" s="1">
        <v>68000</v>
      </c>
      <c r="H255" s="1">
        <v>99</v>
      </c>
      <c r="I255" s="1" t="s">
        <v>145</v>
      </c>
      <c r="J255" s="1" t="s">
        <v>56</v>
      </c>
      <c r="K255" s="1" t="s">
        <v>9</v>
      </c>
      <c r="L255" s="5">
        <v>0</v>
      </c>
      <c r="M255" s="5">
        <v>-3.6</v>
      </c>
      <c r="N255" s="5">
        <v>-3.6</v>
      </c>
    </row>
    <row r="256" spans="1:18" hidden="1" x14ac:dyDescent="0.25">
      <c r="A256" t="str">
        <f t="shared" si="29"/>
        <v>6810099</v>
      </c>
      <c r="B256" t="s">
        <v>176</v>
      </c>
      <c r="C256" t="s">
        <v>179</v>
      </c>
      <c r="E256" t="str">
        <f t="shared" si="38"/>
        <v>Hillsboro</v>
      </c>
      <c r="F256" t="str">
        <f t="shared" si="39"/>
        <v>Corp</v>
      </c>
      <c r="G256" s="1">
        <v>68100</v>
      </c>
      <c r="H256" s="1">
        <v>99</v>
      </c>
      <c r="I256" s="1" t="s">
        <v>146</v>
      </c>
      <c r="J256" s="1" t="s">
        <v>56</v>
      </c>
      <c r="K256" s="1" t="s">
        <v>9</v>
      </c>
      <c r="L256" s="5">
        <v>0</v>
      </c>
      <c r="M256" s="5">
        <v>18440.12</v>
      </c>
      <c r="N256" s="5">
        <v>18440.12</v>
      </c>
      <c r="P256">
        <f>VLOOKUP(A256,'[2]SORTED B VS P'!$A$82:$M$315,13,FALSE)</f>
        <v>36908.74</v>
      </c>
      <c r="Q256">
        <f t="shared" ref="Q256:Q259" si="44">P256/2</f>
        <v>18454.37</v>
      </c>
      <c r="R256" s="6">
        <f t="shared" ref="R256:R259" si="45">N256-Q256</f>
        <v>-14.25</v>
      </c>
    </row>
    <row r="257" spans="1:18" hidden="1" x14ac:dyDescent="0.25">
      <c r="A257" t="str">
        <f t="shared" si="29"/>
        <v>6850099</v>
      </c>
      <c r="B257" t="s">
        <v>176</v>
      </c>
      <c r="C257" t="s">
        <v>179</v>
      </c>
      <c r="E257" t="str">
        <f t="shared" si="38"/>
        <v>Hillsboro</v>
      </c>
      <c r="F257" t="str">
        <f t="shared" si="39"/>
        <v>Corp</v>
      </c>
      <c r="G257" s="1">
        <v>68500</v>
      </c>
      <c r="H257" s="1">
        <v>99</v>
      </c>
      <c r="I257" s="1" t="s">
        <v>147</v>
      </c>
      <c r="J257" s="1" t="s">
        <v>56</v>
      </c>
      <c r="K257" s="1" t="s">
        <v>9</v>
      </c>
      <c r="L257" s="5">
        <v>0</v>
      </c>
      <c r="M257" s="5">
        <v>532.30999999999995</v>
      </c>
      <c r="N257" s="5">
        <v>532.30999999999995</v>
      </c>
      <c r="P257">
        <f>VLOOKUP(A257,'[2]SORTED B VS P'!$A$82:$M$315,13,FALSE)</f>
        <v>3274.82</v>
      </c>
      <c r="Q257">
        <f t="shared" si="44"/>
        <v>1637.41</v>
      </c>
      <c r="R257" s="6">
        <f t="shared" si="45"/>
        <v>-1105.1000000000001</v>
      </c>
    </row>
    <row r="258" spans="1:18" hidden="1" x14ac:dyDescent="0.25">
      <c r="A258" t="str">
        <f t="shared" si="29"/>
        <v>6860099</v>
      </c>
      <c r="B258" t="s">
        <v>176</v>
      </c>
      <c r="C258" t="s">
        <v>179</v>
      </c>
      <c r="E258" t="str">
        <f t="shared" si="38"/>
        <v>Hillsboro</v>
      </c>
      <c r="F258" t="str">
        <f t="shared" si="39"/>
        <v>Corp</v>
      </c>
      <c r="G258" s="1">
        <v>68600</v>
      </c>
      <c r="H258" s="1">
        <v>99</v>
      </c>
      <c r="I258" s="1" t="s">
        <v>148</v>
      </c>
      <c r="J258" s="1" t="s">
        <v>56</v>
      </c>
      <c r="K258" s="1" t="s">
        <v>9</v>
      </c>
      <c r="L258" s="5">
        <v>0</v>
      </c>
      <c r="M258" s="5">
        <v>378</v>
      </c>
      <c r="N258" s="5">
        <v>378</v>
      </c>
      <c r="P258">
        <f>VLOOKUP(A258,'[2]SORTED B VS P'!$A$82:$M$315,13,FALSE)</f>
        <v>420</v>
      </c>
      <c r="Q258">
        <f t="shared" si="44"/>
        <v>210</v>
      </c>
      <c r="R258" s="6">
        <f t="shared" si="45"/>
        <v>168</v>
      </c>
    </row>
    <row r="259" spans="1:18" hidden="1" x14ac:dyDescent="0.25">
      <c r="A259" t="str">
        <f t="shared" si="29"/>
        <v>6870099</v>
      </c>
      <c r="B259" t="s">
        <v>176</v>
      </c>
      <c r="C259" t="s">
        <v>179</v>
      </c>
      <c r="E259" t="str">
        <f t="shared" si="38"/>
        <v>Hillsboro</v>
      </c>
      <c r="F259" t="str">
        <f t="shared" si="39"/>
        <v>Corp</v>
      </c>
      <c r="G259" s="1">
        <v>68700</v>
      </c>
      <c r="H259" s="1">
        <v>99</v>
      </c>
      <c r="I259" s="1" t="s">
        <v>149</v>
      </c>
      <c r="J259" s="1" t="s">
        <v>56</v>
      </c>
      <c r="K259" s="1" t="s">
        <v>9</v>
      </c>
      <c r="L259" s="5">
        <v>0</v>
      </c>
      <c r="M259" s="5">
        <v>-255</v>
      </c>
      <c r="N259" s="5">
        <v>-255</v>
      </c>
      <c r="P259">
        <f>VLOOKUP(A259,'[2]SORTED B VS P'!$A$82:$M$315,13,FALSE)</f>
        <v>560</v>
      </c>
      <c r="Q259">
        <f t="shared" si="44"/>
        <v>280</v>
      </c>
      <c r="R259" s="6">
        <f t="shared" si="45"/>
        <v>-535</v>
      </c>
    </row>
    <row r="260" spans="1:18" hidden="1" x14ac:dyDescent="0.25">
      <c r="A260" t="str">
        <f t="shared" si="29"/>
        <v>6900099</v>
      </c>
      <c r="B260" t="s">
        <v>176</v>
      </c>
      <c r="C260" t="s">
        <v>195</v>
      </c>
      <c r="E260" t="str">
        <f t="shared" ref="E260:E298" si="46">IF(H260=1,"Hillsboro",IF(H260=2,"Angola",IF(H260=9,"Hillsboro",IF(H260=99,"Hillsboro",IF(H260=50,"Pixelle","???")))))</f>
        <v>Hillsboro</v>
      </c>
      <c r="F260" t="str">
        <f t="shared" ref="F260:F298" si="47">IF(H260=1,"Hillsboro",IF(H260=2,"Angola",IF(H260=9,"Corp",IF(H260=99,"Corp",IF(H260=50,"Pixelle","???")))))</f>
        <v>Corp</v>
      </c>
      <c r="G260" s="1">
        <v>69000</v>
      </c>
      <c r="H260" s="1">
        <v>99</v>
      </c>
      <c r="I260" s="1" t="s">
        <v>150</v>
      </c>
      <c r="J260" s="1" t="s">
        <v>56</v>
      </c>
      <c r="K260" s="1" t="s">
        <v>9</v>
      </c>
      <c r="L260" s="5">
        <v>0</v>
      </c>
      <c r="M260" s="5">
        <v>4305</v>
      </c>
      <c r="N260" s="5">
        <v>4305</v>
      </c>
    </row>
    <row r="261" spans="1:18" x14ac:dyDescent="0.25">
      <c r="A261" t="str">
        <f t="shared" ref="A261:A298" si="48">G261&amp;H261</f>
        <v>695002</v>
      </c>
      <c r="B261" t="s">
        <v>176</v>
      </c>
      <c r="C261" t="s">
        <v>195</v>
      </c>
      <c r="E261" t="str">
        <f t="shared" si="46"/>
        <v>Angola</v>
      </c>
      <c r="F261" t="str">
        <f t="shared" si="47"/>
        <v>Angola</v>
      </c>
      <c r="G261" s="1">
        <v>69500</v>
      </c>
      <c r="H261" s="1">
        <v>2</v>
      </c>
      <c r="I261" s="1" t="s">
        <v>151</v>
      </c>
      <c r="J261" s="1" t="s">
        <v>56</v>
      </c>
      <c r="K261" s="1" t="s">
        <v>151</v>
      </c>
      <c r="L261" s="5">
        <v>0</v>
      </c>
      <c r="M261" s="5">
        <v>971.64</v>
      </c>
      <c r="N261" s="5">
        <v>971.64</v>
      </c>
    </row>
    <row r="262" spans="1:18" hidden="1" x14ac:dyDescent="0.25">
      <c r="A262" t="str">
        <f t="shared" si="48"/>
        <v>6950050</v>
      </c>
      <c r="B262" t="s">
        <v>176</v>
      </c>
      <c r="C262" t="s">
        <v>195</v>
      </c>
      <c r="E262" t="str">
        <f t="shared" si="46"/>
        <v>Pixelle</v>
      </c>
      <c r="F262" t="str">
        <f t="shared" si="47"/>
        <v>Pixelle</v>
      </c>
      <c r="G262" s="1">
        <v>69500</v>
      </c>
      <c r="H262" s="1">
        <v>50</v>
      </c>
      <c r="I262" s="1" t="s">
        <v>151</v>
      </c>
      <c r="J262" s="1" t="s">
        <v>56</v>
      </c>
      <c r="K262" s="1" t="s">
        <v>151</v>
      </c>
      <c r="L262" s="5">
        <v>0</v>
      </c>
      <c r="M262" s="5">
        <v>825.31</v>
      </c>
      <c r="N262" s="5">
        <v>825.31</v>
      </c>
    </row>
    <row r="263" spans="1:18" hidden="1" x14ac:dyDescent="0.25">
      <c r="A263" t="str">
        <f t="shared" si="48"/>
        <v>6950099</v>
      </c>
      <c r="B263" t="s">
        <v>176</v>
      </c>
      <c r="C263" t="s">
        <v>195</v>
      </c>
      <c r="E263" t="str">
        <f t="shared" si="46"/>
        <v>Hillsboro</v>
      </c>
      <c r="F263" t="str">
        <f t="shared" si="47"/>
        <v>Corp</v>
      </c>
      <c r="G263" s="1">
        <v>69500</v>
      </c>
      <c r="H263" s="1">
        <v>99</v>
      </c>
      <c r="I263" s="1" t="s">
        <v>151</v>
      </c>
      <c r="J263" s="1" t="s">
        <v>56</v>
      </c>
      <c r="K263" s="1" t="s">
        <v>151</v>
      </c>
      <c r="L263" s="5">
        <v>0</v>
      </c>
      <c r="M263" s="5">
        <v>8041.79</v>
      </c>
      <c r="N263" s="5">
        <v>8041.79</v>
      </c>
    </row>
    <row r="264" spans="1:18" hidden="1" x14ac:dyDescent="0.25">
      <c r="A264" t="str">
        <f t="shared" si="48"/>
        <v>700001</v>
      </c>
      <c r="B264" t="s">
        <v>176</v>
      </c>
      <c r="C264" t="s">
        <v>179</v>
      </c>
      <c r="E264" t="str">
        <f t="shared" si="46"/>
        <v>Hillsboro</v>
      </c>
      <c r="F264" t="str">
        <f t="shared" si="47"/>
        <v>Hillsboro</v>
      </c>
      <c r="G264" s="1">
        <v>70000</v>
      </c>
      <c r="H264" s="1">
        <v>1</v>
      </c>
      <c r="I264" s="1" t="s">
        <v>152</v>
      </c>
      <c r="J264" s="1" t="s">
        <v>56</v>
      </c>
      <c r="K264" s="1" t="s">
        <v>9</v>
      </c>
      <c r="L264" s="5">
        <v>0</v>
      </c>
      <c r="M264" s="5">
        <v>167.5</v>
      </c>
      <c r="N264" s="5">
        <v>167.5</v>
      </c>
      <c r="P264">
        <f>VLOOKUP(A264,'[2]SORTED B VS P'!$A$82:$M$315,13,FALSE)</f>
        <v>2645.65</v>
      </c>
      <c r="Q264">
        <f>P264/2</f>
        <v>1322.825</v>
      </c>
      <c r="R264" s="6">
        <f>N264-Q264</f>
        <v>-1155.325</v>
      </c>
    </row>
    <row r="265" spans="1:18" x14ac:dyDescent="0.25">
      <c r="A265" t="str">
        <f t="shared" si="48"/>
        <v>700002</v>
      </c>
      <c r="B265" t="s">
        <v>176</v>
      </c>
      <c r="C265" t="s">
        <v>179</v>
      </c>
      <c r="E265" t="str">
        <f t="shared" si="46"/>
        <v>Angola</v>
      </c>
      <c r="F265" t="str">
        <f t="shared" si="47"/>
        <v>Angola</v>
      </c>
      <c r="G265" s="1">
        <v>70000</v>
      </c>
      <c r="H265" s="1">
        <v>2</v>
      </c>
      <c r="I265" s="1" t="s">
        <v>152</v>
      </c>
      <c r="J265" s="1" t="s">
        <v>56</v>
      </c>
      <c r="K265" s="1" t="s">
        <v>9</v>
      </c>
      <c r="L265" s="5">
        <v>0</v>
      </c>
      <c r="M265" s="5">
        <v>4264.91</v>
      </c>
      <c r="N265" s="5">
        <v>4264.91</v>
      </c>
    </row>
    <row r="266" spans="1:18" hidden="1" x14ac:dyDescent="0.25">
      <c r="A266" t="str">
        <f t="shared" si="48"/>
        <v>7000050</v>
      </c>
      <c r="B266" t="s">
        <v>176</v>
      </c>
      <c r="C266" t="s">
        <v>179</v>
      </c>
      <c r="E266" t="str">
        <f t="shared" si="46"/>
        <v>Pixelle</v>
      </c>
      <c r="F266" t="str">
        <f t="shared" si="47"/>
        <v>Pixelle</v>
      </c>
      <c r="G266" s="1">
        <v>70000</v>
      </c>
      <c r="H266" s="1">
        <v>50</v>
      </c>
      <c r="I266" s="1" t="s">
        <v>152</v>
      </c>
      <c r="J266" s="1" t="s">
        <v>56</v>
      </c>
      <c r="K266" s="1" t="s">
        <v>9</v>
      </c>
      <c r="L266" s="5">
        <v>0</v>
      </c>
      <c r="M266" s="5">
        <v>51.66</v>
      </c>
      <c r="N266" s="5">
        <v>51.66</v>
      </c>
    </row>
    <row r="267" spans="1:18" hidden="1" x14ac:dyDescent="0.25">
      <c r="A267" t="str">
        <f t="shared" si="48"/>
        <v>7000099</v>
      </c>
      <c r="B267" t="s">
        <v>176</v>
      </c>
      <c r="C267" t="s">
        <v>179</v>
      </c>
      <c r="E267" t="str">
        <f t="shared" si="46"/>
        <v>Hillsboro</v>
      </c>
      <c r="F267" t="str">
        <f t="shared" si="47"/>
        <v>Corp</v>
      </c>
      <c r="G267" s="1">
        <v>70000</v>
      </c>
      <c r="H267" s="1">
        <v>99</v>
      </c>
      <c r="I267" s="1" t="s">
        <v>152</v>
      </c>
      <c r="J267" s="1" t="s">
        <v>56</v>
      </c>
      <c r="K267" s="1" t="s">
        <v>9</v>
      </c>
      <c r="L267" s="5">
        <v>0</v>
      </c>
      <c r="M267" s="5">
        <v>1658.79</v>
      </c>
      <c r="N267" s="5">
        <v>1658.79</v>
      </c>
      <c r="P267">
        <f>VLOOKUP(A267,'[2]SORTED B VS P'!$A$82:$M$315,13,FALSE)</f>
        <v>3327.86</v>
      </c>
      <c r="Q267">
        <f>P267/2</f>
        <v>1663.93</v>
      </c>
      <c r="R267" s="6">
        <f>N267-Q267</f>
        <v>-5.1400000000001</v>
      </c>
    </row>
    <row r="268" spans="1:18" hidden="1" x14ac:dyDescent="0.25">
      <c r="A268" t="str">
        <f t="shared" si="48"/>
        <v>710001</v>
      </c>
      <c r="B268" t="s">
        <v>176</v>
      </c>
      <c r="C268" t="s">
        <v>196</v>
      </c>
      <c r="E268" t="str">
        <f t="shared" si="46"/>
        <v>Hillsboro</v>
      </c>
      <c r="F268" t="str">
        <f t="shared" si="47"/>
        <v>Hillsboro</v>
      </c>
      <c r="G268" s="1">
        <v>71000</v>
      </c>
      <c r="H268" s="1">
        <v>1</v>
      </c>
      <c r="I268" s="1" t="s">
        <v>153</v>
      </c>
      <c r="J268" s="1" t="s">
        <v>56</v>
      </c>
      <c r="K268" s="1" t="s">
        <v>9</v>
      </c>
      <c r="L268" s="5">
        <v>0</v>
      </c>
      <c r="M268" s="5">
        <v>-143148.51999999999</v>
      </c>
      <c r="N268" s="5">
        <v>-143148.51999999999</v>
      </c>
    </row>
    <row r="269" spans="1:18" x14ac:dyDescent="0.25">
      <c r="A269" t="str">
        <f t="shared" si="48"/>
        <v>710002</v>
      </c>
      <c r="B269" t="s">
        <v>176</v>
      </c>
      <c r="C269" t="s">
        <v>196</v>
      </c>
      <c r="E269" t="str">
        <f t="shared" si="46"/>
        <v>Angola</v>
      </c>
      <c r="F269" t="str">
        <f t="shared" si="47"/>
        <v>Angola</v>
      </c>
      <c r="G269" s="1">
        <v>71000</v>
      </c>
      <c r="H269" s="1">
        <v>2</v>
      </c>
      <c r="I269" s="1" t="s">
        <v>153</v>
      </c>
      <c r="J269" s="1" t="s">
        <v>56</v>
      </c>
      <c r="K269" s="1" t="s">
        <v>9</v>
      </c>
      <c r="L269" s="5">
        <v>0</v>
      </c>
      <c r="M269" s="5">
        <v>-186087.67999999999</v>
      </c>
      <c r="N269" s="5">
        <v>-186087.67999999999</v>
      </c>
    </row>
    <row r="270" spans="1:18" hidden="1" x14ac:dyDescent="0.25">
      <c r="A270" t="str">
        <f t="shared" si="48"/>
        <v>715001</v>
      </c>
      <c r="B270" t="s">
        <v>176</v>
      </c>
      <c r="C270" t="s">
        <v>196</v>
      </c>
      <c r="E270" t="str">
        <f t="shared" si="46"/>
        <v>Hillsboro</v>
      </c>
      <c r="F270" t="str">
        <f t="shared" si="47"/>
        <v>Hillsboro</v>
      </c>
      <c r="G270" s="1">
        <v>71500</v>
      </c>
      <c r="H270" s="1">
        <v>1</v>
      </c>
      <c r="I270" s="1" t="s">
        <v>154</v>
      </c>
      <c r="J270" s="1" t="s">
        <v>56</v>
      </c>
      <c r="K270" s="1" t="s">
        <v>154</v>
      </c>
      <c r="L270" s="5">
        <v>0</v>
      </c>
      <c r="M270" s="5">
        <v>-2000</v>
      </c>
      <c r="N270" s="5">
        <v>-2000</v>
      </c>
    </row>
    <row r="271" spans="1:18" hidden="1" x14ac:dyDescent="0.25">
      <c r="A271" t="str">
        <f t="shared" si="48"/>
        <v>720001</v>
      </c>
      <c r="B271" t="s">
        <v>176</v>
      </c>
      <c r="C271" t="s">
        <v>197</v>
      </c>
      <c r="E271" t="str">
        <f t="shared" si="46"/>
        <v>Hillsboro</v>
      </c>
      <c r="F271" t="str">
        <f t="shared" si="47"/>
        <v>Hillsboro</v>
      </c>
      <c r="G271" s="1">
        <v>72000</v>
      </c>
      <c r="H271" s="1">
        <v>1</v>
      </c>
      <c r="I271" s="1" t="s">
        <v>155</v>
      </c>
      <c r="J271" s="1" t="s">
        <v>56</v>
      </c>
      <c r="K271" s="1" t="s">
        <v>9</v>
      </c>
      <c r="L271" s="5">
        <v>0</v>
      </c>
      <c r="M271" s="5">
        <v>125457.9</v>
      </c>
      <c r="N271" s="5">
        <v>125457.9</v>
      </c>
    </row>
    <row r="272" spans="1:18" x14ac:dyDescent="0.25">
      <c r="A272" t="str">
        <f t="shared" si="48"/>
        <v>720002</v>
      </c>
      <c r="B272" t="s">
        <v>176</v>
      </c>
      <c r="C272" t="s">
        <v>197</v>
      </c>
      <c r="E272" t="str">
        <f t="shared" si="46"/>
        <v>Angola</v>
      </c>
      <c r="F272" t="str">
        <f t="shared" si="47"/>
        <v>Angola</v>
      </c>
      <c r="G272" s="1">
        <v>72000</v>
      </c>
      <c r="H272" s="1">
        <v>2</v>
      </c>
      <c r="I272" s="1" t="s">
        <v>155</v>
      </c>
      <c r="J272" s="1" t="s">
        <v>56</v>
      </c>
      <c r="K272" s="1" t="s">
        <v>9</v>
      </c>
      <c r="L272" s="5">
        <v>0</v>
      </c>
      <c r="M272" s="5">
        <v>145827.64000000001</v>
      </c>
      <c r="N272" s="5">
        <v>145827.64000000001</v>
      </c>
    </row>
    <row r="273" spans="1:14" hidden="1" x14ac:dyDescent="0.25">
      <c r="A273" t="str">
        <f t="shared" si="48"/>
        <v>730001</v>
      </c>
      <c r="B273" t="s">
        <v>176</v>
      </c>
      <c r="C273" s="8" t="s">
        <v>198</v>
      </c>
      <c r="E273" t="str">
        <f t="shared" si="46"/>
        <v>Hillsboro</v>
      </c>
      <c r="F273" t="str">
        <f t="shared" si="47"/>
        <v>Hillsboro</v>
      </c>
      <c r="G273" s="1">
        <v>73000</v>
      </c>
      <c r="H273" s="1">
        <v>1</v>
      </c>
      <c r="I273" s="1" t="s">
        <v>156</v>
      </c>
      <c r="J273" s="1" t="s">
        <v>56</v>
      </c>
      <c r="K273" s="1" t="s">
        <v>9</v>
      </c>
      <c r="L273" s="5">
        <v>0</v>
      </c>
      <c r="M273" s="5">
        <v>3621.48</v>
      </c>
      <c r="N273" s="5">
        <v>3621.48</v>
      </c>
    </row>
    <row r="274" spans="1:14" x14ac:dyDescent="0.25">
      <c r="A274" t="str">
        <f t="shared" si="48"/>
        <v>730002</v>
      </c>
      <c r="B274" t="s">
        <v>176</v>
      </c>
      <c r="C274" s="8" t="s">
        <v>198</v>
      </c>
      <c r="E274" t="str">
        <f t="shared" si="46"/>
        <v>Angola</v>
      </c>
      <c r="F274" t="str">
        <f t="shared" si="47"/>
        <v>Angola</v>
      </c>
      <c r="G274" s="1">
        <v>73000</v>
      </c>
      <c r="H274" s="1">
        <v>2</v>
      </c>
      <c r="I274" s="1" t="s">
        <v>156</v>
      </c>
      <c r="J274" s="1" t="s">
        <v>56</v>
      </c>
      <c r="K274" s="1" t="s">
        <v>9</v>
      </c>
      <c r="L274" s="5">
        <v>0</v>
      </c>
      <c r="M274" s="5">
        <v>1796.47</v>
      </c>
      <c r="N274" s="5">
        <v>1796.47</v>
      </c>
    </row>
    <row r="275" spans="1:14" hidden="1" x14ac:dyDescent="0.25">
      <c r="A275" t="str">
        <f t="shared" si="48"/>
        <v>7300099</v>
      </c>
      <c r="B275" t="s">
        <v>176</v>
      </c>
      <c r="C275" s="8" t="s">
        <v>198</v>
      </c>
      <c r="E275" t="str">
        <f t="shared" si="46"/>
        <v>Hillsboro</v>
      </c>
      <c r="F275" t="str">
        <f t="shared" si="47"/>
        <v>Corp</v>
      </c>
      <c r="G275" s="1">
        <v>73000</v>
      </c>
      <c r="H275" s="1">
        <v>99</v>
      </c>
      <c r="I275" s="1" t="s">
        <v>156</v>
      </c>
      <c r="J275" s="1" t="s">
        <v>56</v>
      </c>
      <c r="K275" s="1" t="s">
        <v>9</v>
      </c>
      <c r="L275" s="5">
        <v>0</v>
      </c>
      <c r="M275" s="5">
        <v>34.22</v>
      </c>
      <c r="N275" s="5">
        <v>34.22</v>
      </c>
    </row>
    <row r="276" spans="1:14" hidden="1" x14ac:dyDescent="0.25">
      <c r="A276" t="str">
        <f t="shared" si="48"/>
        <v>740001</v>
      </c>
      <c r="B276" t="s">
        <v>176</v>
      </c>
      <c r="C276" s="8" t="s">
        <v>198</v>
      </c>
      <c r="E276" t="str">
        <f t="shared" si="46"/>
        <v>Hillsboro</v>
      </c>
      <c r="F276" t="str">
        <f t="shared" si="47"/>
        <v>Hillsboro</v>
      </c>
      <c r="G276" s="1">
        <v>74000</v>
      </c>
      <c r="H276" s="1">
        <v>1</v>
      </c>
      <c r="I276" s="1" t="s">
        <v>157</v>
      </c>
      <c r="J276" s="1" t="s">
        <v>56</v>
      </c>
      <c r="K276" s="1" t="s">
        <v>9</v>
      </c>
      <c r="L276" s="5">
        <v>0</v>
      </c>
      <c r="M276" s="5">
        <v>4145.93</v>
      </c>
      <c r="N276" s="5">
        <v>4145.93</v>
      </c>
    </row>
    <row r="277" spans="1:14" x14ac:dyDescent="0.25">
      <c r="A277" t="str">
        <f t="shared" si="48"/>
        <v>740002</v>
      </c>
      <c r="B277" t="s">
        <v>176</v>
      </c>
      <c r="C277" s="8" t="s">
        <v>198</v>
      </c>
      <c r="E277" t="str">
        <f t="shared" si="46"/>
        <v>Angola</v>
      </c>
      <c r="F277" t="str">
        <f t="shared" si="47"/>
        <v>Angola</v>
      </c>
      <c r="G277" s="1">
        <v>74000</v>
      </c>
      <c r="H277" s="1">
        <v>2</v>
      </c>
      <c r="I277" s="1" t="s">
        <v>157</v>
      </c>
      <c r="J277" s="1" t="s">
        <v>56</v>
      </c>
      <c r="K277" s="1" t="s">
        <v>9</v>
      </c>
      <c r="L277" s="5">
        <v>0</v>
      </c>
      <c r="M277" s="5">
        <v>3936.33</v>
      </c>
      <c r="N277" s="5">
        <v>3936.33</v>
      </c>
    </row>
    <row r="278" spans="1:14" hidden="1" x14ac:dyDescent="0.25">
      <c r="A278" t="str">
        <f t="shared" si="48"/>
        <v>745001</v>
      </c>
      <c r="B278" t="s">
        <v>176</v>
      </c>
      <c r="C278" t="s">
        <v>177</v>
      </c>
      <c r="E278" t="str">
        <f t="shared" si="46"/>
        <v>Hillsboro</v>
      </c>
      <c r="F278" t="str">
        <f t="shared" si="47"/>
        <v>Hillsboro</v>
      </c>
      <c r="G278" s="1">
        <v>74500</v>
      </c>
      <c r="H278" s="1">
        <v>1</v>
      </c>
      <c r="I278" s="1" t="s">
        <v>158</v>
      </c>
      <c r="J278" s="1" t="s">
        <v>56</v>
      </c>
      <c r="K278" s="1" t="s">
        <v>158</v>
      </c>
      <c r="L278" s="5">
        <v>0</v>
      </c>
      <c r="M278" s="5">
        <v>31396</v>
      </c>
      <c r="N278" s="5">
        <v>31396</v>
      </c>
    </row>
    <row r="279" spans="1:14" x14ac:dyDescent="0.25">
      <c r="A279" t="str">
        <f t="shared" si="48"/>
        <v>745002</v>
      </c>
      <c r="B279" t="s">
        <v>176</v>
      </c>
      <c r="C279" t="s">
        <v>177</v>
      </c>
      <c r="E279" t="str">
        <f t="shared" si="46"/>
        <v>Angola</v>
      </c>
      <c r="F279" t="str">
        <f t="shared" si="47"/>
        <v>Angola</v>
      </c>
      <c r="G279" s="1">
        <v>74500</v>
      </c>
      <c r="H279" s="1">
        <v>2</v>
      </c>
      <c r="I279" s="1" t="s">
        <v>158</v>
      </c>
      <c r="J279" s="1" t="s">
        <v>56</v>
      </c>
      <c r="K279" s="1" t="s">
        <v>158</v>
      </c>
      <c r="L279" s="5">
        <v>0</v>
      </c>
      <c r="M279" s="5">
        <v>3976.2</v>
      </c>
      <c r="N279" s="5">
        <v>3976.2</v>
      </c>
    </row>
    <row r="280" spans="1:14" hidden="1" x14ac:dyDescent="0.25">
      <c r="A280" t="str">
        <f t="shared" si="48"/>
        <v>800001</v>
      </c>
      <c r="B280" t="s">
        <v>176</v>
      </c>
      <c r="C280" s="14" t="s">
        <v>199</v>
      </c>
      <c r="E280" t="str">
        <f t="shared" si="46"/>
        <v>Hillsboro</v>
      </c>
      <c r="F280" t="str">
        <f t="shared" si="47"/>
        <v>Hillsboro</v>
      </c>
      <c r="G280" s="1">
        <v>80000</v>
      </c>
      <c r="H280" s="1">
        <v>1</v>
      </c>
      <c r="I280" s="1" t="s">
        <v>159</v>
      </c>
      <c r="J280" s="1" t="s">
        <v>56</v>
      </c>
      <c r="K280" s="1" t="s">
        <v>9</v>
      </c>
      <c r="L280" s="5">
        <v>0</v>
      </c>
      <c r="M280" s="5">
        <v>-53329.61</v>
      </c>
      <c r="N280" s="5">
        <v>-53329.61</v>
      </c>
    </row>
    <row r="281" spans="1:14" x14ac:dyDescent="0.25">
      <c r="A281" t="str">
        <f t="shared" si="48"/>
        <v>800002</v>
      </c>
      <c r="B281" t="s">
        <v>176</v>
      </c>
      <c r="C281" s="14" t="s">
        <v>199</v>
      </c>
      <c r="E281" t="str">
        <f t="shared" si="46"/>
        <v>Angola</v>
      </c>
      <c r="F281" t="str">
        <f t="shared" si="47"/>
        <v>Angola</v>
      </c>
      <c r="G281" s="1">
        <v>80000</v>
      </c>
      <c r="H281" s="1">
        <v>2</v>
      </c>
      <c r="I281" s="1" t="s">
        <v>159</v>
      </c>
      <c r="J281" s="1" t="s">
        <v>56</v>
      </c>
      <c r="K281" s="1" t="s">
        <v>9</v>
      </c>
      <c r="L281" s="5">
        <v>0</v>
      </c>
      <c r="M281" s="5">
        <v>-719.67</v>
      </c>
      <c r="N281" s="5">
        <v>-719.67</v>
      </c>
    </row>
    <row r="282" spans="1:14" hidden="1" x14ac:dyDescent="0.25">
      <c r="A282" t="str">
        <f t="shared" si="48"/>
        <v>8000050</v>
      </c>
      <c r="B282" t="s">
        <v>176</v>
      </c>
      <c r="C282" s="14" t="s">
        <v>199</v>
      </c>
      <c r="E282" s="11" t="str">
        <f t="shared" si="46"/>
        <v>Pixelle</v>
      </c>
      <c r="F282" s="11" t="str">
        <f t="shared" si="47"/>
        <v>Pixelle</v>
      </c>
      <c r="G282" s="107">
        <v>80000</v>
      </c>
      <c r="H282" s="107">
        <v>50</v>
      </c>
      <c r="I282" s="107" t="s">
        <v>159</v>
      </c>
      <c r="J282" s="107" t="s">
        <v>56</v>
      </c>
      <c r="K282" s="107" t="s">
        <v>9</v>
      </c>
      <c r="L282" s="108">
        <v>0</v>
      </c>
      <c r="M282" s="108">
        <v>-9843</v>
      </c>
      <c r="N282" s="108">
        <v>-9843</v>
      </c>
    </row>
    <row r="283" spans="1:14" hidden="1" x14ac:dyDescent="0.25">
      <c r="A283" t="str">
        <f t="shared" si="48"/>
        <v>810001</v>
      </c>
      <c r="B283" t="s">
        <v>176</v>
      </c>
      <c r="C283" s="14" t="s">
        <v>199</v>
      </c>
      <c r="E283" t="str">
        <f t="shared" si="46"/>
        <v>Hillsboro</v>
      </c>
      <c r="F283" t="str">
        <f t="shared" si="47"/>
        <v>Hillsboro</v>
      </c>
      <c r="G283" s="1">
        <v>81000</v>
      </c>
      <c r="H283" s="1">
        <v>1</v>
      </c>
      <c r="I283" s="1" t="s">
        <v>160</v>
      </c>
      <c r="J283" s="1" t="s">
        <v>56</v>
      </c>
      <c r="K283" s="1" t="s">
        <v>9</v>
      </c>
      <c r="L283" s="5">
        <v>0</v>
      </c>
      <c r="M283" s="5">
        <v>-250</v>
      </c>
      <c r="N283" s="5">
        <v>-250</v>
      </c>
    </row>
    <row r="284" spans="1:14" x14ac:dyDescent="0.25">
      <c r="A284" t="str">
        <f t="shared" si="48"/>
        <v>810002</v>
      </c>
      <c r="B284" t="s">
        <v>176</v>
      </c>
      <c r="C284" s="14" t="s">
        <v>199</v>
      </c>
      <c r="E284" t="str">
        <f t="shared" si="46"/>
        <v>Angola</v>
      </c>
      <c r="F284" t="str">
        <f t="shared" si="47"/>
        <v>Angola</v>
      </c>
      <c r="G284" s="1">
        <v>81000</v>
      </c>
      <c r="H284" s="1">
        <v>2</v>
      </c>
      <c r="I284" s="1" t="s">
        <v>160</v>
      </c>
      <c r="J284" s="1" t="s">
        <v>56</v>
      </c>
      <c r="K284" s="1" t="s">
        <v>9</v>
      </c>
      <c r="L284" s="5">
        <v>0</v>
      </c>
      <c r="M284" s="5">
        <v>-1835.4</v>
      </c>
      <c r="N284" s="5">
        <v>-1835.4</v>
      </c>
    </row>
    <row r="285" spans="1:14" hidden="1" x14ac:dyDescent="0.25">
      <c r="A285" t="str">
        <f t="shared" si="48"/>
        <v>8100050</v>
      </c>
      <c r="B285" t="s">
        <v>176</v>
      </c>
      <c r="C285" s="14" t="s">
        <v>199</v>
      </c>
      <c r="E285" s="11" t="str">
        <f t="shared" si="46"/>
        <v>Pixelle</v>
      </c>
      <c r="F285" s="11" t="str">
        <f t="shared" si="47"/>
        <v>Pixelle</v>
      </c>
      <c r="G285" s="107">
        <v>81000</v>
      </c>
      <c r="H285" s="107">
        <v>50</v>
      </c>
      <c r="I285" s="107" t="s">
        <v>160</v>
      </c>
      <c r="J285" s="107" t="s">
        <v>56</v>
      </c>
      <c r="K285" s="107" t="s">
        <v>9</v>
      </c>
      <c r="L285" s="108">
        <v>0</v>
      </c>
      <c r="M285" s="108">
        <v>-12000</v>
      </c>
      <c r="N285" s="108">
        <v>-12000</v>
      </c>
    </row>
    <row r="286" spans="1:14" hidden="1" x14ac:dyDescent="0.25">
      <c r="A286" t="str">
        <f t="shared" si="48"/>
        <v>8100099</v>
      </c>
      <c r="B286" t="s">
        <v>176</v>
      </c>
      <c r="C286" s="14" t="s">
        <v>199</v>
      </c>
      <c r="E286" t="str">
        <f t="shared" si="46"/>
        <v>Hillsboro</v>
      </c>
      <c r="F286" t="str">
        <f t="shared" si="47"/>
        <v>Corp</v>
      </c>
      <c r="G286" s="1">
        <v>81000</v>
      </c>
      <c r="H286" s="1">
        <v>99</v>
      </c>
      <c r="I286" s="1" t="s">
        <v>160</v>
      </c>
      <c r="J286" s="1" t="s">
        <v>56</v>
      </c>
      <c r="K286" s="1" t="s">
        <v>9</v>
      </c>
      <c r="L286" s="5">
        <v>0</v>
      </c>
      <c r="M286" s="5">
        <v>-2525</v>
      </c>
      <c r="N286" s="5">
        <v>-2525</v>
      </c>
    </row>
    <row r="287" spans="1:14" hidden="1" x14ac:dyDescent="0.25">
      <c r="A287" t="str">
        <f t="shared" si="48"/>
        <v>8200099</v>
      </c>
      <c r="B287" t="s">
        <v>176</v>
      </c>
      <c r="C287" s="10" t="s">
        <v>200</v>
      </c>
      <c r="E287" t="str">
        <f t="shared" si="46"/>
        <v>Hillsboro</v>
      </c>
      <c r="F287" t="str">
        <f t="shared" si="47"/>
        <v>Corp</v>
      </c>
      <c r="G287" s="1">
        <v>82000</v>
      </c>
      <c r="H287" s="1">
        <v>99</v>
      </c>
      <c r="I287" s="15" t="s">
        <v>161</v>
      </c>
      <c r="J287" s="1" t="s">
        <v>56</v>
      </c>
      <c r="K287" s="1" t="s">
        <v>9</v>
      </c>
      <c r="L287" s="5">
        <v>0</v>
      </c>
      <c r="M287" s="5">
        <v>-19607.13</v>
      </c>
      <c r="N287" s="5">
        <v>-19607.13</v>
      </c>
    </row>
    <row r="288" spans="1:14" hidden="1" x14ac:dyDescent="0.25">
      <c r="A288" t="str">
        <f t="shared" si="48"/>
        <v>8300099</v>
      </c>
      <c r="B288" t="s">
        <v>176</v>
      </c>
      <c r="C288" t="s">
        <v>201</v>
      </c>
      <c r="E288" t="str">
        <f t="shared" si="46"/>
        <v>Hillsboro</v>
      </c>
      <c r="F288" s="51" t="str">
        <f t="shared" si="47"/>
        <v>Corp</v>
      </c>
      <c r="G288" s="99">
        <v>83000</v>
      </c>
      <c r="H288" s="99">
        <v>99</v>
      </c>
      <c r="I288" s="99" t="s">
        <v>162</v>
      </c>
      <c r="J288" s="99" t="s">
        <v>56</v>
      </c>
      <c r="K288" s="99" t="s">
        <v>9</v>
      </c>
      <c r="L288" s="100">
        <v>0</v>
      </c>
      <c r="M288" s="100">
        <v>-9237.9500000000007</v>
      </c>
      <c r="N288" s="100">
        <v>-9237.9500000000007</v>
      </c>
    </row>
    <row r="289" spans="1:15" hidden="1" x14ac:dyDescent="0.25">
      <c r="A289" t="str">
        <f t="shared" si="48"/>
        <v>8400099</v>
      </c>
      <c r="B289" t="s">
        <v>176</v>
      </c>
      <c r="C289" t="s">
        <v>201</v>
      </c>
      <c r="E289" t="str">
        <f t="shared" si="46"/>
        <v>Hillsboro</v>
      </c>
      <c r="F289" s="51" t="str">
        <f t="shared" si="47"/>
        <v>Corp</v>
      </c>
      <c r="G289" s="99">
        <v>84000</v>
      </c>
      <c r="H289" s="99">
        <v>99</v>
      </c>
      <c r="I289" s="99" t="s">
        <v>163</v>
      </c>
      <c r="J289" s="99" t="s">
        <v>56</v>
      </c>
      <c r="K289" s="99" t="s">
        <v>163</v>
      </c>
      <c r="L289" s="100">
        <v>0</v>
      </c>
      <c r="M289" s="100">
        <v>-133786.29999999999</v>
      </c>
      <c r="N289" s="100">
        <v>-133786.29999999999</v>
      </c>
    </row>
    <row r="290" spans="1:15" x14ac:dyDescent="0.25">
      <c r="A290" t="str">
        <f t="shared" si="48"/>
        <v>900002</v>
      </c>
      <c r="B290" t="s">
        <v>176</v>
      </c>
      <c r="C290" t="s">
        <v>201</v>
      </c>
      <c r="E290" t="str">
        <f t="shared" si="46"/>
        <v>Angola</v>
      </c>
      <c r="F290" t="str">
        <f t="shared" si="47"/>
        <v>Angola</v>
      </c>
      <c r="G290" s="1">
        <v>90000</v>
      </c>
      <c r="H290" s="1">
        <v>2</v>
      </c>
      <c r="I290" s="1" t="s">
        <v>164</v>
      </c>
      <c r="J290" s="1" t="s">
        <v>56</v>
      </c>
      <c r="K290" s="1" t="s">
        <v>9</v>
      </c>
      <c r="L290" s="5">
        <v>0</v>
      </c>
      <c r="M290" s="5">
        <v>4.33</v>
      </c>
      <c r="N290" s="5">
        <v>4.33</v>
      </c>
    </row>
    <row r="291" spans="1:15" hidden="1" x14ac:dyDescent="0.25">
      <c r="A291" t="str">
        <f t="shared" si="48"/>
        <v>9000099</v>
      </c>
      <c r="B291" t="s">
        <v>176</v>
      </c>
      <c r="C291" t="s">
        <v>201</v>
      </c>
      <c r="E291" t="str">
        <f t="shared" si="46"/>
        <v>Hillsboro</v>
      </c>
      <c r="F291" t="str">
        <f t="shared" si="47"/>
        <v>Corp</v>
      </c>
      <c r="G291" s="1">
        <v>90000</v>
      </c>
      <c r="H291" s="1">
        <v>99</v>
      </c>
      <c r="I291" s="1" t="s">
        <v>164</v>
      </c>
      <c r="J291" s="1" t="s">
        <v>56</v>
      </c>
      <c r="K291" s="1" t="s">
        <v>9</v>
      </c>
      <c r="L291" s="5">
        <v>0</v>
      </c>
      <c r="M291" s="5">
        <v>0</v>
      </c>
      <c r="N291" s="5">
        <v>0</v>
      </c>
    </row>
    <row r="292" spans="1:15" hidden="1" x14ac:dyDescent="0.25">
      <c r="A292" t="str">
        <f t="shared" si="48"/>
        <v>9200099</v>
      </c>
      <c r="B292" t="s">
        <v>176</v>
      </c>
      <c r="C292" t="s">
        <v>201</v>
      </c>
      <c r="E292" t="str">
        <f t="shared" si="46"/>
        <v>Hillsboro</v>
      </c>
      <c r="F292" s="51" t="str">
        <f t="shared" si="47"/>
        <v>Corp</v>
      </c>
      <c r="G292" s="99">
        <v>92000</v>
      </c>
      <c r="H292" s="99">
        <v>99</v>
      </c>
      <c r="I292" s="99" t="s">
        <v>165</v>
      </c>
      <c r="J292" s="99" t="s">
        <v>56</v>
      </c>
      <c r="K292" s="99" t="s">
        <v>9</v>
      </c>
      <c r="L292" s="100">
        <v>0</v>
      </c>
      <c r="M292" s="100">
        <v>11022.7</v>
      </c>
      <c r="N292" s="100">
        <v>11022.7</v>
      </c>
    </row>
    <row r="293" spans="1:15" hidden="1" x14ac:dyDescent="0.25">
      <c r="A293" t="str">
        <f t="shared" si="48"/>
        <v>998001</v>
      </c>
      <c r="B293" t="s">
        <v>176</v>
      </c>
      <c r="C293" t="s">
        <v>202</v>
      </c>
      <c r="E293" t="str">
        <f t="shared" si="46"/>
        <v>Hillsboro</v>
      </c>
      <c r="F293" t="str">
        <f t="shared" si="47"/>
        <v>Hillsboro</v>
      </c>
      <c r="G293" s="1">
        <v>99800</v>
      </c>
      <c r="H293" s="1">
        <v>1</v>
      </c>
      <c r="I293" s="1" t="s">
        <v>166</v>
      </c>
      <c r="J293" s="1" t="s">
        <v>56</v>
      </c>
      <c r="K293" s="1" t="s">
        <v>9</v>
      </c>
      <c r="L293" s="5">
        <v>0</v>
      </c>
      <c r="M293" s="5">
        <v>2218042.3199999998</v>
      </c>
      <c r="N293" s="5">
        <v>2218042.3199999998</v>
      </c>
    </row>
    <row r="294" spans="1:15" x14ac:dyDescent="0.25">
      <c r="A294" t="str">
        <f t="shared" si="48"/>
        <v>998002</v>
      </c>
      <c r="B294" t="s">
        <v>176</v>
      </c>
      <c r="C294" t="s">
        <v>202</v>
      </c>
      <c r="E294" t="str">
        <f t="shared" si="46"/>
        <v>Angola</v>
      </c>
      <c r="F294" t="str">
        <f t="shared" si="47"/>
        <v>Angola</v>
      </c>
      <c r="G294" s="1">
        <v>99800</v>
      </c>
      <c r="H294" s="1">
        <v>2</v>
      </c>
      <c r="I294" s="1" t="s">
        <v>166</v>
      </c>
      <c r="J294" s="1" t="s">
        <v>56</v>
      </c>
      <c r="K294" s="1" t="s">
        <v>9</v>
      </c>
      <c r="L294" s="5">
        <v>0</v>
      </c>
      <c r="M294" s="5">
        <v>1551614.6</v>
      </c>
      <c r="N294" s="5">
        <v>1551614.6</v>
      </c>
    </row>
    <row r="295" spans="1:15" hidden="1" x14ac:dyDescent="0.25">
      <c r="A295" t="str">
        <f t="shared" si="48"/>
        <v>9980050</v>
      </c>
      <c r="B295" t="s">
        <v>176</v>
      </c>
      <c r="C295" t="s">
        <v>202</v>
      </c>
      <c r="E295" t="str">
        <f t="shared" si="46"/>
        <v>Pixelle</v>
      </c>
      <c r="F295" t="str">
        <f t="shared" si="47"/>
        <v>Pixelle</v>
      </c>
      <c r="G295" s="1">
        <v>99800</v>
      </c>
      <c r="H295" s="1">
        <v>50</v>
      </c>
      <c r="I295" s="1" t="s">
        <v>166</v>
      </c>
      <c r="J295" s="1" t="s">
        <v>56</v>
      </c>
      <c r="K295" s="1" t="s">
        <v>9</v>
      </c>
      <c r="L295" s="5">
        <v>0</v>
      </c>
      <c r="M295" s="5">
        <v>944163</v>
      </c>
      <c r="N295" s="5">
        <v>944163</v>
      </c>
    </row>
    <row r="296" spans="1:15" hidden="1" x14ac:dyDescent="0.25">
      <c r="A296" t="str">
        <f t="shared" si="48"/>
        <v>999001</v>
      </c>
      <c r="B296" t="s">
        <v>176</v>
      </c>
      <c r="C296" t="s">
        <v>202</v>
      </c>
      <c r="E296" t="str">
        <f t="shared" si="46"/>
        <v>Hillsboro</v>
      </c>
      <c r="F296" t="str">
        <f t="shared" si="47"/>
        <v>Hillsboro</v>
      </c>
      <c r="G296" s="1">
        <v>99900</v>
      </c>
      <c r="H296" s="1">
        <v>1</v>
      </c>
      <c r="I296" s="1" t="s">
        <v>167</v>
      </c>
      <c r="J296" s="1" t="s">
        <v>56</v>
      </c>
      <c r="K296" s="1" t="s">
        <v>9</v>
      </c>
      <c r="L296" s="5">
        <v>0</v>
      </c>
      <c r="M296" s="5">
        <v>-2218042.3199999998</v>
      </c>
      <c r="N296" s="5">
        <v>-2218042.3199999998</v>
      </c>
    </row>
    <row r="297" spans="1:15" x14ac:dyDescent="0.25">
      <c r="A297" t="str">
        <f t="shared" si="48"/>
        <v>999002</v>
      </c>
      <c r="B297" t="s">
        <v>176</v>
      </c>
      <c r="C297" t="s">
        <v>202</v>
      </c>
      <c r="E297" t="str">
        <f t="shared" si="46"/>
        <v>Angola</v>
      </c>
      <c r="F297" t="str">
        <f t="shared" si="47"/>
        <v>Angola</v>
      </c>
      <c r="G297" s="1">
        <v>99900</v>
      </c>
      <c r="H297" s="1">
        <v>2</v>
      </c>
      <c r="I297" s="1" t="s">
        <v>167</v>
      </c>
      <c r="J297" s="1" t="s">
        <v>56</v>
      </c>
      <c r="K297" s="1" t="s">
        <v>9</v>
      </c>
      <c r="L297" s="5">
        <v>0</v>
      </c>
      <c r="M297" s="5">
        <v>-1551614.6</v>
      </c>
      <c r="N297" s="5">
        <v>-1551614.6</v>
      </c>
    </row>
    <row r="298" spans="1:15" hidden="1" x14ac:dyDescent="0.25">
      <c r="A298" t="str">
        <f t="shared" si="48"/>
        <v>9990050</v>
      </c>
      <c r="B298" t="s">
        <v>176</v>
      </c>
      <c r="C298" t="s">
        <v>202</v>
      </c>
      <c r="E298" t="str">
        <f t="shared" si="46"/>
        <v>Pixelle</v>
      </c>
      <c r="F298" t="str">
        <f t="shared" si="47"/>
        <v>Pixelle</v>
      </c>
      <c r="G298" s="1">
        <v>99900</v>
      </c>
      <c r="H298" s="1">
        <v>50</v>
      </c>
      <c r="I298" s="1" t="s">
        <v>167</v>
      </c>
      <c r="J298" s="1" t="s">
        <v>56</v>
      </c>
      <c r="K298" s="1" t="s">
        <v>9</v>
      </c>
      <c r="L298" s="5">
        <v>0</v>
      </c>
      <c r="M298" s="5">
        <v>-944163</v>
      </c>
      <c r="N298" s="5">
        <v>-944163</v>
      </c>
    </row>
    <row r="300" spans="1:15" x14ac:dyDescent="0.25">
      <c r="N300" s="6">
        <f>SUM(N67:N299)</f>
        <v>-467828.13000000082</v>
      </c>
      <c r="O300" t="s">
        <v>168</v>
      </c>
    </row>
  </sheetData>
  <autoFilter ref="A1:O298" xr:uid="{AB5A392A-653B-4A14-91EE-24A0BAB01957}">
    <filterColumn colId="5">
      <filters>
        <filter val="Angola"/>
      </filters>
    </filterColumn>
  </autoFilter>
  <sortState xmlns:xlrd2="http://schemas.microsoft.com/office/spreadsheetml/2017/richdata2" ref="G2:N298">
    <sortCondition ref="J2:J298"/>
    <sortCondition ref="G2:G298"/>
    <sortCondition ref="H2:H298"/>
  </sortState>
  <conditionalFormatting sqref="R80:R26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3A271-D7D1-45EA-BE75-723E7671EFFE}">
  <dimension ref="A1:H28"/>
  <sheetViews>
    <sheetView workbookViewId="0">
      <selection activeCell="E5" sqref="E5"/>
    </sheetView>
  </sheetViews>
  <sheetFormatPr defaultRowHeight="15" x14ac:dyDescent="0.25"/>
  <cols>
    <col min="3" max="3" width="29.85546875" bestFit="1" customWidth="1"/>
    <col min="5" max="5" width="22" customWidth="1"/>
    <col min="6" max="6" width="16.85546875" customWidth="1"/>
    <col min="7" max="7" width="22.42578125" customWidth="1"/>
    <col min="8" max="8" width="16.140625" customWidth="1"/>
  </cols>
  <sheetData>
    <row r="1" spans="1:8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2</v>
      </c>
      <c r="F1" s="4" t="s">
        <v>4</v>
      </c>
      <c r="G1" s="4" t="s">
        <v>5</v>
      </c>
      <c r="H1" s="4" t="s">
        <v>501</v>
      </c>
    </row>
    <row r="2" spans="1:8" x14ac:dyDescent="0.25">
      <c r="A2" s="1">
        <v>10120</v>
      </c>
      <c r="B2" s="1">
        <v>6</v>
      </c>
      <c r="C2" s="1" t="s">
        <v>502</v>
      </c>
      <c r="D2" s="1" t="s">
        <v>8</v>
      </c>
      <c r="E2" s="1" t="s">
        <v>9</v>
      </c>
      <c r="F2" s="5">
        <v>71603.03</v>
      </c>
      <c r="G2" s="5">
        <f>+H2-F2</f>
        <v>-31898.43</v>
      </c>
      <c r="H2" s="5">
        <v>39704.6</v>
      </c>
    </row>
    <row r="3" spans="1:8" x14ac:dyDescent="0.25">
      <c r="A3" s="1">
        <v>10020</v>
      </c>
      <c r="B3" s="1">
        <v>6</v>
      </c>
      <c r="C3" s="1" t="s">
        <v>10</v>
      </c>
      <c r="D3" s="1" t="s">
        <v>8</v>
      </c>
      <c r="E3" s="1" t="s">
        <v>9</v>
      </c>
      <c r="F3" s="5">
        <v>119.58</v>
      </c>
      <c r="G3" s="5">
        <f>+H3-F3</f>
        <v>-99.94</v>
      </c>
      <c r="H3" s="5">
        <v>19.64</v>
      </c>
    </row>
    <row r="4" spans="1:8" x14ac:dyDescent="0.25">
      <c r="A4" s="1">
        <v>11000</v>
      </c>
      <c r="B4" s="1">
        <v>6</v>
      </c>
      <c r="C4" s="1" t="s">
        <v>13</v>
      </c>
      <c r="D4" s="1" t="s">
        <v>8</v>
      </c>
      <c r="E4" s="1" t="s">
        <v>9</v>
      </c>
      <c r="F4" s="5">
        <v>14174.39</v>
      </c>
      <c r="G4" s="5">
        <f>+H4-F4</f>
        <v>8047.510000000002</v>
      </c>
      <c r="H4" s="5">
        <v>22221.9</v>
      </c>
    </row>
    <row r="5" spans="1:8" x14ac:dyDescent="0.25">
      <c r="A5" s="1">
        <v>17000</v>
      </c>
      <c r="B5" s="1">
        <v>6</v>
      </c>
      <c r="C5" s="1" t="s">
        <v>32</v>
      </c>
      <c r="D5" s="1" t="s">
        <v>8</v>
      </c>
      <c r="E5" s="1" t="s">
        <v>9</v>
      </c>
      <c r="F5" s="5">
        <v>65050</v>
      </c>
      <c r="G5" s="5">
        <v>0</v>
      </c>
      <c r="H5" s="5">
        <v>65050</v>
      </c>
    </row>
    <row r="6" spans="1:8" x14ac:dyDescent="0.25">
      <c r="A6" s="1">
        <v>20000</v>
      </c>
      <c r="B6" s="1">
        <v>6</v>
      </c>
      <c r="C6" s="1" t="s">
        <v>39</v>
      </c>
      <c r="D6" s="1" t="s">
        <v>8</v>
      </c>
      <c r="E6" s="1" t="s">
        <v>9</v>
      </c>
      <c r="F6" s="5">
        <v>-9205.9599999999991</v>
      </c>
      <c r="G6" s="5">
        <f>+H6-F6</f>
        <v>9426.2899999999991</v>
      </c>
      <c r="H6" s="5">
        <v>220.33</v>
      </c>
    </row>
    <row r="7" spans="1:8" x14ac:dyDescent="0.25">
      <c r="A7" s="1">
        <v>31000</v>
      </c>
      <c r="B7" s="1">
        <v>6</v>
      </c>
      <c r="C7" s="1" t="s">
        <v>52</v>
      </c>
      <c r="D7" s="1" t="s">
        <v>8</v>
      </c>
      <c r="E7" s="1" t="s">
        <v>9</v>
      </c>
      <c r="F7" s="5">
        <f>-94480.99-47260.05</f>
        <v>-141741.04</v>
      </c>
      <c r="G7" s="5">
        <v>0</v>
      </c>
      <c r="H7" s="5">
        <v>141741.04</v>
      </c>
    </row>
    <row r="8" spans="1:8" x14ac:dyDescent="0.25">
      <c r="A8" s="1">
        <v>40000</v>
      </c>
      <c r="B8" s="1">
        <v>6</v>
      </c>
      <c r="C8" s="1" t="s">
        <v>57</v>
      </c>
      <c r="D8" s="1" t="s">
        <v>56</v>
      </c>
      <c r="E8" s="1" t="s">
        <v>9</v>
      </c>
      <c r="F8" s="5">
        <v>0</v>
      </c>
      <c r="G8" s="5">
        <v>-92732.68</v>
      </c>
      <c r="H8" s="5">
        <v>-92732.68</v>
      </c>
    </row>
    <row r="9" spans="1:8" x14ac:dyDescent="0.25">
      <c r="A9" s="1">
        <v>40100</v>
      </c>
      <c r="B9" s="1">
        <v>6</v>
      </c>
      <c r="C9" s="1" t="s">
        <v>503</v>
      </c>
      <c r="D9" s="1" t="s">
        <v>56</v>
      </c>
      <c r="E9" s="1" t="s">
        <v>9</v>
      </c>
      <c r="F9" s="5"/>
      <c r="G9" s="5">
        <v>0</v>
      </c>
      <c r="H9" s="5">
        <v>0</v>
      </c>
    </row>
    <row r="10" spans="1:8" x14ac:dyDescent="0.25">
      <c r="A10" s="1">
        <v>41000</v>
      </c>
      <c r="B10" s="1">
        <v>6</v>
      </c>
      <c r="C10" s="1" t="s">
        <v>59</v>
      </c>
      <c r="D10" s="1" t="s">
        <v>56</v>
      </c>
      <c r="E10" s="1" t="s">
        <v>9</v>
      </c>
      <c r="F10" s="5"/>
      <c r="G10" s="5">
        <v>0</v>
      </c>
      <c r="H10" s="5">
        <v>0</v>
      </c>
    </row>
    <row r="11" spans="1:8" x14ac:dyDescent="0.25">
      <c r="A11" s="1">
        <v>51500</v>
      </c>
      <c r="B11" s="1">
        <v>6</v>
      </c>
      <c r="C11" s="1" t="s">
        <v>504</v>
      </c>
      <c r="D11" s="1" t="s">
        <v>56</v>
      </c>
      <c r="E11" s="1" t="s">
        <v>9</v>
      </c>
      <c r="F11" s="5"/>
      <c r="G11" s="5">
        <v>2827.87</v>
      </c>
      <c r="H11" s="5">
        <v>2827.87</v>
      </c>
    </row>
    <row r="12" spans="1:8" x14ac:dyDescent="0.25">
      <c r="A12" s="1">
        <v>51550</v>
      </c>
      <c r="B12" s="1">
        <v>6</v>
      </c>
      <c r="C12" s="1" t="s">
        <v>505</v>
      </c>
      <c r="D12" s="1" t="s">
        <v>56</v>
      </c>
      <c r="E12" s="1" t="s">
        <v>9</v>
      </c>
      <c r="F12" s="5"/>
      <c r="G12" s="5">
        <v>42947.71</v>
      </c>
      <c r="H12" s="5">
        <v>42947.71</v>
      </c>
    </row>
    <row r="13" spans="1:8" x14ac:dyDescent="0.25">
      <c r="A13" s="1">
        <v>52500</v>
      </c>
      <c r="B13" s="1">
        <v>6</v>
      </c>
      <c r="C13" s="1" t="s">
        <v>506</v>
      </c>
      <c r="D13" s="1" t="s">
        <v>56</v>
      </c>
      <c r="E13" s="1" t="s">
        <v>9</v>
      </c>
      <c r="F13" s="5"/>
      <c r="G13" s="5">
        <v>4528</v>
      </c>
      <c r="H13" s="5">
        <v>4528</v>
      </c>
    </row>
    <row r="14" spans="1:8" x14ac:dyDescent="0.25">
      <c r="A14" s="1">
        <v>56000</v>
      </c>
      <c r="B14" s="1">
        <v>6</v>
      </c>
      <c r="C14" s="1" t="s">
        <v>67</v>
      </c>
      <c r="D14" s="1" t="s">
        <v>56</v>
      </c>
      <c r="E14" s="1" t="s">
        <v>9</v>
      </c>
      <c r="F14" s="5"/>
      <c r="G14" s="5">
        <v>10.44</v>
      </c>
      <c r="H14" s="5">
        <v>10.44</v>
      </c>
    </row>
    <row r="15" spans="1:8" x14ac:dyDescent="0.25">
      <c r="A15" s="1">
        <v>60500</v>
      </c>
      <c r="B15" s="1">
        <v>6</v>
      </c>
      <c r="C15" s="1" t="s">
        <v>75</v>
      </c>
      <c r="D15" s="1" t="s">
        <v>56</v>
      </c>
      <c r="E15" s="1" t="s">
        <v>9</v>
      </c>
      <c r="F15" s="5"/>
      <c r="G15" s="5">
        <v>4800</v>
      </c>
      <c r="H15" s="5">
        <v>4800</v>
      </c>
    </row>
    <row r="16" spans="1:8" x14ac:dyDescent="0.25">
      <c r="A16" s="1">
        <v>60600</v>
      </c>
      <c r="B16" s="1">
        <v>6</v>
      </c>
      <c r="C16" s="1" t="s">
        <v>76</v>
      </c>
      <c r="D16" s="1" t="s">
        <v>56</v>
      </c>
      <c r="E16" s="1" t="s">
        <v>9</v>
      </c>
      <c r="F16" s="5"/>
      <c r="G16" s="5">
        <v>709.53</v>
      </c>
      <c r="H16" s="5">
        <v>709.53</v>
      </c>
    </row>
    <row r="17" spans="1:8" x14ac:dyDescent="0.25">
      <c r="A17" s="1">
        <v>60700</v>
      </c>
      <c r="B17" s="1">
        <v>6</v>
      </c>
      <c r="C17" s="1" t="s">
        <v>77</v>
      </c>
      <c r="D17" s="1" t="s">
        <v>56</v>
      </c>
      <c r="E17" s="1" t="s">
        <v>9</v>
      </c>
      <c r="F17" s="5"/>
      <c r="G17" s="5">
        <v>43608.46</v>
      </c>
      <c r="H17" s="5">
        <v>43608.46</v>
      </c>
    </row>
    <row r="18" spans="1:8" x14ac:dyDescent="0.25">
      <c r="A18" s="1">
        <v>66240</v>
      </c>
      <c r="B18" s="1">
        <v>6</v>
      </c>
      <c r="C18" s="1" t="s">
        <v>125</v>
      </c>
      <c r="D18" s="1" t="s">
        <v>56</v>
      </c>
      <c r="E18" s="1"/>
      <c r="F18" s="5"/>
      <c r="G18" s="5">
        <v>18</v>
      </c>
      <c r="H18" s="5">
        <v>18</v>
      </c>
    </row>
    <row r="19" spans="1:8" x14ac:dyDescent="0.25">
      <c r="A19" s="1">
        <v>66600</v>
      </c>
      <c r="B19" s="1">
        <v>6</v>
      </c>
      <c r="C19" s="1" t="s">
        <v>507</v>
      </c>
      <c r="D19" s="1" t="s">
        <v>56</v>
      </c>
      <c r="E19" s="1" t="s">
        <v>9</v>
      </c>
      <c r="F19" s="5"/>
      <c r="G19" s="5">
        <v>0</v>
      </c>
      <c r="H19" s="5">
        <v>0</v>
      </c>
    </row>
    <row r="20" spans="1:8" x14ac:dyDescent="0.25">
      <c r="A20" s="1">
        <v>67200</v>
      </c>
      <c r="B20" s="1">
        <v>6</v>
      </c>
      <c r="C20" s="1" t="s">
        <v>135</v>
      </c>
      <c r="D20" s="1" t="s">
        <v>56</v>
      </c>
      <c r="E20" s="1" t="s">
        <v>9</v>
      </c>
      <c r="F20" s="5"/>
      <c r="G20" s="5">
        <v>1062.21</v>
      </c>
      <c r="H20" s="5">
        <v>1062.21</v>
      </c>
    </row>
    <row r="21" spans="1:8" x14ac:dyDescent="0.25">
      <c r="A21" s="1">
        <v>67300</v>
      </c>
      <c r="B21" s="1">
        <v>6</v>
      </c>
      <c r="C21" s="1" t="s">
        <v>136</v>
      </c>
      <c r="D21" s="1" t="s">
        <v>56</v>
      </c>
      <c r="E21" s="1" t="s">
        <v>9</v>
      </c>
      <c r="F21" s="5"/>
      <c r="G21" s="5">
        <v>198</v>
      </c>
      <c r="H21" s="5">
        <v>198</v>
      </c>
    </row>
    <row r="22" spans="1:8" x14ac:dyDescent="0.25">
      <c r="A22" s="1">
        <v>70000</v>
      </c>
      <c r="B22" s="1">
        <v>6</v>
      </c>
      <c r="C22" s="1" t="s">
        <v>152</v>
      </c>
      <c r="D22" s="1" t="s">
        <v>56</v>
      </c>
      <c r="E22" s="1" t="s">
        <v>9</v>
      </c>
      <c r="F22" s="5"/>
      <c r="G22" s="5">
        <v>3084.6</v>
      </c>
      <c r="H22" s="5">
        <v>3084.6</v>
      </c>
    </row>
    <row r="23" spans="1:8" x14ac:dyDescent="0.25">
      <c r="A23" s="1">
        <v>71000</v>
      </c>
      <c r="B23" s="1">
        <v>6</v>
      </c>
      <c r="C23" s="1" t="s">
        <v>153</v>
      </c>
      <c r="D23" s="1" t="s">
        <v>56</v>
      </c>
      <c r="E23" s="1" t="s">
        <v>9</v>
      </c>
      <c r="F23" s="5"/>
      <c r="G23" s="5">
        <v>-1129.6300000000001</v>
      </c>
      <c r="H23" s="5">
        <v>-1129.6300000000001</v>
      </c>
    </row>
    <row r="24" spans="1:8" x14ac:dyDescent="0.25">
      <c r="A24" s="1">
        <v>72000</v>
      </c>
      <c r="B24" s="1">
        <v>6</v>
      </c>
      <c r="C24" s="1" t="s">
        <v>155</v>
      </c>
      <c r="D24" s="1" t="s">
        <v>56</v>
      </c>
      <c r="E24" s="1" t="s">
        <v>9</v>
      </c>
      <c r="F24" s="5"/>
      <c r="G24" s="5">
        <v>4665.28</v>
      </c>
      <c r="H24" s="5">
        <v>4665.28</v>
      </c>
    </row>
    <row r="25" spans="1:8" x14ac:dyDescent="0.25">
      <c r="A25" s="1">
        <v>82000</v>
      </c>
      <c r="B25" s="1">
        <v>6</v>
      </c>
      <c r="C25" s="1" t="s">
        <v>161</v>
      </c>
      <c r="D25" s="1" t="s">
        <v>56</v>
      </c>
      <c r="E25" s="1" t="s">
        <v>9</v>
      </c>
      <c r="F25" s="5"/>
      <c r="G25" s="5">
        <v>-73.22</v>
      </c>
      <c r="H25" s="5">
        <v>-73.22</v>
      </c>
    </row>
    <row r="26" spans="1:8" x14ac:dyDescent="0.25">
      <c r="A26" s="1">
        <v>90000</v>
      </c>
      <c r="B26" s="1">
        <v>6</v>
      </c>
      <c r="C26" s="1" t="s">
        <v>164</v>
      </c>
      <c r="D26" s="1" t="s">
        <v>56</v>
      </c>
      <c r="E26" s="1" t="s">
        <v>9</v>
      </c>
      <c r="F26" s="5"/>
      <c r="G26" s="5">
        <v>0</v>
      </c>
      <c r="H26" s="5">
        <v>0</v>
      </c>
    </row>
    <row r="27" spans="1:8" x14ac:dyDescent="0.25">
      <c r="F27" s="6"/>
      <c r="G27" s="6"/>
      <c r="H27" s="6"/>
    </row>
    <row r="28" spans="1:8" x14ac:dyDescent="0.25">
      <c r="F28" s="6">
        <f>SUM(F2:F27)</f>
        <v>0</v>
      </c>
      <c r="G28" s="6">
        <f>SUM(G2:G27)</f>
        <v>9.3507424026029184E-12</v>
      </c>
      <c r="H28" s="6">
        <f>SUM(H8:H27)</f>
        <v>14524.570000000002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19819-8415-4429-BB98-256117C4FAD9}">
  <sheetPr>
    <tabColor rgb="FFFFFF00"/>
  </sheetPr>
  <dimension ref="A2:I32"/>
  <sheetViews>
    <sheetView workbookViewId="0">
      <selection activeCell="E5" sqref="E5:E14"/>
      <pivotSelection pane="bottomRight" showHeader="1" extendable="1" axis="axisCol" start="1" max="2" activeRow="4" activeCol="4" previousRow="4" previousCol="4" click="1" r:id="rId2">
        <pivotArea dataOnly="0" outline="0" fieldPosition="0">
          <references count="2">
            <reference field="4294967294" count="1">
              <x v="1"/>
            </reference>
            <reference field="0" count="1" selected="0">
              <x v="0"/>
            </reference>
          </references>
        </pivotArea>
      </pivotSelection>
    </sheetView>
  </sheetViews>
  <sheetFormatPr defaultRowHeight="15" x14ac:dyDescent="0.25"/>
  <cols>
    <col min="1" max="1" width="29.42578125" customWidth="1"/>
    <col min="2" max="2" width="10.42578125" customWidth="1"/>
    <col min="3" max="3" width="33.28515625" bestFit="1" customWidth="1"/>
    <col min="4" max="4" width="16.140625" style="18" bestFit="1" customWidth="1"/>
    <col min="5" max="5" width="16.5703125" style="18" bestFit="1" customWidth="1"/>
    <col min="6" max="6" width="10.7109375" style="18" customWidth="1"/>
    <col min="7" max="7" width="12.42578125" style="18" customWidth="1"/>
    <col min="8" max="8" width="12.28515625" style="118" customWidth="1"/>
    <col min="9" max="9" width="12.28515625" style="3" customWidth="1"/>
  </cols>
  <sheetData>
    <row r="2" spans="1:6" x14ac:dyDescent="0.25">
      <c r="A2" s="52" t="s">
        <v>169</v>
      </c>
      <c r="B2" s="102" t="s">
        <v>174</v>
      </c>
    </row>
    <row r="3" spans="1:6" x14ac:dyDescent="0.25">
      <c r="A3" s="105" t="s">
        <v>271</v>
      </c>
      <c r="B3" s="18"/>
    </row>
    <row r="4" spans="1:6" x14ac:dyDescent="0.25">
      <c r="D4" s="115" t="s">
        <v>315</v>
      </c>
    </row>
    <row r="5" spans="1:6" ht="30" x14ac:dyDescent="0.25">
      <c r="A5" s="52" t="s">
        <v>170</v>
      </c>
      <c r="B5" s="52" t="s">
        <v>0</v>
      </c>
      <c r="C5" s="52" t="s">
        <v>2</v>
      </c>
      <c r="D5" s="120" t="s">
        <v>314</v>
      </c>
      <c r="E5" s="121" t="s">
        <v>316</v>
      </c>
      <c r="F5" s="118" t="s">
        <v>317</v>
      </c>
    </row>
    <row r="6" spans="1:6" x14ac:dyDescent="0.25">
      <c r="A6" t="s">
        <v>283</v>
      </c>
      <c r="B6">
        <v>13100</v>
      </c>
      <c r="C6" t="s">
        <v>18</v>
      </c>
      <c r="D6" s="116">
        <v>860999.76</v>
      </c>
      <c r="E6" s="119">
        <v>759701.85</v>
      </c>
      <c r="F6" s="117">
        <f>E6/E$14</f>
        <v>0.69157642664668695</v>
      </c>
    </row>
    <row r="7" spans="1:6" x14ac:dyDescent="0.25">
      <c r="A7" t="s">
        <v>284</v>
      </c>
      <c r="B7">
        <v>13150</v>
      </c>
      <c r="C7" t="s">
        <v>19</v>
      </c>
      <c r="D7" s="116">
        <v>29721.35</v>
      </c>
      <c r="E7" s="119">
        <v>22787.599999999999</v>
      </c>
      <c r="F7" s="117">
        <f t="shared" ref="F7:F14" si="0">E7/E$14</f>
        <v>2.0744147167542165E-2</v>
      </c>
    </row>
    <row r="8" spans="1:6" x14ac:dyDescent="0.25">
      <c r="A8" t="s">
        <v>285</v>
      </c>
      <c r="B8">
        <v>13200</v>
      </c>
      <c r="C8" t="s">
        <v>20</v>
      </c>
      <c r="D8" s="116">
        <v>574.15</v>
      </c>
      <c r="E8" s="119">
        <v>1867.24</v>
      </c>
      <c r="F8" s="117">
        <f t="shared" si="0"/>
        <v>1.6997973177132052E-3</v>
      </c>
    </row>
    <row r="9" spans="1:6" x14ac:dyDescent="0.25">
      <c r="A9" t="s">
        <v>286</v>
      </c>
      <c r="B9">
        <v>13300</v>
      </c>
      <c r="C9" t="s">
        <v>21</v>
      </c>
      <c r="D9" s="116">
        <v>84639.72</v>
      </c>
      <c r="E9" s="119">
        <v>95715.9</v>
      </c>
      <c r="F9" s="117">
        <f t="shared" si="0"/>
        <v>8.7132682506001036E-2</v>
      </c>
    </row>
    <row r="10" spans="1:6" x14ac:dyDescent="0.25">
      <c r="A10" t="s">
        <v>287</v>
      </c>
      <c r="B10">
        <v>13400</v>
      </c>
      <c r="C10" t="s">
        <v>22</v>
      </c>
      <c r="D10" s="116">
        <v>203836.39</v>
      </c>
      <c r="E10" s="119">
        <v>159866.44</v>
      </c>
      <c r="F10" s="117">
        <f t="shared" si="0"/>
        <v>0.14553059376639269</v>
      </c>
    </row>
    <row r="11" spans="1:6" x14ac:dyDescent="0.25">
      <c r="A11" t="s">
        <v>288</v>
      </c>
      <c r="B11">
        <v>13600</v>
      </c>
      <c r="C11" t="s">
        <v>23</v>
      </c>
      <c r="D11" s="116">
        <v>22260.859999999997</v>
      </c>
      <c r="E11" s="119">
        <v>11680.93</v>
      </c>
      <c r="F11" s="117">
        <f t="shared" si="0"/>
        <v>1.0633455518517014E-2</v>
      </c>
    </row>
    <row r="12" spans="1:6" x14ac:dyDescent="0.25">
      <c r="A12" t="s">
        <v>289</v>
      </c>
      <c r="B12">
        <v>13650</v>
      </c>
      <c r="C12" t="s">
        <v>24</v>
      </c>
      <c r="D12" s="116">
        <v>28760.58</v>
      </c>
      <c r="E12" s="119">
        <v>34474.86</v>
      </c>
      <c r="F12" s="117">
        <f t="shared" si="0"/>
        <v>3.1383365050308622E-2</v>
      </c>
    </row>
    <row r="13" spans="1:6" x14ac:dyDescent="0.25">
      <c r="A13" t="s">
        <v>290</v>
      </c>
      <c r="B13">
        <v>13950</v>
      </c>
      <c r="C13" t="s">
        <v>25</v>
      </c>
      <c r="D13" s="116">
        <v>9108.7900000000009</v>
      </c>
      <c r="E13" s="119">
        <v>12412.62</v>
      </c>
      <c r="F13" s="117">
        <f t="shared" si="0"/>
        <v>1.1299532026838161E-2</v>
      </c>
    </row>
    <row r="14" spans="1:6" x14ac:dyDescent="0.25">
      <c r="A14" t="s">
        <v>209</v>
      </c>
      <c r="D14" s="116">
        <v>1239901.6000000003</v>
      </c>
      <c r="E14" s="119">
        <v>1098507.4400000002</v>
      </c>
      <c r="F14" s="117">
        <f t="shared" si="0"/>
        <v>1</v>
      </c>
    </row>
    <row r="19" spans="1:9" x14ac:dyDescent="0.25">
      <c r="A19" s="52" t="s">
        <v>169</v>
      </c>
      <c r="B19" s="102" t="s">
        <v>174</v>
      </c>
    </row>
    <row r="20" spans="1:9" x14ac:dyDescent="0.25">
      <c r="A20" s="105" t="s">
        <v>271</v>
      </c>
      <c r="B20" s="18"/>
    </row>
    <row r="21" spans="1:9" x14ac:dyDescent="0.25">
      <c r="D21" s="115" t="s">
        <v>173</v>
      </c>
      <c r="E21" s="115" t="s">
        <v>315</v>
      </c>
    </row>
    <row r="22" spans="1:9" ht="15.75" thickBot="1" x14ac:dyDescent="0.3">
      <c r="D22" s="18" t="s">
        <v>206</v>
      </c>
      <c r="F22" s="18" t="s">
        <v>207</v>
      </c>
    </row>
    <row r="23" spans="1:9" ht="43.9" customHeight="1" x14ac:dyDescent="0.25">
      <c r="A23" s="52" t="s">
        <v>170</v>
      </c>
      <c r="B23" s="52" t="s">
        <v>0</v>
      </c>
      <c r="C23" s="52" t="s">
        <v>2</v>
      </c>
      <c r="D23" s="130" t="s">
        <v>314</v>
      </c>
      <c r="E23" s="129" t="s">
        <v>316</v>
      </c>
      <c r="F23" s="130" t="s">
        <v>314</v>
      </c>
      <c r="G23" s="129" t="s">
        <v>316</v>
      </c>
      <c r="H23" s="122" t="s">
        <v>318</v>
      </c>
      <c r="I23" s="123" t="s">
        <v>319</v>
      </c>
    </row>
    <row r="24" spans="1:9" x14ac:dyDescent="0.25">
      <c r="A24" t="s">
        <v>283</v>
      </c>
      <c r="B24">
        <v>13100</v>
      </c>
      <c r="C24" t="s">
        <v>18</v>
      </c>
      <c r="D24" s="131">
        <v>416192.86</v>
      </c>
      <c r="E24" s="128">
        <v>382790.87</v>
      </c>
      <c r="F24" s="131">
        <v>444806.9</v>
      </c>
      <c r="G24" s="128">
        <v>376910.98</v>
      </c>
      <c r="H24" s="124">
        <f>E24/E$32</f>
        <v>0.65705113703111129</v>
      </c>
      <c r="I24" s="125">
        <f>G24/G$32</f>
        <v>0.73056333650360283</v>
      </c>
    </row>
    <row r="25" spans="1:9" x14ac:dyDescent="0.25">
      <c r="A25" t="s">
        <v>284</v>
      </c>
      <c r="B25">
        <v>13150</v>
      </c>
      <c r="C25" t="s">
        <v>19</v>
      </c>
      <c r="D25" s="131">
        <v>29721.35</v>
      </c>
      <c r="E25" s="128">
        <v>22787.599999999999</v>
      </c>
      <c r="F25" s="131"/>
      <c r="G25" s="128"/>
      <c r="H25" s="124">
        <f t="shared" ref="H25:H32" si="1">E25/E$32</f>
        <v>3.9114356333028927E-2</v>
      </c>
      <c r="I25" s="125">
        <f t="shared" ref="I25:I32" si="2">G25/G$32</f>
        <v>0</v>
      </c>
    </row>
    <row r="26" spans="1:9" x14ac:dyDescent="0.25">
      <c r="A26" t="s">
        <v>285</v>
      </c>
      <c r="B26">
        <v>13200</v>
      </c>
      <c r="C26" t="s">
        <v>20</v>
      </c>
      <c r="D26" s="131"/>
      <c r="E26" s="128"/>
      <c r="F26" s="131">
        <v>574.15</v>
      </c>
      <c r="G26" s="128">
        <v>1867.24</v>
      </c>
      <c r="H26" s="124">
        <f t="shared" si="1"/>
        <v>0</v>
      </c>
      <c r="I26" s="125">
        <f t="shared" si="2"/>
        <v>3.6192553595891198E-3</v>
      </c>
    </row>
    <row r="27" spans="1:9" x14ac:dyDescent="0.25">
      <c r="A27" t="s">
        <v>286</v>
      </c>
      <c r="B27">
        <v>13300</v>
      </c>
      <c r="C27" t="s">
        <v>21</v>
      </c>
      <c r="D27" s="131">
        <v>51299.41</v>
      </c>
      <c r="E27" s="128">
        <v>57365.49</v>
      </c>
      <c r="F27" s="131">
        <v>33340.31</v>
      </c>
      <c r="G27" s="128">
        <v>38350.410000000003</v>
      </c>
      <c r="H27" s="124">
        <f t="shared" si="1"/>
        <v>9.8466456190156385E-2</v>
      </c>
      <c r="I27" s="125">
        <f t="shared" si="2"/>
        <v>7.4334272474315136E-2</v>
      </c>
    </row>
    <row r="28" spans="1:9" x14ac:dyDescent="0.25">
      <c r="A28" t="s">
        <v>287</v>
      </c>
      <c r="B28">
        <v>13400</v>
      </c>
      <c r="C28" t="s">
        <v>22</v>
      </c>
      <c r="D28" s="131">
        <v>139992.39000000001</v>
      </c>
      <c r="E28" s="128">
        <v>116410.33</v>
      </c>
      <c r="F28" s="131">
        <v>63844</v>
      </c>
      <c r="G28" s="128">
        <v>43456.11</v>
      </c>
      <c r="H28" s="124">
        <f t="shared" si="1"/>
        <v>0.1998154754544352</v>
      </c>
      <c r="I28" s="125">
        <f t="shared" si="2"/>
        <v>8.4230607219422438E-2</v>
      </c>
    </row>
    <row r="29" spans="1:9" x14ac:dyDescent="0.25">
      <c r="A29" t="s">
        <v>288</v>
      </c>
      <c r="B29">
        <v>13600</v>
      </c>
      <c r="C29" t="s">
        <v>23</v>
      </c>
      <c r="D29" s="131">
        <v>3642.35</v>
      </c>
      <c r="E29" s="128">
        <v>3234.87</v>
      </c>
      <c r="F29" s="131">
        <v>18618.509999999998</v>
      </c>
      <c r="G29" s="128">
        <v>8446.06</v>
      </c>
      <c r="H29" s="124">
        <f t="shared" si="1"/>
        <v>5.5525749912682899E-3</v>
      </c>
      <c r="I29" s="125">
        <f t="shared" si="2"/>
        <v>1.6370926031153615E-2</v>
      </c>
    </row>
    <row r="30" spans="1:9" x14ac:dyDescent="0.25">
      <c r="A30" t="s">
        <v>289</v>
      </c>
      <c r="B30">
        <v>13650</v>
      </c>
      <c r="C30" t="s">
        <v>24</v>
      </c>
      <c r="D30" s="131"/>
      <c r="E30" s="128"/>
      <c r="F30" s="131">
        <v>28760.58</v>
      </c>
      <c r="G30" s="128">
        <v>34474.86</v>
      </c>
      <c r="H30" s="124">
        <f t="shared" si="1"/>
        <v>0</v>
      </c>
      <c r="I30" s="125">
        <f t="shared" si="2"/>
        <v>6.6822326977830679E-2</v>
      </c>
    </row>
    <row r="31" spans="1:9" x14ac:dyDescent="0.25">
      <c r="A31" t="s">
        <v>290</v>
      </c>
      <c r="B31">
        <v>13950</v>
      </c>
      <c r="C31" t="s">
        <v>25</v>
      </c>
      <c r="D31" s="131"/>
      <c r="E31" s="128"/>
      <c r="F31" s="131">
        <v>9108.7900000000009</v>
      </c>
      <c r="G31" s="128">
        <v>12412.62</v>
      </c>
      <c r="H31" s="124">
        <f t="shared" si="1"/>
        <v>0</v>
      </c>
      <c r="I31" s="125">
        <f t="shared" si="2"/>
        <v>2.4059275434086192E-2</v>
      </c>
    </row>
    <row r="32" spans="1:9" ht="15.75" thickBot="1" x14ac:dyDescent="0.3">
      <c r="A32" t="s">
        <v>209</v>
      </c>
      <c r="D32" s="131">
        <v>640848.36</v>
      </c>
      <c r="E32" s="128">
        <v>582589.15999999992</v>
      </c>
      <c r="F32" s="131">
        <v>599053.24000000011</v>
      </c>
      <c r="G32" s="128">
        <v>515918.27999999997</v>
      </c>
      <c r="H32" s="126">
        <f t="shared" si="1"/>
        <v>1</v>
      </c>
      <c r="I32" s="127">
        <f t="shared" si="2"/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DB256-C966-46B0-9039-7B35AB77E501}">
  <sheetPr>
    <tabColor rgb="FFFFFF00"/>
  </sheetPr>
  <dimension ref="A2:I70"/>
  <sheetViews>
    <sheetView zoomScale="80" zoomScaleNormal="80" workbookViewId="0">
      <selection activeCell="F56" sqref="F56"/>
    </sheetView>
  </sheetViews>
  <sheetFormatPr defaultRowHeight="15" x14ac:dyDescent="0.25"/>
  <cols>
    <col min="1" max="1" width="34" customWidth="1"/>
    <col min="2" max="2" width="16.28515625" bestFit="1" customWidth="1"/>
    <col min="3" max="3" width="33.28515625" bestFit="1" customWidth="1"/>
    <col min="4" max="9" width="24.5703125" bestFit="1" customWidth="1"/>
  </cols>
  <sheetData>
    <row r="2" spans="1:9" x14ac:dyDescent="0.25">
      <c r="A2" s="52" t="s">
        <v>169</v>
      </c>
      <c r="B2" s="102" t="s">
        <v>174</v>
      </c>
    </row>
    <row r="3" spans="1:9" x14ac:dyDescent="0.25">
      <c r="A3" s="109" t="s">
        <v>271</v>
      </c>
    </row>
    <row r="4" spans="1:9" x14ac:dyDescent="0.25">
      <c r="D4" s="52" t="s">
        <v>172</v>
      </c>
      <c r="E4" s="52" t="s">
        <v>315</v>
      </c>
    </row>
    <row r="5" spans="1:9" x14ac:dyDescent="0.25">
      <c r="D5" s="18" t="s">
        <v>206</v>
      </c>
      <c r="E5" s="18"/>
      <c r="F5" s="18" t="s">
        <v>207</v>
      </c>
      <c r="G5" s="18"/>
      <c r="H5" s="18" t="s">
        <v>208</v>
      </c>
      <c r="I5" s="18"/>
    </row>
    <row r="6" spans="1:9" x14ac:dyDescent="0.25">
      <c r="A6" s="52" t="s">
        <v>170</v>
      </c>
      <c r="B6" s="52" t="s">
        <v>0</v>
      </c>
      <c r="C6" s="52" t="s">
        <v>2</v>
      </c>
      <c r="D6" t="s">
        <v>314</v>
      </c>
      <c r="E6" t="s">
        <v>316</v>
      </c>
      <c r="F6" t="s">
        <v>314</v>
      </c>
      <c r="G6" t="s">
        <v>316</v>
      </c>
      <c r="H6" t="s">
        <v>314</v>
      </c>
      <c r="I6" t="s">
        <v>316</v>
      </c>
    </row>
    <row r="7" spans="1:9" x14ac:dyDescent="0.25">
      <c r="A7" t="s">
        <v>280</v>
      </c>
      <c r="B7">
        <v>10010</v>
      </c>
      <c r="C7" t="s">
        <v>7</v>
      </c>
      <c r="D7" s="25"/>
      <c r="E7" s="25"/>
      <c r="F7" s="25">
        <v>534702.04</v>
      </c>
      <c r="G7" s="25">
        <v>706065.54</v>
      </c>
      <c r="H7" s="25"/>
      <c r="I7" s="25"/>
    </row>
    <row r="8" spans="1:9" x14ac:dyDescent="0.25">
      <c r="B8">
        <v>10020</v>
      </c>
      <c r="C8" t="s">
        <v>10</v>
      </c>
      <c r="D8" s="25">
        <v>400</v>
      </c>
      <c r="E8" s="25">
        <v>400</v>
      </c>
      <c r="F8" s="25">
        <v>400</v>
      </c>
      <c r="G8" s="25">
        <v>400</v>
      </c>
      <c r="H8" s="25"/>
      <c r="I8" s="25"/>
    </row>
    <row r="9" spans="1:9" x14ac:dyDescent="0.25">
      <c r="B9">
        <v>10120</v>
      </c>
      <c r="C9" t="s">
        <v>11</v>
      </c>
      <c r="D9" s="25"/>
      <c r="E9" s="25"/>
      <c r="F9" s="25">
        <v>14649.31</v>
      </c>
      <c r="G9" s="25">
        <v>15159.49</v>
      </c>
      <c r="H9" s="25"/>
      <c r="I9" s="25"/>
    </row>
    <row r="10" spans="1:9" x14ac:dyDescent="0.25">
      <c r="B10">
        <v>10130</v>
      </c>
      <c r="C10" t="s">
        <v>12</v>
      </c>
      <c r="D10" s="25"/>
      <c r="E10" s="25"/>
      <c r="F10" s="25">
        <v>17101.900000000001</v>
      </c>
      <c r="G10" s="25">
        <v>17899.400000000001</v>
      </c>
      <c r="H10" s="25"/>
      <c r="I10" s="25"/>
    </row>
    <row r="11" spans="1:9" x14ac:dyDescent="0.25">
      <c r="A11" t="s">
        <v>291</v>
      </c>
      <c r="D11" s="25">
        <v>400</v>
      </c>
      <c r="E11" s="25">
        <v>400</v>
      </c>
      <c r="F11" s="25">
        <v>566853.25000000012</v>
      </c>
      <c r="G11" s="25">
        <v>739524.43</v>
      </c>
      <c r="H11" s="25"/>
      <c r="I11" s="25"/>
    </row>
    <row r="12" spans="1:9" x14ac:dyDescent="0.25">
      <c r="A12" t="s">
        <v>281</v>
      </c>
      <c r="B12">
        <v>11000</v>
      </c>
      <c r="C12" t="s">
        <v>13</v>
      </c>
      <c r="D12" s="25"/>
      <c r="E12" s="25"/>
      <c r="F12" s="25">
        <v>674695.59</v>
      </c>
      <c r="G12" s="25">
        <v>779487.52</v>
      </c>
      <c r="H12" s="25"/>
      <c r="I12" s="25"/>
    </row>
    <row r="13" spans="1:9" x14ac:dyDescent="0.25">
      <c r="B13">
        <v>11100</v>
      </c>
      <c r="C13" t="s">
        <v>14</v>
      </c>
      <c r="D13" s="25"/>
      <c r="E13" s="25"/>
      <c r="F13" s="25">
        <v>40084.730000000003</v>
      </c>
      <c r="G13" s="25">
        <v>15.75</v>
      </c>
      <c r="H13" s="25"/>
      <c r="I13" s="25"/>
    </row>
    <row r="14" spans="1:9" x14ac:dyDescent="0.25">
      <c r="A14" t="s">
        <v>292</v>
      </c>
      <c r="D14" s="25"/>
      <c r="E14" s="25"/>
      <c r="F14" s="25">
        <v>714780.32</v>
      </c>
      <c r="G14" s="25">
        <v>779503.27</v>
      </c>
      <c r="H14" s="25"/>
      <c r="I14" s="25"/>
    </row>
    <row r="15" spans="1:9" x14ac:dyDescent="0.25">
      <c r="A15" t="s">
        <v>282</v>
      </c>
      <c r="B15">
        <v>12000</v>
      </c>
      <c r="C15" t="s">
        <v>15</v>
      </c>
      <c r="D15" s="25"/>
      <c r="E15" s="25"/>
      <c r="F15" s="25">
        <v>4763.4399999999996</v>
      </c>
      <c r="G15" s="25">
        <v>21753.040000000001</v>
      </c>
      <c r="H15" s="25"/>
      <c r="I15" s="25"/>
    </row>
    <row r="16" spans="1:9" x14ac:dyDescent="0.25">
      <c r="B16">
        <v>12100</v>
      </c>
      <c r="C16" t="s">
        <v>16</v>
      </c>
      <c r="D16" s="25"/>
      <c r="E16" s="25"/>
      <c r="F16" s="25">
        <v>500</v>
      </c>
      <c r="G16" s="25">
        <v>500</v>
      </c>
      <c r="H16" s="25"/>
      <c r="I16" s="25"/>
    </row>
    <row r="17" spans="1:9" x14ac:dyDescent="0.25">
      <c r="B17">
        <v>12110</v>
      </c>
      <c r="C17" t="s">
        <v>17</v>
      </c>
      <c r="D17" s="25"/>
      <c r="E17" s="25"/>
      <c r="F17" s="25">
        <v>7868</v>
      </c>
      <c r="G17" s="25">
        <v>11462.5</v>
      </c>
      <c r="H17" s="25"/>
      <c r="I17" s="25"/>
    </row>
    <row r="18" spans="1:9" x14ac:dyDescent="0.25">
      <c r="A18" t="s">
        <v>293</v>
      </c>
      <c r="D18" s="25"/>
      <c r="E18" s="25"/>
      <c r="F18" s="25">
        <v>13131.439999999999</v>
      </c>
      <c r="G18" s="25">
        <v>33715.54</v>
      </c>
      <c r="H18" s="25"/>
      <c r="I18" s="25"/>
    </row>
    <row r="19" spans="1:9" x14ac:dyDescent="0.25">
      <c r="A19" t="s">
        <v>283</v>
      </c>
      <c r="B19">
        <v>13100</v>
      </c>
      <c r="C19" t="s">
        <v>18</v>
      </c>
      <c r="D19" s="25">
        <v>416192.86</v>
      </c>
      <c r="E19" s="25">
        <v>382790.87</v>
      </c>
      <c r="F19" s="25">
        <v>444806.9</v>
      </c>
      <c r="G19" s="25">
        <v>376910.98</v>
      </c>
      <c r="H19" s="25"/>
      <c r="I19" s="25"/>
    </row>
    <row r="20" spans="1:9" x14ac:dyDescent="0.25">
      <c r="A20" t="s">
        <v>294</v>
      </c>
      <c r="D20" s="25">
        <v>416192.86</v>
      </c>
      <c r="E20" s="25">
        <v>382790.87</v>
      </c>
      <c r="F20" s="25">
        <v>444806.9</v>
      </c>
      <c r="G20" s="25">
        <v>376910.98</v>
      </c>
      <c r="H20" s="25"/>
      <c r="I20" s="25"/>
    </row>
    <row r="21" spans="1:9" x14ac:dyDescent="0.25">
      <c r="A21" t="s">
        <v>284</v>
      </c>
      <c r="B21">
        <v>13150</v>
      </c>
      <c r="C21" t="s">
        <v>19</v>
      </c>
      <c r="D21" s="25">
        <v>29721.35</v>
      </c>
      <c r="E21" s="25">
        <v>22787.599999999999</v>
      </c>
      <c r="F21" s="25"/>
      <c r="G21" s="25"/>
      <c r="H21" s="25"/>
      <c r="I21" s="25"/>
    </row>
    <row r="22" spans="1:9" x14ac:dyDescent="0.25">
      <c r="A22" t="s">
        <v>295</v>
      </c>
      <c r="D22" s="25">
        <v>29721.35</v>
      </c>
      <c r="E22" s="25">
        <v>22787.599999999999</v>
      </c>
      <c r="F22" s="25"/>
      <c r="G22" s="25"/>
      <c r="H22" s="25"/>
      <c r="I22" s="25"/>
    </row>
    <row r="23" spans="1:9" x14ac:dyDescent="0.25">
      <c r="A23" t="s">
        <v>285</v>
      </c>
      <c r="B23">
        <v>13200</v>
      </c>
      <c r="C23" t="s">
        <v>20</v>
      </c>
      <c r="D23" s="25"/>
      <c r="E23" s="25"/>
      <c r="F23" s="25">
        <v>574.15</v>
      </c>
      <c r="G23" s="25">
        <v>1867.24</v>
      </c>
      <c r="H23" s="25"/>
      <c r="I23" s="25"/>
    </row>
    <row r="24" spans="1:9" x14ac:dyDescent="0.25">
      <c r="A24" t="s">
        <v>296</v>
      </c>
      <c r="D24" s="25"/>
      <c r="E24" s="25"/>
      <c r="F24" s="25">
        <v>574.15</v>
      </c>
      <c r="G24" s="25">
        <v>1867.24</v>
      </c>
      <c r="H24" s="25"/>
      <c r="I24" s="25"/>
    </row>
    <row r="25" spans="1:9" x14ac:dyDescent="0.25">
      <c r="A25" t="s">
        <v>286</v>
      </c>
      <c r="B25">
        <v>13300</v>
      </c>
      <c r="C25" t="s">
        <v>21</v>
      </c>
      <c r="D25" s="25">
        <v>51299.41</v>
      </c>
      <c r="E25" s="25">
        <v>57365.49</v>
      </c>
      <c r="F25" s="25">
        <v>33340.31</v>
      </c>
      <c r="G25" s="25">
        <v>38350.410000000003</v>
      </c>
      <c r="H25" s="25"/>
      <c r="I25" s="25"/>
    </row>
    <row r="26" spans="1:9" x14ac:dyDescent="0.25">
      <c r="A26" t="s">
        <v>297</v>
      </c>
      <c r="D26" s="25">
        <v>51299.41</v>
      </c>
      <c r="E26" s="25">
        <v>57365.49</v>
      </c>
      <c r="F26" s="25">
        <v>33340.31</v>
      </c>
      <c r="G26" s="25">
        <v>38350.410000000003</v>
      </c>
      <c r="H26" s="25"/>
      <c r="I26" s="25"/>
    </row>
    <row r="27" spans="1:9" x14ac:dyDescent="0.25">
      <c r="A27" t="s">
        <v>287</v>
      </c>
      <c r="B27">
        <v>13400</v>
      </c>
      <c r="C27" t="s">
        <v>22</v>
      </c>
      <c r="D27" s="25">
        <v>139992.39000000001</v>
      </c>
      <c r="E27" s="25">
        <v>116410.33</v>
      </c>
      <c r="F27" s="25">
        <v>63844</v>
      </c>
      <c r="G27" s="25">
        <v>43456.11</v>
      </c>
      <c r="H27" s="25"/>
      <c r="I27" s="25"/>
    </row>
    <row r="28" spans="1:9" x14ac:dyDescent="0.25">
      <c r="A28" t="s">
        <v>298</v>
      </c>
      <c r="D28" s="25">
        <v>139992.39000000001</v>
      </c>
      <c r="E28" s="25">
        <v>116410.33</v>
      </c>
      <c r="F28" s="25">
        <v>63844</v>
      </c>
      <c r="G28" s="25">
        <v>43456.11</v>
      </c>
      <c r="H28" s="25"/>
      <c r="I28" s="25"/>
    </row>
    <row r="29" spans="1:9" x14ac:dyDescent="0.25">
      <c r="A29" t="s">
        <v>288</v>
      </c>
      <c r="B29">
        <v>13600</v>
      </c>
      <c r="C29" t="s">
        <v>23</v>
      </c>
      <c r="D29" s="25">
        <v>3642.35</v>
      </c>
      <c r="E29" s="25">
        <v>3234.87</v>
      </c>
      <c r="F29" s="25">
        <v>18618.509999999998</v>
      </c>
      <c r="G29" s="25">
        <v>8446.06</v>
      </c>
      <c r="H29" s="25"/>
      <c r="I29" s="25"/>
    </row>
    <row r="30" spans="1:9" x14ac:dyDescent="0.25">
      <c r="A30" t="s">
        <v>299</v>
      </c>
      <c r="D30" s="25">
        <v>3642.35</v>
      </c>
      <c r="E30" s="25">
        <v>3234.87</v>
      </c>
      <c r="F30" s="25">
        <v>18618.509999999998</v>
      </c>
      <c r="G30" s="25">
        <v>8446.06</v>
      </c>
      <c r="H30" s="25"/>
      <c r="I30" s="25"/>
    </row>
    <row r="31" spans="1:9" x14ac:dyDescent="0.25">
      <c r="A31" t="s">
        <v>289</v>
      </c>
      <c r="B31">
        <v>13650</v>
      </c>
      <c r="C31" t="s">
        <v>24</v>
      </c>
      <c r="D31" s="25"/>
      <c r="E31" s="25"/>
      <c r="F31" s="25">
        <v>28760.58</v>
      </c>
      <c r="G31" s="25">
        <v>34474.86</v>
      </c>
      <c r="H31" s="25"/>
      <c r="I31" s="25"/>
    </row>
    <row r="32" spans="1:9" x14ac:dyDescent="0.25">
      <c r="A32" t="s">
        <v>300</v>
      </c>
      <c r="D32" s="25"/>
      <c r="E32" s="25"/>
      <c r="F32" s="25">
        <v>28760.58</v>
      </c>
      <c r="G32" s="25">
        <v>34474.86</v>
      </c>
      <c r="H32" s="25"/>
      <c r="I32" s="25"/>
    </row>
    <row r="33" spans="1:9" x14ac:dyDescent="0.25">
      <c r="A33" t="s">
        <v>290</v>
      </c>
      <c r="B33">
        <v>13950</v>
      </c>
      <c r="C33" t="s">
        <v>25</v>
      </c>
      <c r="D33" s="25"/>
      <c r="E33" s="25"/>
      <c r="F33" s="25">
        <v>9108.7900000000009</v>
      </c>
      <c r="G33" s="25">
        <v>12412.62</v>
      </c>
      <c r="H33" s="25"/>
      <c r="I33" s="25"/>
    </row>
    <row r="34" spans="1:9" x14ac:dyDescent="0.25">
      <c r="A34" t="s">
        <v>301</v>
      </c>
      <c r="D34" s="25"/>
      <c r="E34" s="25"/>
      <c r="F34" s="25">
        <v>9108.7900000000009</v>
      </c>
      <c r="G34" s="25">
        <v>12412.62</v>
      </c>
      <c r="H34" s="25"/>
      <c r="I34" s="25"/>
    </row>
    <row r="35" spans="1:9" x14ac:dyDescent="0.25">
      <c r="A35" t="s">
        <v>302</v>
      </c>
      <c r="B35">
        <v>14000</v>
      </c>
      <c r="C35" t="s">
        <v>26</v>
      </c>
      <c r="D35" s="25">
        <v>2670303.13</v>
      </c>
      <c r="E35" s="25">
        <v>2670303.13</v>
      </c>
      <c r="F35" s="25">
        <v>3796655.18</v>
      </c>
      <c r="G35" s="25">
        <v>3796655.18</v>
      </c>
      <c r="H35" s="25">
        <v>334582.36</v>
      </c>
      <c r="I35" s="25">
        <v>344582.36</v>
      </c>
    </row>
    <row r="36" spans="1:9" x14ac:dyDescent="0.25">
      <c r="B36">
        <v>14100</v>
      </c>
      <c r="C36" t="s">
        <v>27</v>
      </c>
      <c r="D36" s="25">
        <v>-2321058.34</v>
      </c>
      <c r="E36" s="25">
        <v>-2351254.48</v>
      </c>
      <c r="F36" s="25">
        <v>-3390862.29</v>
      </c>
      <c r="G36" s="25">
        <v>-3430135.59</v>
      </c>
      <c r="H36" s="25">
        <v>-303087.13</v>
      </c>
      <c r="I36" s="25">
        <v>-306220.51</v>
      </c>
    </row>
    <row r="37" spans="1:9" x14ac:dyDescent="0.25">
      <c r="B37">
        <v>15000</v>
      </c>
      <c r="C37" t="s">
        <v>28</v>
      </c>
      <c r="D37" s="25">
        <v>64451.23</v>
      </c>
      <c r="E37" s="25">
        <v>64451.23</v>
      </c>
      <c r="F37" s="25">
        <v>84861.54</v>
      </c>
      <c r="G37" s="25">
        <v>84861.54</v>
      </c>
      <c r="H37" s="25"/>
      <c r="I37" s="25"/>
    </row>
    <row r="38" spans="1:9" x14ac:dyDescent="0.25">
      <c r="B38">
        <v>15100</v>
      </c>
      <c r="C38" t="s">
        <v>29</v>
      </c>
      <c r="D38" s="25">
        <v>-64451.23</v>
      </c>
      <c r="E38" s="25">
        <v>-64451.23</v>
      </c>
      <c r="F38" s="25">
        <v>-77553.05</v>
      </c>
      <c r="G38" s="25">
        <v>-79745.63</v>
      </c>
      <c r="H38" s="25"/>
      <c r="I38" s="25"/>
    </row>
    <row r="39" spans="1:9" x14ac:dyDescent="0.25">
      <c r="B39">
        <v>16000</v>
      </c>
      <c r="C39" t="s">
        <v>30</v>
      </c>
      <c r="D39" s="25">
        <v>3603.4</v>
      </c>
      <c r="E39" s="25">
        <v>3603.4</v>
      </c>
      <c r="F39" s="25">
        <v>38802.65</v>
      </c>
      <c r="G39" s="25">
        <v>38802.65</v>
      </c>
      <c r="H39" s="25"/>
      <c r="I39" s="25"/>
    </row>
    <row r="40" spans="1:9" x14ac:dyDescent="0.25">
      <c r="B40">
        <v>16100</v>
      </c>
      <c r="C40" t="s">
        <v>31</v>
      </c>
      <c r="D40" s="25">
        <v>-3602.87</v>
      </c>
      <c r="E40" s="25">
        <v>-3602.87</v>
      </c>
      <c r="F40" s="25">
        <v>-38802.65</v>
      </c>
      <c r="G40" s="25">
        <v>-38802.65</v>
      </c>
      <c r="H40" s="25"/>
      <c r="I40" s="25"/>
    </row>
    <row r="41" spans="1:9" x14ac:dyDescent="0.25">
      <c r="B41">
        <v>17000</v>
      </c>
      <c r="C41" t="s">
        <v>32</v>
      </c>
      <c r="D41" s="25">
        <v>127998.33</v>
      </c>
      <c r="E41" s="25">
        <v>127998.33</v>
      </c>
      <c r="F41" s="25">
        <v>922407.92</v>
      </c>
      <c r="G41" s="25">
        <v>922407.92</v>
      </c>
      <c r="H41" s="25">
        <v>27949.5</v>
      </c>
      <c r="I41" s="25">
        <v>27949.5</v>
      </c>
    </row>
    <row r="42" spans="1:9" x14ac:dyDescent="0.25">
      <c r="B42">
        <v>17100</v>
      </c>
      <c r="C42" t="s">
        <v>33</v>
      </c>
      <c r="D42" s="25">
        <v>-111642.24000000001</v>
      </c>
      <c r="E42" s="25">
        <v>-113205.9</v>
      </c>
      <c r="F42" s="25">
        <v>-751680.24</v>
      </c>
      <c r="G42" s="25">
        <v>-767355.96</v>
      </c>
      <c r="H42" s="25">
        <v>-39765.33</v>
      </c>
      <c r="I42" s="25">
        <v>-44318.85</v>
      </c>
    </row>
    <row r="43" spans="1:9" x14ac:dyDescent="0.25">
      <c r="B43">
        <v>18000</v>
      </c>
      <c r="C43" t="s">
        <v>35</v>
      </c>
      <c r="D43" s="25">
        <v>8360.14</v>
      </c>
      <c r="E43" s="25">
        <v>8360.14</v>
      </c>
      <c r="F43" s="25">
        <v>180345.65</v>
      </c>
      <c r="G43" s="25">
        <v>180345.65</v>
      </c>
      <c r="H43" s="25"/>
      <c r="I43" s="25"/>
    </row>
    <row r="44" spans="1:9" x14ac:dyDescent="0.25">
      <c r="B44">
        <v>18100</v>
      </c>
      <c r="C44" t="s">
        <v>36</v>
      </c>
      <c r="D44" s="25">
        <v>-5573.42</v>
      </c>
      <c r="E44" s="25">
        <v>-6966.8</v>
      </c>
      <c r="F44" s="25">
        <v>-165011.04</v>
      </c>
      <c r="G44" s="25">
        <v>-167370.18</v>
      </c>
      <c r="H44" s="25"/>
      <c r="I44" s="25"/>
    </row>
    <row r="45" spans="1:9" x14ac:dyDescent="0.25">
      <c r="B45">
        <v>19000</v>
      </c>
      <c r="C45" t="s">
        <v>37</v>
      </c>
      <c r="D45" s="25"/>
      <c r="E45" s="25"/>
      <c r="F45" s="25">
        <v>600000</v>
      </c>
      <c r="G45" s="25">
        <v>600000</v>
      </c>
      <c r="H45" s="25"/>
      <c r="I45" s="25"/>
    </row>
    <row r="46" spans="1:9" x14ac:dyDescent="0.25">
      <c r="B46">
        <v>19100</v>
      </c>
      <c r="C46" t="s">
        <v>38</v>
      </c>
      <c r="D46" s="25"/>
      <c r="E46" s="25"/>
      <c r="F46" s="25">
        <v>-87500</v>
      </c>
      <c r="G46" s="25">
        <v>-93749.96</v>
      </c>
      <c r="H46" s="25"/>
      <c r="I46" s="25"/>
    </row>
    <row r="47" spans="1:9" x14ac:dyDescent="0.25">
      <c r="A47" t="s">
        <v>308</v>
      </c>
      <c r="D47" s="25">
        <v>368388.13000000012</v>
      </c>
      <c r="E47" s="25">
        <v>335234.95</v>
      </c>
      <c r="F47" s="25">
        <v>1111663.6700000004</v>
      </c>
      <c r="G47" s="25">
        <v>1045912.9700000004</v>
      </c>
      <c r="H47" s="25">
        <v>19679.39999999998</v>
      </c>
      <c r="I47" s="25">
        <v>21992.499999999978</v>
      </c>
    </row>
    <row r="48" spans="1:9" x14ac:dyDescent="0.25">
      <c r="A48" t="s">
        <v>303</v>
      </c>
      <c r="B48">
        <v>17500</v>
      </c>
      <c r="C48" t="s">
        <v>34</v>
      </c>
      <c r="D48" s="25"/>
      <c r="E48" s="25"/>
      <c r="F48" s="25">
        <v>10000</v>
      </c>
      <c r="G48" s="25">
        <v>10000</v>
      </c>
      <c r="H48" s="25"/>
      <c r="I48" s="25"/>
    </row>
    <row r="49" spans="1:9" x14ac:dyDescent="0.25">
      <c r="A49" t="s">
        <v>309</v>
      </c>
      <c r="D49" s="25"/>
      <c r="E49" s="25"/>
      <c r="F49" s="25">
        <v>10000</v>
      </c>
      <c r="G49" s="25">
        <v>10000</v>
      </c>
      <c r="H49" s="25"/>
      <c r="I49" s="25"/>
    </row>
    <row r="50" spans="1:9" x14ac:dyDescent="0.25">
      <c r="A50" t="s">
        <v>304</v>
      </c>
      <c r="B50">
        <v>20000</v>
      </c>
      <c r="C50" t="s">
        <v>39</v>
      </c>
      <c r="D50" s="25"/>
      <c r="E50" s="25"/>
      <c r="F50" s="25">
        <v>-451707.84</v>
      </c>
      <c r="G50" s="25">
        <v>-310086.15000000002</v>
      </c>
      <c r="H50" s="25"/>
      <c r="I50" s="25"/>
    </row>
    <row r="51" spans="1:9" x14ac:dyDescent="0.25">
      <c r="B51">
        <v>21500</v>
      </c>
      <c r="C51" t="s">
        <v>40</v>
      </c>
      <c r="D51" s="25"/>
      <c r="E51" s="25"/>
      <c r="F51" s="25">
        <v>0</v>
      </c>
      <c r="G51" s="25">
        <v>0</v>
      </c>
      <c r="H51" s="25"/>
      <c r="I51" s="25"/>
    </row>
    <row r="52" spans="1:9" x14ac:dyDescent="0.25">
      <c r="A52" t="s">
        <v>310</v>
      </c>
      <c r="D52" s="25"/>
      <c r="E52" s="25"/>
      <c r="F52" s="25">
        <v>-451707.84</v>
      </c>
      <c r="G52" s="25">
        <v>-310086.15000000002</v>
      </c>
      <c r="H52" s="25"/>
      <c r="I52" s="25"/>
    </row>
    <row r="53" spans="1:9" x14ac:dyDescent="0.25">
      <c r="A53" t="s">
        <v>306</v>
      </c>
      <c r="B53">
        <v>21510</v>
      </c>
      <c r="C53" t="s">
        <v>41</v>
      </c>
      <c r="D53" s="25"/>
      <c r="E53" s="25"/>
      <c r="F53" s="25">
        <v>-193786.3</v>
      </c>
      <c r="G53" s="25">
        <v>0</v>
      </c>
      <c r="H53" s="25"/>
      <c r="I53" s="25"/>
    </row>
    <row r="54" spans="1:9" x14ac:dyDescent="0.25">
      <c r="B54">
        <v>21860</v>
      </c>
      <c r="C54" t="s">
        <v>42</v>
      </c>
      <c r="D54" s="25"/>
      <c r="E54" s="25"/>
      <c r="F54" s="25">
        <v>-19755.63</v>
      </c>
      <c r="G54" s="25">
        <v>-19755.63</v>
      </c>
      <c r="H54" s="25"/>
      <c r="I54" s="25"/>
    </row>
    <row r="55" spans="1:9" x14ac:dyDescent="0.25">
      <c r="B55">
        <v>21870</v>
      </c>
      <c r="C55" t="s">
        <v>43</v>
      </c>
      <c r="D55" s="25"/>
      <c r="E55" s="25"/>
      <c r="F55" s="25">
        <v>-307922.95</v>
      </c>
      <c r="G55" s="25">
        <v>-241871.45</v>
      </c>
      <c r="H55" s="25"/>
      <c r="I55" s="25"/>
    </row>
    <row r="56" spans="1:9" x14ac:dyDescent="0.25">
      <c r="A56" t="s">
        <v>311</v>
      </c>
      <c r="D56" s="25"/>
      <c r="E56" s="25"/>
      <c r="F56" s="25">
        <v>-521464.88</v>
      </c>
      <c r="G56" s="25">
        <v>-261627.08000000002</v>
      </c>
      <c r="H56" s="25"/>
      <c r="I56" s="25"/>
    </row>
    <row r="57" spans="1:9" x14ac:dyDescent="0.25">
      <c r="A57" t="s">
        <v>305</v>
      </c>
      <c r="B57">
        <v>23000</v>
      </c>
      <c r="C57" t="s">
        <v>44</v>
      </c>
      <c r="D57" s="25"/>
      <c r="E57" s="25"/>
      <c r="F57" s="25">
        <v>-48475.74</v>
      </c>
      <c r="G57" s="25">
        <v>-48724.84</v>
      </c>
      <c r="H57" s="25"/>
      <c r="I57" s="25"/>
    </row>
    <row r="58" spans="1:9" x14ac:dyDescent="0.25">
      <c r="B58">
        <v>23700</v>
      </c>
      <c r="C58" t="s">
        <v>45</v>
      </c>
      <c r="D58" s="25"/>
      <c r="E58" s="25"/>
      <c r="F58" s="25">
        <v>0</v>
      </c>
      <c r="G58" s="25">
        <v>0</v>
      </c>
      <c r="H58" s="25"/>
      <c r="I58" s="25"/>
    </row>
    <row r="59" spans="1:9" x14ac:dyDescent="0.25">
      <c r="B59">
        <v>23900</v>
      </c>
      <c r="C59" t="s">
        <v>46</v>
      </c>
      <c r="D59" s="25"/>
      <c r="E59" s="25"/>
      <c r="F59" s="25">
        <v>-9636.25</v>
      </c>
      <c r="G59" s="25">
        <v>-10463.75</v>
      </c>
      <c r="H59" s="25"/>
      <c r="I59" s="25"/>
    </row>
    <row r="60" spans="1:9" x14ac:dyDescent="0.25">
      <c r="B60">
        <v>23950</v>
      </c>
      <c r="C60" t="s">
        <v>47</v>
      </c>
      <c r="D60" s="25"/>
      <c r="E60" s="25"/>
      <c r="F60" s="25">
        <v>-130845.01</v>
      </c>
      <c r="G60" s="25">
        <v>-58403.18</v>
      </c>
      <c r="H60" s="25"/>
      <c r="I60" s="25"/>
    </row>
    <row r="61" spans="1:9" x14ac:dyDescent="0.25">
      <c r="B61">
        <v>24000</v>
      </c>
      <c r="C61" t="s">
        <v>48</v>
      </c>
      <c r="D61" s="25"/>
      <c r="E61" s="25"/>
      <c r="F61" s="25">
        <v>0</v>
      </c>
      <c r="G61" s="25">
        <v>15.08</v>
      </c>
      <c r="H61" s="25"/>
      <c r="I61" s="25"/>
    </row>
    <row r="62" spans="1:9" x14ac:dyDescent="0.25">
      <c r="B62">
        <v>24100</v>
      </c>
      <c r="C62" t="s">
        <v>49</v>
      </c>
      <c r="D62" s="25"/>
      <c r="E62" s="25"/>
      <c r="F62" s="25">
        <v>0</v>
      </c>
      <c r="G62" s="25">
        <v>0</v>
      </c>
      <c r="H62" s="25"/>
      <c r="I62" s="25"/>
    </row>
    <row r="63" spans="1:9" x14ac:dyDescent="0.25">
      <c r="B63">
        <v>24300</v>
      </c>
      <c r="C63" t="s">
        <v>50</v>
      </c>
      <c r="D63" s="25"/>
      <c r="E63" s="25"/>
      <c r="F63" s="25">
        <v>-51459.37</v>
      </c>
      <c r="G63" s="25">
        <v>-116464.33</v>
      </c>
      <c r="H63" s="25"/>
      <c r="I63" s="25"/>
    </row>
    <row r="64" spans="1:9" x14ac:dyDescent="0.25">
      <c r="A64" t="s">
        <v>312</v>
      </c>
      <c r="D64" s="25"/>
      <c r="E64" s="25"/>
      <c r="F64" s="25">
        <v>-240416.37</v>
      </c>
      <c r="G64" s="25">
        <v>-234041.02</v>
      </c>
      <c r="H64" s="25"/>
      <c r="I64" s="25"/>
    </row>
    <row r="65" spans="1:9" x14ac:dyDescent="0.25">
      <c r="A65" t="s">
        <v>307</v>
      </c>
      <c r="B65">
        <v>30000</v>
      </c>
      <c r="C65" t="s">
        <v>51</v>
      </c>
      <c r="D65" s="25"/>
      <c r="E65" s="25"/>
      <c r="F65" s="25">
        <v>-1000</v>
      </c>
      <c r="G65" s="25">
        <v>-1000</v>
      </c>
      <c r="H65" s="25"/>
      <c r="I65" s="25"/>
    </row>
    <row r="66" spans="1:9" x14ac:dyDescent="0.25">
      <c r="B66">
        <v>31000</v>
      </c>
      <c r="C66" t="s">
        <v>52</v>
      </c>
      <c r="D66" s="25"/>
      <c r="E66" s="25"/>
      <c r="F66" s="25">
        <v>-2581208.7200000002</v>
      </c>
      <c r="G66" s="25">
        <v>-2581208.7200000002</v>
      </c>
      <c r="H66" s="25"/>
      <c r="I66" s="25"/>
    </row>
    <row r="67" spans="1:9" x14ac:dyDescent="0.25">
      <c r="B67">
        <v>31500</v>
      </c>
      <c r="C67" t="s">
        <v>53</v>
      </c>
      <c r="D67" s="25"/>
      <c r="E67" s="25"/>
      <c r="F67" s="25">
        <v>-249000</v>
      </c>
      <c r="G67" s="25">
        <v>-249000</v>
      </c>
      <c r="H67" s="25"/>
      <c r="I67" s="25"/>
    </row>
    <row r="68" spans="1:9" x14ac:dyDescent="0.25">
      <c r="B68">
        <v>32000</v>
      </c>
      <c r="C68" t="s">
        <v>54</v>
      </c>
      <c r="D68" s="25"/>
      <c r="E68" s="25"/>
      <c r="F68" s="25">
        <v>0</v>
      </c>
      <c r="G68" s="25">
        <v>40000</v>
      </c>
      <c r="H68" s="25"/>
      <c r="I68" s="25"/>
    </row>
    <row r="69" spans="1:9" x14ac:dyDescent="0.25">
      <c r="A69" t="s">
        <v>313</v>
      </c>
      <c r="D69" s="25"/>
      <c r="E69" s="25"/>
      <c r="F69" s="25">
        <v>-2831208.72</v>
      </c>
      <c r="G69" s="25">
        <v>-2791208.72</v>
      </c>
      <c r="H69" s="25"/>
      <c r="I69" s="25"/>
    </row>
    <row r="70" spans="1:9" x14ac:dyDescent="0.25">
      <c r="A70" t="s">
        <v>209</v>
      </c>
      <c r="D70" s="25">
        <v>1009636.49</v>
      </c>
      <c r="E70" s="25">
        <v>918224.11</v>
      </c>
      <c r="F70" s="25">
        <v>-1029315.8899999994</v>
      </c>
      <c r="G70" s="25">
        <v>-472388.47999999905</v>
      </c>
      <c r="H70" s="25">
        <v>19679.39999999998</v>
      </c>
      <c r="I70" s="25">
        <v>21992.499999999978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8"/>
  <sheetViews>
    <sheetView workbookViewId="0">
      <pane ySplit="1" topLeftCell="A2" activePane="bottomLeft" state="frozen"/>
      <selection pane="bottomLeft" activeCell="N12" sqref="N12"/>
    </sheetView>
  </sheetViews>
  <sheetFormatPr defaultRowHeight="15" x14ac:dyDescent="0.25"/>
  <cols>
    <col min="1" max="1" width="11.42578125" customWidth="1"/>
    <col min="2" max="2" width="8.85546875" customWidth="1"/>
    <col min="3" max="3" width="28.42578125" customWidth="1"/>
    <col min="4" max="4" width="8.85546875" customWidth="1"/>
    <col min="5" max="5" width="27.140625" customWidth="1"/>
    <col min="6" max="6" width="17" style="6" customWidth="1"/>
    <col min="7" max="7" width="13.85546875" style="6" customWidth="1"/>
    <col min="8" max="8" width="17.140625" style="6" customWidth="1"/>
  </cols>
  <sheetData>
    <row r="1" spans="1:8" s="3" customFormat="1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2</v>
      </c>
      <c r="F1" s="4" t="s">
        <v>4</v>
      </c>
      <c r="G1" s="4" t="s">
        <v>5</v>
      </c>
      <c r="H1" s="4" t="s">
        <v>6</v>
      </c>
    </row>
    <row r="2" spans="1:8" x14ac:dyDescent="0.25">
      <c r="A2" s="1">
        <v>10010</v>
      </c>
      <c r="B2" s="1">
        <v>1</v>
      </c>
      <c r="C2" s="1" t="s">
        <v>7</v>
      </c>
      <c r="D2" s="1" t="s">
        <v>8</v>
      </c>
      <c r="E2" s="1" t="s">
        <v>9</v>
      </c>
      <c r="F2" s="5">
        <v>534702.04</v>
      </c>
      <c r="G2" s="5">
        <v>171363.5</v>
      </c>
      <c r="H2" s="5">
        <v>706065.54</v>
      </c>
    </row>
    <row r="3" spans="1:8" x14ac:dyDescent="0.25">
      <c r="A3" s="1">
        <v>10020</v>
      </c>
      <c r="B3" s="1">
        <v>1</v>
      </c>
      <c r="C3" s="1" t="s">
        <v>10</v>
      </c>
      <c r="D3" s="1" t="s">
        <v>8</v>
      </c>
      <c r="E3" s="1" t="s">
        <v>9</v>
      </c>
      <c r="F3" s="5">
        <v>400</v>
      </c>
      <c r="G3" s="5">
        <v>0</v>
      </c>
      <c r="H3" s="5">
        <v>400</v>
      </c>
    </row>
    <row r="4" spans="1:8" x14ac:dyDescent="0.25">
      <c r="A4" s="1">
        <v>10020</v>
      </c>
      <c r="B4" s="1">
        <v>2</v>
      </c>
      <c r="C4" s="1" t="s">
        <v>10</v>
      </c>
      <c r="D4" s="1" t="s">
        <v>8</v>
      </c>
      <c r="E4" s="1" t="s">
        <v>9</v>
      </c>
      <c r="F4" s="5">
        <v>400</v>
      </c>
      <c r="G4" s="5">
        <v>0</v>
      </c>
      <c r="H4" s="5">
        <v>400</v>
      </c>
    </row>
    <row r="5" spans="1:8" x14ac:dyDescent="0.25">
      <c r="A5" s="1">
        <v>10120</v>
      </c>
      <c r="B5" s="1">
        <v>1</v>
      </c>
      <c r="C5" s="1" t="s">
        <v>11</v>
      </c>
      <c r="D5" s="1" t="s">
        <v>8</v>
      </c>
      <c r="E5" s="1" t="s">
        <v>9</v>
      </c>
      <c r="F5" s="5">
        <v>14649.31</v>
      </c>
      <c r="G5" s="5">
        <v>510.18</v>
      </c>
      <c r="H5" s="5">
        <v>15159.49</v>
      </c>
    </row>
    <row r="6" spans="1:8" x14ac:dyDescent="0.25">
      <c r="A6" s="1">
        <v>10130</v>
      </c>
      <c r="B6" s="1">
        <v>1</v>
      </c>
      <c r="C6" s="1" t="s">
        <v>12</v>
      </c>
      <c r="D6" s="1" t="s">
        <v>8</v>
      </c>
      <c r="E6" s="1" t="s">
        <v>12</v>
      </c>
      <c r="F6" s="5">
        <v>17101.900000000001</v>
      </c>
      <c r="G6" s="5">
        <v>797.5</v>
      </c>
      <c r="H6" s="5">
        <v>17899.400000000001</v>
      </c>
    </row>
    <row r="7" spans="1:8" x14ac:dyDescent="0.25">
      <c r="A7" s="1">
        <v>11000</v>
      </c>
      <c r="B7" s="1">
        <v>1</v>
      </c>
      <c r="C7" s="1" t="s">
        <v>13</v>
      </c>
      <c r="D7" s="1" t="s">
        <v>8</v>
      </c>
      <c r="E7" s="1" t="s">
        <v>9</v>
      </c>
      <c r="F7" s="5">
        <v>674695.59</v>
      </c>
      <c r="G7" s="5">
        <v>104791.93</v>
      </c>
      <c r="H7" s="5">
        <v>779487.52</v>
      </c>
    </row>
    <row r="8" spans="1:8" x14ac:dyDescent="0.25">
      <c r="A8" s="1">
        <v>11100</v>
      </c>
      <c r="B8" s="1">
        <v>1</v>
      </c>
      <c r="C8" s="1" t="s">
        <v>14</v>
      </c>
      <c r="D8" s="1" t="s">
        <v>8</v>
      </c>
      <c r="E8" s="1" t="s">
        <v>9</v>
      </c>
      <c r="F8" s="5">
        <v>40084.730000000003</v>
      </c>
      <c r="G8" s="5">
        <v>-40068.980000000003</v>
      </c>
      <c r="H8" s="5">
        <v>15.75</v>
      </c>
    </row>
    <row r="9" spans="1:8" x14ac:dyDescent="0.25">
      <c r="A9" s="1">
        <v>12000</v>
      </c>
      <c r="B9" s="1">
        <v>1</v>
      </c>
      <c r="C9" s="1" t="s">
        <v>15</v>
      </c>
      <c r="D9" s="1" t="s">
        <v>8</v>
      </c>
      <c r="E9" s="1" t="s">
        <v>9</v>
      </c>
      <c r="F9" s="5">
        <v>4763.4399999999996</v>
      </c>
      <c r="G9" s="5">
        <v>16989.599999999999</v>
      </c>
      <c r="H9" s="5">
        <v>21753.040000000001</v>
      </c>
    </row>
    <row r="10" spans="1:8" x14ac:dyDescent="0.25">
      <c r="A10" s="1">
        <v>12100</v>
      </c>
      <c r="B10" s="1">
        <v>1</v>
      </c>
      <c r="C10" s="1" t="s">
        <v>16</v>
      </c>
      <c r="D10" s="1" t="s">
        <v>8</v>
      </c>
      <c r="E10" s="1" t="s">
        <v>9</v>
      </c>
      <c r="F10" s="5">
        <v>500</v>
      </c>
      <c r="G10" s="5">
        <v>0</v>
      </c>
      <c r="H10" s="5">
        <v>500</v>
      </c>
    </row>
    <row r="11" spans="1:8" x14ac:dyDescent="0.25">
      <c r="A11" s="1">
        <v>12110</v>
      </c>
      <c r="B11" s="1">
        <v>1</v>
      </c>
      <c r="C11" s="1" t="s">
        <v>17</v>
      </c>
      <c r="D11" s="1" t="s">
        <v>8</v>
      </c>
      <c r="E11" s="1" t="s">
        <v>9</v>
      </c>
      <c r="F11" s="5">
        <v>7868</v>
      </c>
      <c r="G11" s="5">
        <v>3594.5</v>
      </c>
      <c r="H11" s="5">
        <v>11462.5</v>
      </c>
    </row>
    <row r="12" spans="1:8" x14ac:dyDescent="0.25">
      <c r="A12" s="1">
        <v>13100</v>
      </c>
      <c r="B12" s="1">
        <v>1</v>
      </c>
      <c r="C12" s="1" t="s">
        <v>18</v>
      </c>
      <c r="D12" s="1" t="s">
        <v>8</v>
      </c>
      <c r="E12" s="1" t="s">
        <v>9</v>
      </c>
      <c r="F12" s="5">
        <v>444806.9</v>
      </c>
      <c r="G12" s="5">
        <v>-67895.92</v>
      </c>
      <c r="H12" s="5">
        <v>376910.98</v>
      </c>
    </row>
    <row r="13" spans="1:8" x14ac:dyDescent="0.25">
      <c r="A13" s="1">
        <v>13100</v>
      </c>
      <c r="B13" s="1">
        <v>2</v>
      </c>
      <c r="C13" s="1" t="s">
        <v>18</v>
      </c>
      <c r="D13" s="1" t="s">
        <v>8</v>
      </c>
      <c r="E13" s="1" t="s">
        <v>9</v>
      </c>
      <c r="F13" s="5">
        <v>416192.86</v>
      </c>
      <c r="G13" s="5">
        <v>-33401.99</v>
      </c>
      <c r="H13" s="5">
        <v>382790.87</v>
      </c>
    </row>
    <row r="14" spans="1:8" x14ac:dyDescent="0.25">
      <c r="A14" s="1">
        <v>13150</v>
      </c>
      <c r="B14" s="1">
        <v>2</v>
      </c>
      <c r="C14" s="1" t="s">
        <v>19</v>
      </c>
      <c r="D14" s="1" t="s">
        <v>8</v>
      </c>
      <c r="E14" s="1" t="s">
        <v>19</v>
      </c>
      <c r="F14" s="5">
        <v>29721.35</v>
      </c>
      <c r="G14" s="5">
        <v>-6933.75</v>
      </c>
      <c r="H14" s="5">
        <v>22787.599999999999</v>
      </c>
    </row>
    <row r="15" spans="1:8" x14ac:dyDescent="0.25">
      <c r="A15" s="1">
        <v>13200</v>
      </c>
      <c r="B15" s="1">
        <v>1</v>
      </c>
      <c r="C15" s="1" t="s">
        <v>20</v>
      </c>
      <c r="D15" s="1" t="s">
        <v>8</v>
      </c>
      <c r="E15" s="1" t="s">
        <v>9</v>
      </c>
      <c r="F15" s="5">
        <v>574.15</v>
      </c>
      <c r="G15" s="5">
        <v>1293.0899999999999</v>
      </c>
      <c r="H15" s="5">
        <v>1867.24</v>
      </c>
    </row>
    <row r="16" spans="1:8" x14ac:dyDescent="0.25">
      <c r="A16" s="1">
        <v>13300</v>
      </c>
      <c r="B16" s="1">
        <v>1</v>
      </c>
      <c r="C16" s="1" t="s">
        <v>21</v>
      </c>
      <c r="D16" s="1" t="s">
        <v>8</v>
      </c>
      <c r="E16" s="1" t="s">
        <v>9</v>
      </c>
      <c r="F16" s="5">
        <v>33340.31</v>
      </c>
      <c r="G16" s="5">
        <v>5010.1000000000004</v>
      </c>
      <c r="H16" s="5">
        <v>38350.410000000003</v>
      </c>
    </row>
    <row r="17" spans="1:8" x14ac:dyDescent="0.25">
      <c r="A17" s="1">
        <v>13300</v>
      </c>
      <c r="B17" s="1">
        <v>2</v>
      </c>
      <c r="C17" s="1" t="s">
        <v>21</v>
      </c>
      <c r="D17" s="1" t="s">
        <v>8</v>
      </c>
      <c r="E17" s="1" t="s">
        <v>9</v>
      </c>
      <c r="F17" s="5">
        <v>51299.41</v>
      </c>
      <c r="G17" s="5">
        <v>6066.08</v>
      </c>
      <c r="H17" s="5">
        <v>57365.49</v>
      </c>
    </row>
    <row r="18" spans="1:8" x14ac:dyDescent="0.25">
      <c r="A18" s="1">
        <v>13400</v>
      </c>
      <c r="B18" s="1">
        <v>1</v>
      </c>
      <c r="C18" s="1" t="s">
        <v>22</v>
      </c>
      <c r="D18" s="1" t="s">
        <v>8</v>
      </c>
      <c r="E18" s="1" t="s">
        <v>9</v>
      </c>
      <c r="F18" s="5">
        <v>63844</v>
      </c>
      <c r="G18" s="5">
        <v>-20387.89</v>
      </c>
      <c r="H18" s="5">
        <v>43456.11</v>
      </c>
    </row>
    <row r="19" spans="1:8" x14ac:dyDescent="0.25">
      <c r="A19" s="1">
        <v>13400</v>
      </c>
      <c r="B19" s="1">
        <v>2</v>
      </c>
      <c r="C19" s="1" t="s">
        <v>22</v>
      </c>
      <c r="D19" s="1" t="s">
        <v>8</v>
      </c>
      <c r="E19" s="1" t="s">
        <v>9</v>
      </c>
      <c r="F19" s="5">
        <v>139992.39000000001</v>
      </c>
      <c r="G19" s="5">
        <v>-23582.06</v>
      </c>
      <c r="H19" s="5">
        <v>116410.33</v>
      </c>
    </row>
    <row r="20" spans="1:8" x14ac:dyDescent="0.25">
      <c r="A20" s="1">
        <v>13405</v>
      </c>
      <c r="B20" s="1">
        <v>1</v>
      </c>
      <c r="C20" s="1" t="s">
        <v>55</v>
      </c>
      <c r="D20" s="1" t="s">
        <v>56</v>
      </c>
      <c r="E20" s="1" t="s">
        <v>9</v>
      </c>
      <c r="F20" s="5">
        <v>0</v>
      </c>
      <c r="G20" s="5">
        <v>20387.89</v>
      </c>
      <c r="H20" s="5">
        <v>20387.89</v>
      </c>
    </row>
    <row r="21" spans="1:8" x14ac:dyDescent="0.25">
      <c r="A21" s="1">
        <v>13405</v>
      </c>
      <c r="B21" s="1">
        <v>2</v>
      </c>
      <c r="C21" s="1" t="s">
        <v>55</v>
      </c>
      <c r="D21" s="1" t="s">
        <v>56</v>
      </c>
      <c r="E21" s="1" t="s">
        <v>9</v>
      </c>
      <c r="F21" s="5">
        <v>0</v>
      </c>
      <c r="G21" s="5">
        <v>23582.06</v>
      </c>
      <c r="H21" s="5">
        <v>23582.06</v>
      </c>
    </row>
    <row r="22" spans="1:8" x14ac:dyDescent="0.25">
      <c r="A22" s="1">
        <v>13600</v>
      </c>
      <c r="B22" s="1">
        <v>1</v>
      </c>
      <c r="C22" s="1" t="s">
        <v>23</v>
      </c>
      <c r="D22" s="1" t="s">
        <v>8</v>
      </c>
      <c r="E22" s="1" t="s">
        <v>9</v>
      </c>
      <c r="F22" s="5">
        <v>18618.509999999998</v>
      </c>
      <c r="G22" s="5">
        <v>-10172.450000000001</v>
      </c>
      <c r="H22" s="5">
        <v>8446.06</v>
      </c>
    </row>
    <row r="23" spans="1:8" x14ac:dyDescent="0.25">
      <c r="A23" s="1">
        <v>13600</v>
      </c>
      <c r="B23" s="1">
        <v>2</v>
      </c>
      <c r="C23" s="1" t="s">
        <v>23</v>
      </c>
      <c r="D23" s="1" t="s">
        <v>8</v>
      </c>
      <c r="E23" s="1" t="s">
        <v>9</v>
      </c>
      <c r="F23" s="5">
        <v>3642.35</v>
      </c>
      <c r="G23" s="5">
        <v>-407.48</v>
      </c>
      <c r="H23" s="5">
        <v>3234.87</v>
      </c>
    </row>
    <row r="24" spans="1:8" x14ac:dyDescent="0.25">
      <c r="A24" s="1">
        <v>13650</v>
      </c>
      <c r="B24" s="1">
        <v>1</v>
      </c>
      <c r="C24" s="1" t="s">
        <v>24</v>
      </c>
      <c r="D24" s="1" t="s">
        <v>8</v>
      </c>
      <c r="E24" s="1" t="s">
        <v>24</v>
      </c>
      <c r="F24" s="5">
        <v>28760.58</v>
      </c>
      <c r="G24" s="5">
        <v>5714.28</v>
      </c>
      <c r="H24" s="5">
        <v>34474.86</v>
      </c>
    </row>
    <row r="25" spans="1:8" x14ac:dyDescent="0.25">
      <c r="A25" s="1">
        <v>13950</v>
      </c>
      <c r="B25" s="1">
        <v>1</v>
      </c>
      <c r="C25" s="1" t="s">
        <v>25</v>
      </c>
      <c r="D25" s="1" t="s">
        <v>8</v>
      </c>
      <c r="E25" s="1" t="s">
        <v>9</v>
      </c>
      <c r="F25" s="5">
        <v>9108.7900000000009</v>
      </c>
      <c r="G25" s="5">
        <v>3303.83</v>
      </c>
      <c r="H25" s="5">
        <v>12412.62</v>
      </c>
    </row>
    <row r="26" spans="1:8" x14ac:dyDescent="0.25">
      <c r="A26" s="1">
        <v>14000</v>
      </c>
      <c r="B26" s="1">
        <v>1</v>
      </c>
      <c r="C26" s="1" t="s">
        <v>26</v>
      </c>
      <c r="D26" s="1" t="s">
        <v>8</v>
      </c>
      <c r="E26" s="1" t="s">
        <v>9</v>
      </c>
      <c r="F26" s="5">
        <v>3796655.18</v>
      </c>
      <c r="G26" s="5">
        <v>0</v>
      </c>
      <c r="H26" s="5">
        <v>3796655.18</v>
      </c>
    </row>
    <row r="27" spans="1:8" x14ac:dyDescent="0.25">
      <c r="A27" s="1">
        <v>14000</v>
      </c>
      <c r="B27" s="1">
        <v>2</v>
      </c>
      <c r="C27" s="1" t="s">
        <v>26</v>
      </c>
      <c r="D27" s="1" t="s">
        <v>8</v>
      </c>
      <c r="E27" s="1" t="s">
        <v>9</v>
      </c>
      <c r="F27" s="5">
        <v>2670303.13</v>
      </c>
      <c r="G27" s="5">
        <v>0</v>
      </c>
      <c r="H27" s="5">
        <v>2670303.13</v>
      </c>
    </row>
    <row r="28" spans="1:8" x14ac:dyDescent="0.25">
      <c r="A28" s="1">
        <v>14000</v>
      </c>
      <c r="B28" s="1">
        <v>50</v>
      </c>
      <c r="C28" s="1" t="s">
        <v>26</v>
      </c>
      <c r="D28" s="1" t="s">
        <v>8</v>
      </c>
      <c r="E28" s="1" t="s">
        <v>9</v>
      </c>
      <c r="F28" s="5">
        <v>334582.36</v>
      </c>
      <c r="G28" s="5">
        <v>10000</v>
      </c>
      <c r="H28" s="5">
        <v>344582.36</v>
      </c>
    </row>
    <row r="29" spans="1:8" x14ac:dyDescent="0.25">
      <c r="A29" s="1">
        <v>14100</v>
      </c>
      <c r="B29" s="1">
        <v>1</v>
      </c>
      <c r="C29" s="1" t="s">
        <v>27</v>
      </c>
      <c r="D29" s="1" t="s">
        <v>8</v>
      </c>
      <c r="E29" s="1" t="s">
        <v>9</v>
      </c>
      <c r="F29" s="5">
        <v>-3390862.29</v>
      </c>
      <c r="G29" s="5">
        <v>-39273.300000000003</v>
      </c>
      <c r="H29" s="5">
        <v>-3430135.59</v>
      </c>
    </row>
    <row r="30" spans="1:8" x14ac:dyDescent="0.25">
      <c r="A30" s="1">
        <v>14100</v>
      </c>
      <c r="B30" s="1">
        <v>2</v>
      </c>
      <c r="C30" s="1" t="s">
        <v>27</v>
      </c>
      <c r="D30" s="1" t="s">
        <v>8</v>
      </c>
      <c r="E30" s="1" t="s">
        <v>9</v>
      </c>
      <c r="F30" s="5">
        <v>-2321058.34</v>
      </c>
      <c r="G30" s="5">
        <v>-30196.14</v>
      </c>
      <c r="H30" s="5">
        <v>-2351254.48</v>
      </c>
    </row>
    <row r="31" spans="1:8" x14ac:dyDescent="0.25">
      <c r="A31" s="1">
        <v>14100</v>
      </c>
      <c r="B31" s="1">
        <v>50</v>
      </c>
      <c r="C31" s="1" t="s">
        <v>27</v>
      </c>
      <c r="D31" s="1" t="s">
        <v>8</v>
      </c>
      <c r="E31" s="1" t="s">
        <v>9</v>
      </c>
      <c r="F31" s="5">
        <v>-303087.13</v>
      </c>
      <c r="G31" s="5">
        <v>-3133.38</v>
      </c>
      <c r="H31" s="5">
        <v>-306220.51</v>
      </c>
    </row>
    <row r="32" spans="1:8" x14ac:dyDescent="0.25">
      <c r="A32" s="1">
        <v>15000</v>
      </c>
      <c r="B32" s="1">
        <v>1</v>
      </c>
      <c r="C32" s="1" t="s">
        <v>28</v>
      </c>
      <c r="D32" s="1" t="s">
        <v>8</v>
      </c>
      <c r="E32" s="1" t="s">
        <v>9</v>
      </c>
      <c r="F32" s="5">
        <v>84861.54</v>
      </c>
      <c r="G32" s="5">
        <v>0</v>
      </c>
      <c r="H32" s="5">
        <v>84861.54</v>
      </c>
    </row>
    <row r="33" spans="1:8" x14ac:dyDescent="0.25">
      <c r="A33" s="1">
        <v>15000</v>
      </c>
      <c r="B33" s="1">
        <v>2</v>
      </c>
      <c r="C33" s="1" t="s">
        <v>28</v>
      </c>
      <c r="D33" s="1" t="s">
        <v>8</v>
      </c>
      <c r="E33" s="1" t="s">
        <v>9</v>
      </c>
      <c r="F33" s="5">
        <v>64451.23</v>
      </c>
      <c r="G33" s="5">
        <v>0</v>
      </c>
      <c r="H33" s="5">
        <v>64451.23</v>
      </c>
    </row>
    <row r="34" spans="1:8" x14ac:dyDescent="0.25">
      <c r="A34" s="1">
        <v>15100</v>
      </c>
      <c r="B34" s="1">
        <v>1</v>
      </c>
      <c r="C34" s="1" t="s">
        <v>29</v>
      </c>
      <c r="D34" s="1" t="s">
        <v>8</v>
      </c>
      <c r="E34" s="1" t="s">
        <v>9</v>
      </c>
      <c r="F34" s="5">
        <v>-77553.05</v>
      </c>
      <c r="G34" s="5">
        <v>-2192.58</v>
      </c>
      <c r="H34" s="5">
        <v>-79745.63</v>
      </c>
    </row>
    <row r="35" spans="1:8" x14ac:dyDescent="0.25">
      <c r="A35" s="1">
        <v>15100</v>
      </c>
      <c r="B35" s="1">
        <v>2</v>
      </c>
      <c r="C35" s="1" t="s">
        <v>29</v>
      </c>
      <c r="D35" s="1" t="s">
        <v>8</v>
      </c>
      <c r="E35" s="1" t="s">
        <v>9</v>
      </c>
      <c r="F35" s="5">
        <v>-64451.23</v>
      </c>
      <c r="G35" s="5">
        <v>0</v>
      </c>
      <c r="H35" s="5">
        <v>-64451.23</v>
      </c>
    </row>
    <row r="36" spans="1:8" x14ac:dyDescent="0.25">
      <c r="A36" s="1">
        <v>16000</v>
      </c>
      <c r="B36" s="1">
        <v>1</v>
      </c>
      <c r="C36" s="1" t="s">
        <v>30</v>
      </c>
      <c r="D36" s="1" t="s">
        <v>8</v>
      </c>
      <c r="E36" s="1" t="s">
        <v>9</v>
      </c>
      <c r="F36" s="5">
        <v>38802.65</v>
      </c>
      <c r="G36" s="5">
        <v>0</v>
      </c>
      <c r="H36" s="5">
        <v>38802.65</v>
      </c>
    </row>
    <row r="37" spans="1:8" x14ac:dyDescent="0.25">
      <c r="A37" s="1">
        <v>16000</v>
      </c>
      <c r="B37" s="1">
        <v>2</v>
      </c>
      <c r="C37" s="1" t="s">
        <v>30</v>
      </c>
      <c r="D37" s="1" t="s">
        <v>8</v>
      </c>
      <c r="E37" s="1" t="s">
        <v>9</v>
      </c>
      <c r="F37" s="5">
        <v>3603.4</v>
      </c>
      <c r="G37" s="5">
        <v>0</v>
      </c>
      <c r="H37" s="5">
        <v>3603.4</v>
      </c>
    </row>
    <row r="38" spans="1:8" x14ac:dyDescent="0.25">
      <c r="A38" s="1">
        <v>16100</v>
      </c>
      <c r="B38" s="1">
        <v>1</v>
      </c>
      <c r="C38" s="1" t="s">
        <v>31</v>
      </c>
      <c r="D38" s="1" t="s">
        <v>8</v>
      </c>
      <c r="E38" s="1" t="s">
        <v>9</v>
      </c>
      <c r="F38" s="5">
        <v>-38802.65</v>
      </c>
      <c r="G38" s="5">
        <v>0</v>
      </c>
      <c r="H38" s="5">
        <v>-38802.65</v>
      </c>
    </row>
    <row r="39" spans="1:8" x14ac:dyDescent="0.25">
      <c r="A39" s="1">
        <v>16100</v>
      </c>
      <c r="B39" s="1">
        <v>2</v>
      </c>
      <c r="C39" s="1" t="s">
        <v>31</v>
      </c>
      <c r="D39" s="1" t="s">
        <v>8</v>
      </c>
      <c r="E39" s="1" t="s">
        <v>9</v>
      </c>
      <c r="F39" s="5">
        <v>-3602.87</v>
      </c>
      <c r="G39" s="5">
        <v>0</v>
      </c>
      <c r="H39" s="5">
        <v>-3602.87</v>
      </c>
    </row>
    <row r="40" spans="1:8" x14ac:dyDescent="0.25">
      <c r="A40" s="1">
        <v>17000</v>
      </c>
      <c r="B40" s="1">
        <v>1</v>
      </c>
      <c r="C40" s="1" t="s">
        <v>32</v>
      </c>
      <c r="D40" s="1" t="s">
        <v>8</v>
      </c>
      <c r="E40" s="1" t="s">
        <v>9</v>
      </c>
      <c r="F40" s="5">
        <v>922407.92</v>
      </c>
      <c r="G40" s="5">
        <v>0</v>
      </c>
      <c r="H40" s="5">
        <v>922407.92</v>
      </c>
    </row>
    <row r="41" spans="1:8" x14ac:dyDescent="0.25">
      <c r="A41" s="1">
        <v>17000</v>
      </c>
      <c r="B41" s="1">
        <v>2</v>
      </c>
      <c r="C41" s="1" t="s">
        <v>32</v>
      </c>
      <c r="D41" s="1" t="s">
        <v>8</v>
      </c>
      <c r="E41" s="1" t="s">
        <v>9</v>
      </c>
      <c r="F41" s="5">
        <v>127998.33</v>
      </c>
      <c r="G41" s="5">
        <v>0</v>
      </c>
      <c r="H41" s="5">
        <v>127998.33</v>
      </c>
    </row>
    <row r="42" spans="1:8" x14ac:dyDescent="0.25">
      <c r="A42" s="1">
        <v>17000</v>
      </c>
      <c r="B42" s="1">
        <v>50</v>
      </c>
      <c r="C42" s="1" t="s">
        <v>32</v>
      </c>
      <c r="D42" s="1" t="s">
        <v>8</v>
      </c>
      <c r="E42" s="1" t="s">
        <v>9</v>
      </c>
      <c r="F42" s="5">
        <v>27949.5</v>
      </c>
      <c r="G42" s="5">
        <v>0</v>
      </c>
      <c r="H42" s="5">
        <v>27949.5</v>
      </c>
    </row>
    <row r="43" spans="1:8" x14ac:dyDescent="0.25">
      <c r="A43" s="1">
        <v>17100</v>
      </c>
      <c r="B43" s="1">
        <v>1</v>
      </c>
      <c r="C43" s="1" t="s">
        <v>33</v>
      </c>
      <c r="D43" s="1" t="s">
        <v>8</v>
      </c>
      <c r="E43" s="1" t="s">
        <v>9</v>
      </c>
      <c r="F43" s="5">
        <v>-751680.24</v>
      </c>
      <c r="G43" s="5">
        <v>-15675.72</v>
      </c>
      <c r="H43" s="5">
        <v>-767355.96</v>
      </c>
    </row>
    <row r="44" spans="1:8" x14ac:dyDescent="0.25">
      <c r="A44" s="1">
        <v>17100</v>
      </c>
      <c r="B44" s="1">
        <v>2</v>
      </c>
      <c r="C44" s="1" t="s">
        <v>33</v>
      </c>
      <c r="D44" s="1" t="s">
        <v>8</v>
      </c>
      <c r="E44" s="1" t="s">
        <v>9</v>
      </c>
      <c r="F44" s="5">
        <v>-111642.24000000001</v>
      </c>
      <c r="G44" s="5">
        <v>-1563.66</v>
      </c>
      <c r="H44" s="5">
        <v>-113205.9</v>
      </c>
    </row>
    <row r="45" spans="1:8" x14ac:dyDescent="0.25">
      <c r="A45" s="1">
        <v>17100</v>
      </c>
      <c r="B45" s="1">
        <v>50</v>
      </c>
      <c r="C45" s="1" t="s">
        <v>33</v>
      </c>
      <c r="D45" s="1" t="s">
        <v>8</v>
      </c>
      <c r="E45" s="1" t="s">
        <v>9</v>
      </c>
      <c r="F45" s="5">
        <v>-39765.33</v>
      </c>
      <c r="G45" s="5">
        <v>-4553.5200000000004</v>
      </c>
      <c r="H45" s="5">
        <v>-44318.85</v>
      </c>
    </row>
    <row r="46" spans="1:8" x14ac:dyDescent="0.25">
      <c r="A46" s="1">
        <v>17500</v>
      </c>
      <c r="B46" s="1">
        <v>1</v>
      </c>
      <c r="C46" s="1" t="s">
        <v>34</v>
      </c>
      <c r="D46" s="1" t="s">
        <v>8</v>
      </c>
      <c r="E46" s="1" t="s">
        <v>34</v>
      </c>
      <c r="F46" s="5">
        <v>10000</v>
      </c>
      <c r="G46" s="5">
        <v>0</v>
      </c>
      <c r="H46" s="5">
        <v>10000</v>
      </c>
    </row>
    <row r="47" spans="1:8" x14ac:dyDescent="0.25">
      <c r="A47" s="1">
        <v>18000</v>
      </c>
      <c r="B47" s="1">
        <v>1</v>
      </c>
      <c r="C47" s="1" t="s">
        <v>35</v>
      </c>
      <c r="D47" s="1" t="s">
        <v>8</v>
      </c>
      <c r="E47" s="1" t="s">
        <v>9</v>
      </c>
      <c r="F47" s="5">
        <v>180345.65</v>
      </c>
      <c r="G47" s="5">
        <v>0</v>
      </c>
      <c r="H47" s="5">
        <v>180345.65</v>
      </c>
    </row>
    <row r="48" spans="1:8" x14ac:dyDescent="0.25">
      <c r="A48" s="1">
        <v>18000</v>
      </c>
      <c r="B48" s="1">
        <v>2</v>
      </c>
      <c r="C48" s="1" t="s">
        <v>35</v>
      </c>
      <c r="D48" s="1" t="s">
        <v>8</v>
      </c>
      <c r="E48" s="1" t="s">
        <v>9</v>
      </c>
      <c r="F48" s="5">
        <v>8360.14</v>
      </c>
      <c r="G48" s="5">
        <v>0</v>
      </c>
      <c r="H48" s="5">
        <v>8360.14</v>
      </c>
    </row>
    <row r="49" spans="1:8" x14ac:dyDescent="0.25">
      <c r="A49" s="1">
        <v>18100</v>
      </c>
      <c r="B49" s="1">
        <v>1</v>
      </c>
      <c r="C49" s="1" t="s">
        <v>36</v>
      </c>
      <c r="D49" s="1" t="s">
        <v>8</v>
      </c>
      <c r="E49" s="1" t="s">
        <v>9</v>
      </c>
      <c r="F49" s="5">
        <v>-165011.04</v>
      </c>
      <c r="G49" s="5">
        <v>-2359.14</v>
      </c>
      <c r="H49" s="5">
        <v>-167370.18</v>
      </c>
    </row>
    <row r="50" spans="1:8" x14ac:dyDescent="0.25">
      <c r="A50" s="1">
        <v>18100</v>
      </c>
      <c r="B50" s="1">
        <v>2</v>
      </c>
      <c r="C50" s="1" t="s">
        <v>36</v>
      </c>
      <c r="D50" s="1" t="s">
        <v>8</v>
      </c>
      <c r="E50" s="1" t="s">
        <v>9</v>
      </c>
      <c r="F50" s="5">
        <v>-5573.42</v>
      </c>
      <c r="G50" s="5">
        <v>-1393.38</v>
      </c>
      <c r="H50" s="5">
        <v>-6966.8</v>
      </c>
    </row>
    <row r="51" spans="1:8" x14ac:dyDescent="0.25">
      <c r="A51" s="1">
        <v>19000</v>
      </c>
      <c r="B51" s="1">
        <v>1</v>
      </c>
      <c r="C51" s="1" t="s">
        <v>37</v>
      </c>
      <c r="D51" s="1" t="s">
        <v>8</v>
      </c>
      <c r="E51" s="1" t="s">
        <v>9</v>
      </c>
      <c r="F51" s="5">
        <v>600000</v>
      </c>
      <c r="G51" s="5">
        <v>0</v>
      </c>
      <c r="H51" s="5">
        <v>600000</v>
      </c>
    </row>
    <row r="52" spans="1:8" x14ac:dyDescent="0.25">
      <c r="A52" s="1">
        <v>19100</v>
      </c>
      <c r="B52" s="1">
        <v>1</v>
      </c>
      <c r="C52" s="1" t="s">
        <v>38</v>
      </c>
      <c r="D52" s="1" t="s">
        <v>8</v>
      </c>
      <c r="E52" s="1" t="s">
        <v>9</v>
      </c>
      <c r="F52" s="5">
        <v>-87500</v>
      </c>
      <c r="G52" s="5">
        <v>-6249.96</v>
      </c>
      <c r="H52" s="5">
        <v>-93749.96</v>
      </c>
    </row>
    <row r="53" spans="1:8" x14ac:dyDescent="0.25">
      <c r="A53" s="1">
        <v>20000</v>
      </c>
      <c r="B53" s="1">
        <v>1</v>
      </c>
      <c r="C53" s="1" t="s">
        <v>39</v>
      </c>
      <c r="D53" s="1" t="s">
        <v>8</v>
      </c>
      <c r="E53" s="1" t="s">
        <v>9</v>
      </c>
      <c r="F53" s="5">
        <v>-451707.84</v>
      </c>
      <c r="G53" s="5">
        <v>141621.69</v>
      </c>
      <c r="H53" s="5">
        <v>-310086.15000000002</v>
      </c>
    </row>
    <row r="54" spans="1:8" x14ac:dyDescent="0.25">
      <c r="A54" s="1">
        <v>21500</v>
      </c>
      <c r="B54" s="1">
        <v>1</v>
      </c>
      <c r="C54" s="1" t="s">
        <v>40</v>
      </c>
      <c r="D54" s="1" t="s">
        <v>8</v>
      </c>
      <c r="E54" s="1" t="s">
        <v>9</v>
      </c>
      <c r="F54" s="5">
        <v>0</v>
      </c>
      <c r="G54" s="5">
        <v>0</v>
      </c>
      <c r="H54" s="5">
        <v>0</v>
      </c>
    </row>
    <row r="55" spans="1:8" x14ac:dyDescent="0.25">
      <c r="A55" s="1">
        <v>21510</v>
      </c>
      <c r="B55" s="1">
        <v>1</v>
      </c>
      <c r="C55" s="1" t="s">
        <v>41</v>
      </c>
      <c r="D55" s="1" t="s">
        <v>8</v>
      </c>
      <c r="E55" s="1" t="s">
        <v>41</v>
      </c>
      <c r="F55" s="5">
        <v>-193786.3</v>
      </c>
      <c r="G55" s="5">
        <v>193786.3</v>
      </c>
      <c r="H55" s="5">
        <v>0</v>
      </c>
    </row>
    <row r="56" spans="1:8" x14ac:dyDescent="0.25">
      <c r="A56" s="1">
        <v>21860</v>
      </c>
      <c r="B56" s="1">
        <v>1</v>
      </c>
      <c r="C56" s="1" t="s">
        <v>42</v>
      </c>
      <c r="D56" s="1" t="s">
        <v>8</v>
      </c>
      <c r="E56" s="1" t="s">
        <v>42</v>
      </c>
      <c r="F56" s="5">
        <v>-19755.63</v>
      </c>
      <c r="G56" s="5">
        <v>0</v>
      </c>
      <c r="H56" s="5">
        <v>-19755.63</v>
      </c>
    </row>
    <row r="57" spans="1:8" x14ac:dyDescent="0.25">
      <c r="A57" s="1">
        <v>21870</v>
      </c>
      <c r="B57" s="1">
        <v>1</v>
      </c>
      <c r="C57" s="1" t="s">
        <v>43</v>
      </c>
      <c r="D57" s="1" t="s">
        <v>8</v>
      </c>
      <c r="E57" s="1" t="s">
        <v>43</v>
      </c>
      <c r="F57" s="5">
        <v>-307922.95</v>
      </c>
      <c r="G57" s="5">
        <v>66051.5</v>
      </c>
      <c r="H57" s="5">
        <v>-241871.45</v>
      </c>
    </row>
    <row r="58" spans="1:8" x14ac:dyDescent="0.25">
      <c r="A58" s="1">
        <v>23000</v>
      </c>
      <c r="B58" s="1">
        <v>1</v>
      </c>
      <c r="C58" s="1" t="s">
        <v>44</v>
      </c>
      <c r="D58" s="1" t="s">
        <v>8</v>
      </c>
      <c r="E58" s="1" t="s">
        <v>9</v>
      </c>
      <c r="F58" s="5">
        <v>-48475.74</v>
      </c>
      <c r="G58" s="5">
        <v>-249.1</v>
      </c>
      <c r="H58" s="5">
        <v>-48724.84</v>
      </c>
    </row>
    <row r="59" spans="1:8" x14ac:dyDescent="0.25">
      <c r="A59" s="1">
        <v>23700</v>
      </c>
      <c r="B59" s="1">
        <v>1</v>
      </c>
      <c r="C59" s="1" t="s">
        <v>45</v>
      </c>
      <c r="D59" s="1" t="s">
        <v>8</v>
      </c>
      <c r="E59" s="1" t="s">
        <v>9</v>
      </c>
      <c r="F59" s="5">
        <v>0</v>
      </c>
      <c r="G59" s="5">
        <v>0</v>
      </c>
      <c r="H59" s="5">
        <v>0</v>
      </c>
    </row>
    <row r="60" spans="1:8" x14ac:dyDescent="0.25">
      <c r="A60" s="1">
        <v>23900</v>
      </c>
      <c r="B60" s="1">
        <v>1</v>
      </c>
      <c r="C60" s="1" t="s">
        <v>46</v>
      </c>
      <c r="D60" s="1" t="s">
        <v>8</v>
      </c>
      <c r="E60" s="1" t="s">
        <v>9</v>
      </c>
      <c r="F60" s="5">
        <v>-9636.25</v>
      </c>
      <c r="G60" s="5">
        <v>-827.5</v>
      </c>
      <c r="H60" s="5">
        <v>-10463.75</v>
      </c>
    </row>
    <row r="61" spans="1:8" x14ac:dyDescent="0.25">
      <c r="A61" s="1">
        <v>23950</v>
      </c>
      <c r="B61" s="1">
        <v>1</v>
      </c>
      <c r="C61" s="1" t="s">
        <v>47</v>
      </c>
      <c r="D61" s="1" t="s">
        <v>8</v>
      </c>
      <c r="E61" s="1" t="s">
        <v>47</v>
      </c>
      <c r="F61" s="5">
        <v>-130845.01</v>
      </c>
      <c r="G61" s="5">
        <v>72441.83</v>
      </c>
      <c r="H61" s="5">
        <v>-58403.18</v>
      </c>
    </row>
    <row r="62" spans="1:8" x14ac:dyDescent="0.25">
      <c r="A62" s="1">
        <v>24000</v>
      </c>
      <c r="B62" s="1">
        <v>1</v>
      </c>
      <c r="C62" s="1" t="s">
        <v>48</v>
      </c>
      <c r="D62" s="1" t="s">
        <v>8</v>
      </c>
      <c r="E62" s="1" t="s">
        <v>9</v>
      </c>
      <c r="F62" s="5">
        <v>0</v>
      </c>
      <c r="G62" s="5">
        <v>15.08</v>
      </c>
      <c r="H62" s="5">
        <v>15.08</v>
      </c>
    </row>
    <row r="63" spans="1:8" x14ac:dyDescent="0.25">
      <c r="A63" s="1">
        <v>24100</v>
      </c>
      <c r="B63" s="1">
        <v>1</v>
      </c>
      <c r="C63" s="1" t="s">
        <v>49</v>
      </c>
      <c r="D63" s="1" t="s">
        <v>8</v>
      </c>
      <c r="E63" s="1" t="s">
        <v>9</v>
      </c>
      <c r="F63" s="5">
        <v>0</v>
      </c>
      <c r="G63" s="5">
        <v>0</v>
      </c>
      <c r="H63" s="5">
        <v>0</v>
      </c>
    </row>
    <row r="64" spans="1:8" x14ac:dyDescent="0.25">
      <c r="A64" s="1">
        <v>24300</v>
      </c>
      <c r="B64" s="1">
        <v>1</v>
      </c>
      <c r="C64" s="1" t="s">
        <v>50</v>
      </c>
      <c r="D64" s="1" t="s">
        <v>8</v>
      </c>
      <c r="E64" s="1" t="s">
        <v>9</v>
      </c>
      <c r="F64" s="5">
        <v>-51459.37</v>
      </c>
      <c r="G64" s="5">
        <v>-65004.959999999999</v>
      </c>
      <c r="H64" s="5">
        <v>-116464.33</v>
      </c>
    </row>
    <row r="65" spans="1:8" x14ac:dyDescent="0.25">
      <c r="A65" s="1">
        <v>30000</v>
      </c>
      <c r="B65" s="1">
        <v>1</v>
      </c>
      <c r="C65" s="1" t="s">
        <v>51</v>
      </c>
      <c r="D65" s="1" t="s">
        <v>8</v>
      </c>
      <c r="E65" s="1" t="s">
        <v>9</v>
      </c>
      <c r="F65" s="5">
        <v>-1000</v>
      </c>
      <c r="G65" s="5">
        <v>0</v>
      </c>
      <c r="H65" s="5">
        <v>-1000</v>
      </c>
    </row>
    <row r="66" spans="1:8" x14ac:dyDescent="0.25">
      <c r="A66" s="1">
        <v>31000</v>
      </c>
      <c r="B66" s="1">
        <v>1</v>
      </c>
      <c r="C66" s="1" t="s">
        <v>52</v>
      </c>
      <c r="D66" s="1" t="s">
        <v>8</v>
      </c>
      <c r="E66" s="1" t="s">
        <v>9</v>
      </c>
      <c r="F66" s="5">
        <v>-2581208.7200000002</v>
      </c>
      <c r="G66" s="5">
        <v>0</v>
      </c>
      <c r="H66" s="5">
        <v>-2581208.7200000002</v>
      </c>
    </row>
    <row r="67" spans="1:8" x14ac:dyDescent="0.25">
      <c r="A67" s="1">
        <v>31500</v>
      </c>
      <c r="B67" s="1">
        <v>99</v>
      </c>
      <c r="C67" s="1" t="s">
        <v>53</v>
      </c>
      <c r="D67" s="1" t="s">
        <v>8</v>
      </c>
      <c r="E67" s="1" t="s">
        <v>53</v>
      </c>
      <c r="F67" s="5">
        <v>-249000</v>
      </c>
      <c r="G67" s="5">
        <v>0</v>
      </c>
      <c r="H67" s="5">
        <v>-249000</v>
      </c>
    </row>
    <row r="68" spans="1:8" x14ac:dyDescent="0.25">
      <c r="A68" s="1">
        <v>32000</v>
      </c>
      <c r="B68" s="1">
        <v>99</v>
      </c>
      <c r="C68" s="1" t="s">
        <v>54</v>
      </c>
      <c r="D68" s="1" t="s">
        <v>8</v>
      </c>
      <c r="E68" s="1" t="s">
        <v>9</v>
      </c>
      <c r="F68" s="5">
        <v>0</v>
      </c>
      <c r="G68" s="5">
        <v>40000</v>
      </c>
      <c r="H68" s="5">
        <v>40000</v>
      </c>
    </row>
    <row r="69" spans="1:8" x14ac:dyDescent="0.25">
      <c r="A69" s="1">
        <v>40000</v>
      </c>
      <c r="B69" s="1">
        <v>1</v>
      </c>
      <c r="C69" s="1" t="s">
        <v>57</v>
      </c>
      <c r="D69" s="1" t="s">
        <v>56</v>
      </c>
      <c r="E69" s="1" t="s">
        <v>9</v>
      </c>
      <c r="F69" s="5">
        <v>0</v>
      </c>
      <c r="G69" s="5">
        <v>-2261060.6800000002</v>
      </c>
      <c r="H69" s="5">
        <v>-2261060.6800000002</v>
      </c>
    </row>
    <row r="70" spans="1:8" x14ac:dyDescent="0.25">
      <c r="A70" s="1">
        <v>40000</v>
      </c>
      <c r="B70" s="1">
        <v>2</v>
      </c>
      <c r="C70" s="1" t="s">
        <v>57</v>
      </c>
      <c r="D70" s="1" t="s">
        <v>56</v>
      </c>
      <c r="E70" s="1" t="s">
        <v>9</v>
      </c>
      <c r="F70" s="5">
        <v>0</v>
      </c>
      <c r="G70" s="5">
        <v>-1512908.48</v>
      </c>
      <c r="H70" s="5">
        <v>-1512908.48</v>
      </c>
    </row>
    <row r="71" spans="1:8" x14ac:dyDescent="0.25">
      <c r="A71" s="1">
        <v>40000</v>
      </c>
      <c r="B71" s="1">
        <v>50</v>
      </c>
      <c r="C71" s="1" t="s">
        <v>57</v>
      </c>
      <c r="D71" s="1" t="s">
        <v>56</v>
      </c>
      <c r="E71" s="1" t="s">
        <v>9</v>
      </c>
      <c r="F71" s="5">
        <v>0</v>
      </c>
      <c r="G71" s="5">
        <v>-962160.67</v>
      </c>
      <c r="H71" s="5">
        <v>-962160.67</v>
      </c>
    </row>
    <row r="72" spans="1:8" x14ac:dyDescent="0.25">
      <c r="A72" s="1">
        <v>40700</v>
      </c>
      <c r="B72" s="1">
        <v>1</v>
      </c>
      <c r="C72" s="1" t="s">
        <v>58</v>
      </c>
      <c r="D72" s="1" t="s">
        <v>56</v>
      </c>
      <c r="E72" s="1" t="s">
        <v>9</v>
      </c>
      <c r="F72" s="5">
        <v>0</v>
      </c>
      <c r="G72" s="5">
        <v>-3851.03</v>
      </c>
      <c r="H72" s="5">
        <v>-3851.03</v>
      </c>
    </row>
    <row r="73" spans="1:8" x14ac:dyDescent="0.25">
      <c r="A73" s="1">
        <v>40700</v>
      </c>
      <c r="B73" s="1">
        <v>2</v>
      </c>
      <c r="C73" s="1" t="s">
        <v>58</v>
      </c>
      <c r="D73" s="1" t="s">
        <v>56</v>
      </c>
      <c r="E73" s="1" t="s">
        <v>9</v>
      </c>
      <c r="F73" s="5">
        <v>0</v>
      </c>
      <c r="G73" s="5">
        <v>-8382.26</v>
      </c>
      <c r="H73" s="5">
        <v>-8382.26</v>
      </c>
    </row>
    <row r="74" spans="1:8" x14ac:dyDescent="0.25">
      <c r="A74" s="1">
        <v>40700</v>
      </c>
      <c r="B74" s="1">
        <v>50</v>
      </c>
      <c r="C74" s="1" t="s">
        <v>58</v>
      </c>
      <c r="D74" s="1" t="s">
        <v>56</v>
      </c>
      <c r="E74" s="1" t="s">
        <v>9</v>
      </c>
      <c r="F74" s="5">
        <v>0</v>
      </c>
      <c r="G74" s="5">
        <v>0</v>
      </c>
      <c r="H74" s="5">
        <v>0</v>
      </c>
    </row>
    <row r="75" spans="1:8" x14ac:dyDescent="0.25">
      <c r="A75" s="1">
        <v>41000</v>
      </c>
      <c r="B75" s="1">
        <v>1</v>
      </c>
      <c r="C75" s="1" t="s">
        <v>59</v>
      </c>
      <c r="D75" s="1" t="s">
        <v>56</v>
      </c>
      <c r="E75" s="1" t="s">
        <v>9</v>
      </c>
      <c r="F75" s="5">
        <v>0</v>
      </c>
      <c r="G75" s="5">
        <v>31735.48</v>
      </c>
      <c r="H75" s="5">
        <v>31735.48</v>
      </c>
    </row>
    <row r="76" spans="1:8" x14ac:dyDescent="0.25">
      <c r="A76" s="1">
        <v>41000</v>
      </c>
      <c r="B76" s="1">
        <v>2</v>
      </c>
      <c r="C76" s="1" t="s">
        <v>59</v>
      </c>
      <c r="D76" s="1" t="s">
        <v>56</v>
      </c>
      <c r="E76" s="1" t="s">
        <v>9</v>
      </c>
      <c r="F76" s="5">
        <v>0</v>
      </c>
      <c r="G76" s="5">
        <v>21096.81</v>
      </c>
      <c r="H76" s="5">
        <v>21096.81</v>
      </c>
    </row>
    <row r="77" spans="1:8" x14ac:dyDescent="0.25">
      <c r="A77" s="1">
        <v>41000</v>
      </c>
      <c r="B77" s="1">
        <v>99</v>
      </c>
      <c r="C77" s="1" t="s">
        <v>59</v>
      </c>
      <c r="D77" s="1" t="s">
        <v>56</v>
      </c>
      <c r="E77" s="1" t="s">
        <v>9</v>
      </c>
      <c r="F77" s="5">
        <v>0</v>
      </c>
      <c r="G77" s="5">
        <v>0</v>
      </c>
      <c r="H77" s="5">
        <v>0</v>
      </c>
    </row>
    <row r="78" spans="1:8" x14ac:dyDescent="0.25">
      <c r="A78" s="1">
        <v>41100</v>
      </c>
      <c r="B78" s="1">
        <v>1</v>
      </c>
      <c r="C78" s="1" t="s">
        <v>60</v>
      </c>
      <c r="D78" s="1" t="s">
        <v>56</v>
      </c>
      <c r="E78" s="1" t="s">
        <v>60</v>
      </c>
      <c r="F78" s="5">
        <v>0</v>
      </c>
      <c r="G78" s="5">
        <v>343.2</v>
      </c>
      <c r="H78" s="5">
        <v>343.2</v>
      </c>
    </row>
    <row r="79" spans="1:8" x14ac:dyDescent="0.25">
      <c r="A79" s="1">
        <v>42000</v>
      </c>
      <c r="B79" s="1">
        <v>2</v>
      </c>
      <c r="C79" s="1" t="s">
        <v>61</v>
      </c>
      <c r="D79" s="1" t="s">
        <v>56</v>
      </c>
      <c r="E79" s="1" t="s">
        <v>9</v>
      </c>
      <c r="F79" s="5">
        <v>0</v>
      </c>
      <c r="G79" s="5">
        <v>4629.16</v>
      </c>
      <c r="H79" s="5">
        <v>4629.16</v>
      </c>
    </row>
    <row r="80" spans="1:8" x14ac:dyDescent="0.25">
      <c r="A80" s="1">
        <v>42000</v>
      </c>
      <c r="B80" s="1">
        <v>99</v>
      </c>
      <c r="C80" s="1" t="s">
        <v>61</v>
      </c>
      <c r="D80" s="1" t="s">
        <v>56</v>
      </c>
      <c r="E80" s="1" t="s">
        <v>9</v>
      </c>
      <c r="F80" s="5">
        <v>0</v>
      </c>
      <c r="G80" s="5">
        <v>202.17</v>
      </c>
      <c r="H80" s="5">
        <v>202.17</v>
      </c>
    </row>
    <row r="81" spans="1:8" x14ac:dyDescent="0.25">
      <c r="A81" s="1">
        <v>51000</v>
      </c>
      <c r="B81" s="1">
        <v>1</v>
      </c>
      <c r="C81" s="1" t="s">
        <v>62</v>
      </c>
      <c r="D81" s="1" t="s">
        <v>56</v>
      </c>
      <c r="E81" s="1" t="s">
        <v>9</v>
      </c>
      <c r="F81" s="5">
        <v>0</v>
      </c>
      <c r="G81" s="5">
        <v>898525.97</v>
      </c>
      <c r="H81" s="5">
        <v>898525.97</v>
      </c>
    </row>
    <row r="82" spans="1:8" x14ac:dyDescent="0.25">
      <c r="A82" s="1">
        <v>51000</v>
      </c>
      <c r="B82" s="1">
        <v>2</v>
      </c>
      <c r="C82" s="1" t="s">
        <v>62</v>
      </c>
      <c r="D82" s="1" t="s">
        <v>56</v>
      </c>
      <c r="E82" s="1" t="s">
        <v>9</v>
      </c>
      <c r="F82" s="5">
        <v>0</v>
      </c>
      <c r="G82" s="5">
        <v>656720.71</v>
      </c>
      <c r="H82" s="5">
        <v>656720.71</v>
      </c>
    </row>
    <row r="83" spans="1:8" x14ac:dyDescent="0.25">
      <c r="A83" s="1">
        <v>52000</v>
      </c>
      <c r="B83" s="1">
        <v>1</v>
      </c>
      <c r="C83" s="1" t="s">
        <v>63</v>
      </c>
      <c r="D83" s="1" t="s">
        <v>56</v>
      </c>
      <c r="E83" s="1" t="s">
        <v>9</v>
      </c>
      <c r="F83" s="5">
        <v>0</v>
      </c>
      <c r="G83" s="5">
        <v>1184.6099999999999</v>
      </c>
      <c r="H83" s="5">
        <v>1184.6099999999999</v>
      </c>
    </row>
    <row r="84" spans="1:8" x14ac:dyDescent="0.25">
      <c r="A84" s="1">
        <v>53000</v>
      </c>
      <c r="B84" s="1">
        <v>1</v>
      </c>
      <c r="C84" s="1" t="s">
        <v>64</v>
      </c>
      <c r="D84" s="1" t="s">
        <v>56</v>
      </c>
      <c r="E84" s="1" t="s">
        <v>9</v>
      </c>
      <c r="F84" s="5">
        <v>0</v>
      </c>
      <c r="G84" s="5">
        <v>41215.53</v>
      </c>
      <c r="H84" s="5">
        <v>41215.53</v>
      </c>
    </row>
    <row r="85" spans="1:8" x14ac:dyDescent="0.25">
      <c r="A85" s="1">
        <v>53000</v>
      </c>
      <c r="B85" s="1">
        <v>2</v>
      </c>
      <c r="C85" s="1" t="s">
        <v>64</v>
      </c>
      <c r="D85" s="1" t="s">
        <v>56</v>
      </c>
      <c r="E85" s="1" t="s">
        <v>9</v>
      </c>
      <c r="F85" s="5">
        <v>0</v>
      </c>
      <c r="G85" s="5">
        <v>35491.57</v>
      </c>
      <c r="H85" s="5">
        <v>35491.57</v>
      </c>
    </row>
    <row r="86" spans="1:8" x14ac:dyDescent="0.25">
      <c r="A86" s="1">
        <v>54000</v>
      </c>
      <c r="B86" s="1">
        <v>1</v>
      </c>
      <c r="C86" s="1" t="s">
        <v>65</v>
      </c>
      <c r="D86" s="1" t="s">
        <v>56</v>
      </c>
      <c r="E86" s="1" t="s">
        <v>9</v>
      </c>
      <c r="F86" s="5">
        <v>0</v>
      </c>
      <c r="G86" s="5">
        <v>30890.26</v>
      </c>
      <c r="H86" s="5">
        <v>30890.26</v>
      </c>
    </row>
    <row r="87" spans="1:8" x14ac:dyDescent="0.25">
      <c r="A87" s="1">
        <v>54000</v>
      </c>
      <c r="B87" s="1">
        <v>2</v>
      </c>
      <c r="C87" s="1" t="s">
        <v>65</v>
      </c>
      <c r="D87" s="1" t="s">
        <v>56</v>
      </c>
      <c r="E87" s="1" t="s">
        <v>9</v>
      </c>
      <c r="F87" s="5">
        <v>0</v>
      </c>
      <c r="G87" s="5">
        <v>8441.74</v>
      </c>
      <c r="H87" s="5">
        <v>8441.74</v>
      </c>
    </row>
    <row r="88" spans="1:8" x14ac:dyDescent="0.25">
      <c r="A88" s="1">
        <v>55000</v>
      </c>
      <c r="B88" s="1">
        <v>1</v>
      </c>
      <c r="C88" s="1" t="s">
        <v>66</v>
      </c>
      <c r="D88" s="1" t="s">
        <v>56</v>
      </c>
      <c r="E88" s="1" t="s">
        <v>9</v>
      </c>
      <c r="F88" s="5">
        <v>0</v>
      </c>
      <c r="G88" s="5">
        <v>49422.12</v>
      </c>
      <c r="H88" s="5">
        <v>49422.12</v>
      </c>
    </row>
    <row r="89" spans="1:8" x14ac:dyDescent="0.25">
      <c r="A89" s="1">
        <v>55000</v>
      </c>
      <c r="B89" s="1">
        <v>2</v>
      </c>
      <c r="C89" s="1" t="s">
        <v>66</v>
      </c>
      <c r="D89" s="1" t="s">
        <v>56</v>
      </c>
      <c r="E89" s="1" t="s">
        <v>9</v>
      </c>
      <c r="F89" s="5">
        <v>0</v>
      </c>
      <c r="G89" s="5">
        <v>15851.79</v>
      </c>
      <c r="H89" s="5">
        <v>15851.79</v>
      </c>
    </row>
    <row r="90" spans="1:8" x14ac:dyDescent="0.25">
      <c r="A90" s="1">
        <v>56000</v>
      </c>
      <c r="B90" s="1">
        <v>1</v>
      </c>
      <c r="C90" s="1" t="s">
        <v>67</v>
      </c>
      <c r="D90" s="1" t="s">
        <v>56</v>
      </c>
      <c r="E90" s="1" t="s">
        <v>9</v>
      </c>
      <c r="F90" s="5">
        <v>0</v>
      </c>
      <c r="G90" s="5">
        <v>56554.28</v>
      </c>
      <c r="H90" s="5">
        <v>56554.28</v>
      </c>
    </row>
    <row r="91" spans="1:8" x14ac:dyDescent="0.25">
      <c r="A91" s="1">
        <v>56000</v>
      </c>
      <c r="B91" s="1">
        <v>2</v>
      </c>
      <c r="C91" s="1" t="s">
        <v>67</v>
      </c>
      <c r="D91" s="1" t="s">
        <v>56</v>
      </c>
      <c r="E91" s="1" t="s">
        <v>9</v>
      </c>
      <c r="F91" s="5">
        <v>0</v>
      </c>
      <c r="G91" s="5">
        <v>22188.07</v>
      </c>
      <c r="H91" s="5">
        <v>22188.07</v>
      </c>
    </row>
    <row r="92" spans="1:8" x14ac:dyDescent="0.25">
      <c r="A92" s="1">
        <v>56000</v>
      </c>
      <c r="B92" s="1">
        <v>50</v>
      </c>
      <c r="C92" s="1" t="s">
        <v>67</v>
      </c>
      <c r="D92" s="1" t="s">
        <v>56</v>
      </c>
      <c r="E92" s="1" t="s">
        <v>9</v>
      </c>
      <c r="F92" s="5">
        <v>0</v>
      </c>
      <c r="G92" s="5">
        <v>21662.42</v>
      </c>
      <c r="H92" s="5">
        <v>21662.42</v>
      </c>
    </row>
    <row r="93" spans="1:8" x14ac:dyDescent="0.25">
      <c r="A93" s="1">
        <v>56200</v>
      </c>
      <c r="B93" s="1">
        <v>2</v>
      </c>
      <c r="C93" s="1" t="s">
        <v>68</v>
      </c>
      <c r="D93" s="1" t="s">
        <v>56</v>
      </c>
      <c r="E93" s="1" t="s">
        <v>67</v>
      </c>
      <c r="F93" s="5">
        <v>0</v>
      </c>
      <c r="G93" s="5">
        <v>66787.509999999995</v>
      </c>
      <c r="H93" s="5">
        <v>66787.509999999995</v>
      </c>
    </row>
    <row r="94" spans="1:8" x14ac:dyDescent="0.25">
      <c r="A94" s="1">
        <v>56500</v>
      </c>
      <c r="B94" s="1">
        <v>1</v>
      </c>
      <c r="C94" s="1" t="s">
        <v>69</v>
      </c>
      <c r="D94" s="1" t="s">
        <v>56</v>
      </c>
      <c r="E94" s="1" t="s">
        <v>70</v>
      </c>
      <c r="F94" s="5">
        <v>0</v>
      </c>
      <c r="G94" s="5">
        <v>37171.24</v>
      </c>
      <c r="H94" s="5">
        <v>37171.24</v>
      </c>
    </row>
    <row r="95" spans="1:8" x14ac:dyDescent="0.25">
      <c r="A95" s="1">
        <v>59500</v>
      </c>
      <c r="B95" s="1">
        <v>1</v>
      </c>
      <c r="C95" s="1" t="s">
        <v>71</v>
      </c>
      <c r="D95" s="1" t="s">
        <v>56</v>
      </c>
      <c r="E95" s="1" t="s">
        <v>9</v>
      </c>
      <c r="F95" s="5">
        <v>0</v>
      </c>
      <c r="G95" s="5">
        <v>9098.17</v>
      </c>
      <c r="H95" s="5">
        <v>9098.17</v>
      </c>
    </row>
    <row r="96" spans="1:8" x14ac:dyDescent="0.25">
      <c r="A96" s="1">
        <v>59550</v>
      </c>
      <c r="B96" s="1">
        <v>1</v>
      </c>
      <c r="C96" s="1" t="s">
        <v>72</v>
      </c>
      <c r="D96" s="1" t="s">
        <v>56</v>
      </c>
      <c r="E96" s="1" t="s">
        <v>9</v>
      </c>
      <c r="F96" s="5">
        <v>0</v>
      </c>
      <c r="G96" s="5">
        <v>2610</v>
      </c>
      <c r="H96" s="5">
        <v>2610</v>
      </c>
    </row>
    <row r="97" spans="1:8" x14ac:dyDescent="0.25">
      <c r="A97" s="1">
        <v>60100</v>
      </c>
      <c r="B97" s="1">
        <v>1</v>
      </c>
      <c r="C97" s="1" t="s">
        <v>73</v>
      </c>
      <c r="D97" s="1" t="s">
        <v>56</v>
      </c>
      <c r="E97" s="1" t="s">
        <v>9</v>
      </c>
      <c r="F97" s="5">
        <v>0</v>
      </c>
      <c r="G97" s="5">
        <v>26538.77</v>
      </c>
      <c r="H97" s="5">
        <v>26538.77</v>
      </c>
    </row>
    <row r="98" spans="1:8" x14ac:dyDescent="0.25">
      <c r="A98" s="1">
        <v>60100</v>
      </c>
      <c r="B98" s="1">
        <v>99</v>
      </c>
      <c r="C98" s="1" t="s">
        <v>73</v>
      </c>
      <c r="D98" s="1" t="s">
        <v>56</v>
      </c>
      <c r="E98" s="1" t="s">
        <v>9</v>
      </c>
      <c r="F98" s="5">
        <v>0</v>
      </c>
      <c r="G98" s="5">
        <v>35341.54</v>
      </c>
      <c r="H98" s="5">
        <v>35341.54</v>
      </c>
    </row>
    <row r="99" spans="1:8" x14ac:dyDescent="0.25">
      <c r="A99" s="1">
        <v>60400</v>
      </c>
      <c r="B99" s="1">
        <v>1</v>
      </c>
      <c r="C99" s="1" t="s">
        <v>74</v>
      </c>
      <c r="D99" s="1" t="s">
        <v>56</v>
      </c>
      <c r="E99" s="1" t="s">
        <v>74</v>
      </c>
      <c r="F99" s="5">
        <v>0</v>
      </c>
      <c r="G99" s="5">
        <v>3063.96</v>
      </c>
      <c r="H99" s="5">
        <v>3063.96</v>
      </c>
    </row>
    <row r="100" spans="1:8" x14ac:dyDescent="0.25">
      <c r="A100" s="1">
        <v>60400</v>
      </c>
      <c r="B100" s="1">
        <v>2</v>
      </c>
      <c r="C100" s="1" t="s">
        <v>74</v>
      </c>
      <c r="D100" s="1" t="s">
        <v>56</v>
      </c>
      <c r="E100" s="1" t="s">
        <v>74</v>
      </c>
      <c r="F100" s="5">
        <v>0</v>
      </c>
      <c r="G100" s="5">
        <v>4113.3100000000004</v>
      </c>
      <c r="H100" s="5">
        <v>4113.3100000000004</v>
      </c>
    </row>
    <row r="101" spans="1:8" x14ac:dyDescent="0.25">
      <c r="A101" s="1">
        <v>60400</v>
      </c>
      <c r="B101" s="1">
        <v>50</v>
      </c>
      <c r="C101" s="1" t="s">
        <v>74</v>
      </c>
      <c r="D101" s="1" t="s">
        <v>56</v>
      </c>
      <c r="E101" s="1" t="s">
        <v>74</v>
      </c>
      <c r="F101" s="5">
        <v>0</v>
      </c>
      <c r="G101" s="5">
        <v>1569.48</v>
      </c>
      <c r="H101" s="5">
        <v>1569.48</v>
      </c>
    </row>
    <row r="102" spans="1:8" x14ac:dyDescent="0.25">
      <c r="A102" s="1">
        <v>60500</v>
      </c>
      <c r="B102" s="1">
        <v>2</v>
      </c>
      <c r="C102" s="1" t="s">
        <v>75</v>
      </c>
      <c r="D102" s="1" t="s">
        <v>56</v>
      </c>
      <c r="E102" s="1" t="s">
        <v>9</v>
      </c>
      <c r="F102" s="5">
        <v>0</v>
      </c>
      <c r="G102" s="5">
        <v>48000</v>
      </c>
      <c r="H102" s="5">
        <v>48000</v>
      </c>
    </row>
    <row r="103" spans="1:8" x14ac:dyDescent="0.25">
      <c r="A103" s="1">
        <v>60500</v>
      </c>
      <c r="B103" s="1">
        <v>50</v>
      </c>
      <c r="C103" s="1" t="s">
        <v>75</v>
      </c>
      <c r="D103" s="1" t="s">
        <v>56</v>
      </c>
      <c r="E103" s="1" t="s">
        <v>9</v>
      </c>
      <c r="F103" s="5">
        <v>0</v>
      </c>
      <c r="G103" s="5">
        <v>15000</v>
      </c>
      <c r="H103" s="5">
        <v>15000</v>
      </c>
    </row>
    <row r="104" spans="1:8" x14ac:dyDescent="0.25">
      <c r="A104" s="1">
        <v>60600</v>
      </c>
      <c r="B104" s="1">
        <v>1</v>
      </c>
      <c r="C104" s="1" t="s">
        <v>76</v>
      </c>
      <c r="D104" s="1" t="s">
        <v>56</v>
      </c>
      <c r="E104" s="1" t="s">
        <v>9</v>
      </c>
      <c r="F104" s="5">
        <v>0</v>
      </c>
      <c r="G104" s="5">
        <v>48867.5</v>
      </c>
      <c r="H104" s="5">
        <v>48867.5</v>
      </c>
    </row>
    <row r="105" spans="1:8" x14ac:dyDescent="0.25">
      <c r="A105" s="1">
        <v>60600</v>
      </c>
      <c r="B105" s="1">
        <v>2</v>
      </c>
      <c r="C105" s="1" t="s">
        <v>76</v>
      </c>
      <c r="D105" s="1" t="s">
        <v>56</v>
      </c>
      <c r="E105" s="1" t="s">
        <v>9</v>
      </c>
      <c r="F105" s="5">
        <v>0</v>
      </c>
      <c r="G105" s="5">
        <v>17564.43</v>
      </c>
      <c r="H105" s="5">
        <v>17564.43</v>
      </c>
    </row>
    <row r="106" spans="1:8" x14ac:dyDescent="0.25">
      <c r="A106" s="1">
        <v>60600</v>
      </c>
      <c r="B106" s="1">
        <v>50</v>
      </c>
      <c r="C106" s="1" t="s">
        <v>76</v>
      </c>
      <c r="D106" s="1" t="s">
        <v>56</v>
      </c>
      <c r="E106" s="1" t="s">
        <v>9</v>
      </c>
      <c r="F106" s="5">
        <v>0</v>
      </c>
      <c r="G106" s="5">
        <v>35479.599999999999</v>
      </c>
      <c r="H106" s="5">
        <v>35479.599999999999</v>
      </c>
    </row>
    <row r="107" spans="1:8" x14ac:dyDescent="0.25">
      <c r="A107" s="1">
        <v>60600</v>
      </c>
      <c r="B107" s="1">
        <v>99</v>
      </c>
      <c r="C107" s="1" t="s">
        <v>76</v>
      </c>
      <c r="D107" s="1" t="s">
        <v>56</v>
      </c>
      <c r="E107" s="1" t="s">
        <v>9</v>
      </c>
      <c r="F107" s="5">
        <v>0</v>
      </c>
      <c r="G107" s="5">
        <v>6711.18</v>
      </c>
      <c r="H107" s="5">
        <v>6711.18</v>
      </c>
    </row>
    <row r="108" spans="1:8" x14ac:dyDescent="0.25">
      <c r="A108" s="1">
        <v>60700</v>
      </c>
      <c r="B108" s="1">
        <v>1</v>
      </c>
      <c r="C108" s="1" t="s">
        <v>77</v>
      </c>
      <c r="D108" s="1" t="s">
        <v>56</v>
      </c>
      <c r="E108" s="1" t="s">
        <v>9</v>
      </c>
      <c r="F108" s="5">
        <v>0</v>
      </c>
      <c r="G108" s="5">
        <v>195400.87</v>
      </c>
      <c r="H108" s="5">
        <v>195400.87</v>
      </c>
    </row>
    <row r="109" spans="1:8" x14ac:dyDescent="0.25">
      <c r="A109" s="1">
        <v>60700</v>
      </c>
      <c r="B109" s="1">
        <v>2</v>
      </c>
      <c r="C109" s="1" t="s">
        <v>77</v>
      </c>
      <c r="D109" s="1" t="s">
        <v>56</v>
      </c>
      <c r="E109" s="1" t="s">
        <v>9</v>
      </c>
      <c r="F109" s="5">
        <v>0</v>
      </c>
      <c r="G109" s="5">
        <v>132082.51999999999</v>
      </c>
      <c r="H109" s="5">
        <v>132082.51999999999</v>
      </c>
    </row>
    <row r="110" spans="1:8" x14ac:dyDescent="0.25">
      <c r="A110" s="1">
        <v>60700</v>
      </c>
      <c r="B110" s="1">
        <v>50</v>
      </c>
      <c r="C110" s="1" t="s">
        <v>77</v>
      </c>
      <c r="D110" s="1" t="s">
        <v>56</v>
      </c>
      <c r="E110" s="1" t="s">
        <v>9</v>
      </c>
      <c r="F110" s="5">
        <v>0</v>
      </c>
      <c r="G110" s="5">
        <v>192924.91</v>
      </c>
      <c r="H110" s="5">
        <v>192924.91</v>
      </c>
    </row>
    <row r="111" spans="1:8" x14ac:dyDescent="0.25">
      <c r="A111" s="1">
        <v>60710</v>
      </c>
      <c r="B111" s="1">
        <v>1</v>
      </c>
      <c r="C111" s="1" t="s">
        <v>78</v>
      </c>
      <c r="D111" s="1" t="s">
        <v>56</v>
      </c>
      <c r="E111" s="1" t="s">
        <v>9</v>
      </c>
      <c r="F111" s="5">
        <v>0</v>
      </c>
      <c r="G111" s="5">
        <v>11856.83</v>
      </c>
      <c r="H111" s="5">
        <v>11856.83</v>
      </c>
    </row>
    <row r="112" spans="1:8" x14ac:dyDescent="0.25">
      <c r="A112" s="1">
        <v>60710</v>
      </c>
      <c r="B112" s="1">
        <v>2</v>
      </c>
      <c r="C112" s="1" t="s">
        <v>78</v>
      </c>
      <c r="D112" s="1" t="s">
        <v>56</v>
      </c>
      <c r="E112" s="1" t="s">
        <v>9</v>
      </c>
      <c r="F112" s="5">
        <v>0</v>
      </c>
      <c r="G112" s="5">
        <v>1885.59</v>
      </c>
      <c r="H112" s="5">
        <v>1885.59</v>
      </c>
    </row>
    <row r="113" spans="1:8" x14ac:dyDescent="0.25">
      <c r="A113" s="1">
        <v>60710</v>
      </c>
      <c r="B113" s="1">
        <v>50</v>
      </c>
      <c r="C113" s="1" t="s">
        <v>78</v>
      </c>
      <c r="D113" s="1" t="s">
        <v>56</v>
      </c>
      <c r="E113" s="1" t="s">
        <v>9</v>
      </c>
      <c r="F113" s="5">
        <v>0</v>
      </c>
      <c r="G113" s="5">
        <v>16086.61</v>
      </c>
      <c r="H113" s="5">
        <v>16086.61</v>
      </c>
    </row>
    <row r="114" spans="1:8" x14ac:dyDescent="0.25">
      <c r="A114" s="1">
        <v>60720</v>
      </c>
      <c r="B114" s="1">
        <v>1</v>
      </c>
      <c r="C114" s="1" t="s">
        <v>79</v>
      </c>
      <c r="D114" s="1" t="s">
        <v>56</v>
      </c>
      <c r="E114" s="1" t="s">
        <v>9</v>
      </c>
      <c r="F114" s="5">
        <v>0</v>
      </c>
      <c r="G114" s="5">
        <v>13301.93</v>
      </c>
      <c r="H114" s="5">
        <v>13301.93</v>
      </c>
    </row>
    <row r="115" spans="1:8" x14ac:dyDescent="0.25">
      <c r="A115" s="1">
        <v>60720</v>
      </c>
      <c r="B115" s="1">
        <v>2</v>
      </c>
      <c r="C115" s="1" t="s">
        <v>79</v>
      </c>
      <c r="D115" s="1" t="s">
        <v>56</v>
      </c>
      <c r="E115" s="1" t="s">
        <v>9</v>
      </c>
      <c r="F115" s="5">
        <v>0</v>
      </c>
      <c r="G115" s="5">
        <v>9474.5</v>
      </c>
      <c r="H115" s="5">
        <v>9474.5</v>
      </c>
    </row>
    <row r="116" spans="1:8" x14ac:dyDescent="0.25">
      <c r="A116" s="1">
        <v>60720</v>
      </c>
      <c r="B116" s="1">
        <v>50</v>
      </c>
      <c r="C116" s="1" t="s">
        <v>79</v>
      </c>
      <c r="D116" s="1" t="s">
        <v>56</v>
      </c>
      <c r="E116" s="1" t="s">
        <v>9</v>
      </c>
      <c r="F116" s="5">
        <v>0</v>
      </c>
      <c r="G116" s="5">
        <v>3777.6</v>
      </c>
      <c r="H116" s="5">
        <v>3777.6</v>
      </c>
    </row>
    <row r="117" spans="1:8" x14ac:dyDescent="0.25">
      <c r="A117" s="1">
        <v>60730</v>
      </c>
      <c r="B117" s="1">
        <v>1</v>
      </c>
      <c r="C117" s="1" t="s">
        <v>80</v>
      </c>
      <c r="D117" s="1" t="s">
        <v>56</v>
      </c>
      <c r="E117" s="1" t="s">
        <v>9</v>
      </c>
      <c r="F117" s="5">
        <v>0</v>
      </c>
      <c r="G117" s="5">
        <v>4738.3999999999996</v>
      </c>
      <c r="H117" s="5">
        <v>4738.3999999999996</v>
      </c>
    </row>
    <row r="118" spans="1:8" x14ac:dyDescent="0.25">
      <c r="A118" s="1">
        <v>60730</v>
      </c>
      <c r="B118" s="1">
        <v>2</v>
      </c>
      <c r="C118" s="1" t="s">
        <v>80</v>
      </c>
      <c r="D118" s="1" t="s">
        <v>56</v>
      </c>
      <c r="E118" s="1" t="s">
        <v>9</v>
      </c>
      <c r="F118" s="5">
        <v>0</v>
      </c>
      <c r="G118" s="5">
        <v>3327.68</v>
      </c>
      <c r="H118" s="5">
        <v>3327.68</v>
      </c>
    </row>
    <row r="119" spans="1:8" x14ac:dyDescent="0.25">
      <c r="A119" s="1">
        <v>60730</v>
      </c>
      <c r="B119" s="1">
        <v>50</v>
      </c>
      <c r="C119" s="1" t="s">
        <v>80</v>
      </c>
      <c r="D119" s="1" t="s">
        <v>56</v>
      </c>
      <c r="E119" s="1" t="s">
        <v>9</v>
      </c>
      <c r="F119" s="5">
        <v>0</v>
      </c>
      <c r="G119" s="5">
        <v>3916.4</v>
      </c>
      <c r="H119" s="5">
        <v>3916.4</v>
      </c>
    </row>
    <row r="120" spans="1:8" x14ac:dyDescent="0.25">
      <c r="A120" s="1">
        <v>60750</v>
      </c>
      <c r="B120" s="1">
        <v>1</v>
      </c>
      <c r="C120" s="1" t="s">
        <v>81</v>
      </c>
      <c r="D120" s="1" t="s">
        <v>56</v>
      </c>
      <c r="E120" s="1" t="s">
        <v>9</v>
      </c>
      <c r="F120" s="5">
        <v>0</v>
      </c>
      <c r="G120" s="5">
        <v>18093.38</v>
      </c>
      <c r="H120" s="5">
        <v>18093.38</v>
      </c>
    </row>
    <row r="121" spans="1:8" x14ac:dyDescent="0.25">
      <c r="A121" s="1">
        <v>60750</v>
      </c>
      <c r="B121" s="1">
        <v>2</v>
      </c>
      <c r="C121" s="1" t="s">
        <v>81</v>
      </c>
      <c r="D121" s="1" t="s">
        <v>56</v>
      </c>
      <c r="E121" s="1" t="s">
        <v>9</v>
      </c>
      <c r="F121" s="5">
        <v>0</v>
      </c>
      <c r="G121" s="5">
        <v>26890.05</v>
      </c>
      <c r="H121" s="5">
        <v>26890.05</v>
      </c>
    </row>
    <row r="122" spans="1:8" x14ac:dyDescent="0.25">
      <c r="A122" s="1">
        <v>60750</v>
      </c>
      <c r="B122" s="1">
        <v>50</v>
      </c>
      <c r="C122" s="1" t="s">
        <v>81</v>
      </c>
      <c r="D122" s="1" t="s">
        <v>56</v>
      </c>
      <c r="E122" s="1" t="s">
        <v>9</v>
      </c>
      <c r="F122" s="5">
        <v>0</v>
      </c>
      <c r="G122" s="5">
        <v>-8500.32</v>
      </c>
      <c r="H122" s="5">
        <v>-8500.32</v>
      </c>
    </row>
    <row r="123" spans="1:8" x14ac:dyDescent="0.25">
      <c r="A123" s="1">
        <v>60751</v>
      </c>
      <c r="B123" s="1">
        <v>1</v>
      </c>
      <c r="C123" s="1" t="s">
        <v>82</v>
      </c>
      <c r="D123" s="1" t="s">
        <v>56</v>
      </c>
      <c r="E123" s="1" t="s">
        <v>9</v>
      </c>
      <c r="F123" s="5">
        <v>0</v>
      </c>
      <c r="G123" s="5">
        <v>1118.25</v>
      </c>
      <c r="H123" s="5">
        <v>1118.25</v>
      </c>
    </row>
    <row r="124" spans="1:8" x14ac:dyDescent="0.25">
      <c r="A124" s="1">
        <v>60751</v>
      </c>
      <c r="B124" s="1">
        <v>2</v>
      </c>
      <c r="C124" s="1" t="s">
        <v>82</v>
      </c>
      <c r="D124" s="1" t="s">
        <v>56</v>
      </c>
      <c r="E124" s="1" t="s">
        <v>9</v>
      </c>
      <c r="F124" s="5">
        <v>0</v>
      </c>
      <c r="G124" s="5">
        <v>210.75</v>
      </c>
      <c r="H124" s="5">
        <v>210.75</v>
      </c>
    </row>
    <row r="125" spans="1:8" x14ac:dyDescent="0.25">
      <c r="A125" s="1">
        <v>60751</v>
      </c>
      <c r="B125" s="1">
        <v>50</v>
      </c>
      <c r="C125" s="1" t="s">
        <v>82</v>
      </c>
      <c r="D125" s="1" t="s">
        <v>56</v>
      </c>
      <c r="E125" s="1" t="s">
        <v>9</v>
      </c>
      <c r="F125" s="5">
        <v>0</v>
      </c>
      <c r="G125" s="5">
        <v>30</v>
      </c>
      <c r="H125" s="5">
        <v>30</v>
      </c>
    </row>
    <row r="126" spans="1:8" x14ac:dyDescent="0.25">
      <c r="A126" s="1">
        <v>60752</v>
      </c>
      <c r="B126" s="1">
        <v>1</v>
      </c>
      <c r="C126" s="1" t="s">
        <v>83</v>
      </c>
      <c r="D126" s="1" t="s">
        <v>56</v>
      </c>
      <c r="E126" s="1" t="s">
        <v>9</v>
      </c>
      <c r="F126" s="5">
        <v>0</v>
      </c>
      <c r="G126" s="5">
        <v>1260</v>
      </c>
      <c r="H126" s="5">
        <v>1260</v>
      </c>
    </row>
    <row r="127" spans="1:8" x14ac:dyDescent="0.25">
      <c r="A127" s="1">
        <v>60752</v>
      </c>
      <c r="B127" s="1">
        <v>2</v>
      </c>
      <c r="C127" s="1" t="s">
        <v>83</v>
      </c>
      <c r="D127" s="1" t="s">
        <v>56</v>
      </c>
      <c r="E127" s="1" t="s">
        <v>9</v>
      </c>
      <c r="F127" s="5">
        <v>0</v>
      </c>
      <c r="G127" s="5">
        <v>448</v>
      </c>
      <c r="H127" s="5">
        <v>448</v>
      </c>
    </row>
    <row r="128" spans="1:8" x14ac:dyDescent="0.25">
      <c r="A128" s="1">
        <v>60752</v>
      </c>
      <c r="B128" s="1">
        <v>50</v>
      </c>
      <c r="C128" s="1" t="s">
        <v>83</v>
      </c>
      <c r="D128" s="1" t="s">
        <v>56</v>
      </c>
      <c r="E128" s="1" t="s">
        <v>9</v>
      </c>
      <c r="F128" s="5">
        <v>0</v>
      </c>
      <c r="G128" s="5">
        <v>800</v>
      </c>
      <c r="H128" s="5">
        <v>800</v>
      </c>
    </row>
    <row r="129" spans="1:8" x14ac:dyDescent="0.25">
      <c r="A129" s="1">
        <v>60753</v>
      </c>
      <c r="B129" s="1">
        <v>1</v>
      </c>
      <c r="C129" s="1" t="s">
        <v>84</v>
      </c>
      <c r="D129" s="1" t="s">
        <v>56</v>
      </c>
      <c r="E129" s="1" t="s">
        <v>9</v>
      </c>
      <c r="F129" s="5">
        <v>0</v>
      </c>
      <c r="G129" s="5">
        <v>480</v>
      </c>
      <c r="H129" s="5">
        <v>480</v>
      </c>
    </row>
    <row r="130" spans="1:8" x14ac:dyDescent="0.25">
      <c r="A130" s="1">
        <v>60753</v>
      </c>
      <c r="B130" s="1">
        <v>2</v>
      </c>
      <c r="C130" s="1" t="s">
        <v>84</v>
      </c>
      <c r="D130" s="1" t="s">
        <v>56</v>
      </c>
      <c r="E130" s="1" t="s">
        <v>9</v>
      </c>
      <c r="F130" s="5">
        <v>0</v>
      </c>
      <c r="G130" s="5">
        <v>672</v>
      </c>
      <c r="H130" s="5">
        <v>672</v>
      </c>
    </row>
    <row r="131" spans="1:8" x14ac:dyDescent="0.25">
      <c r="A131" s="1">
        <v>60753</v>
      </c>
      <c r="B131" s="1">
        <v>50</v>
      </c>
      <c r="C131" s="1" t="s">
        <v>84</v>
      </c>
      <c r="D131" s="1" t="s">
        <v>56</v>
      </c>
      <c r="E131" s="1" t="s">
        <v>9</v>
      </c>
      <c r="F131" s="5">
        <v>0</v>
      </c>
      <c r="G131" s="5">
        <v>480</v>
      </c>
      <c r="H131" s="5">
        <v>480</v>
      </c>
    </row>
    <row r="132" spans="1:8" x14ac:dyDescent="0.25">
      <c r="A132" s="1">
        <v>60760</v>
      </c>
      <c r="B132" s="1">
        <v>2</v>
      </c>
      <c r="C132" s="1" t="s">
        <v>85</v>
      </c>
      <c r="D132" s="1" t="s">
        <v>56</v>
      </c>
      <c r="E132" s="1" t="s">
        <v>9</v>
      </c>
      <c r="F132" s="5">
        <v>0</v>
      </c>
      <c r="G132" s="5">
        <v>35623.519999999997</v>
      </c>
      <c r="H132" s="5">
        <v>35623.519999999997</v>
      </c>
    </row>
    <row r="133" spans="1:8" x14ac:dyDescent="0.25">
      <c r="A133" s="1">
        <v>60761</v>
      </c>
      <c r="B133" s="1">
        <v>2</v>
      </c>
      <c r="C133" s="1" t="s">
        <v>86</v>
      </c>
      <c r="D133" s="1" t="s">
        <v>56</v>
      </c>
      <c r="E133" s="1" t="s">
        <v>9</v>
      </c>
      <c r="F133" s="5">
        <v>0</v>
      </c>
      <c r="G133" s="5">
        <v>54.76</v>
      </c>
      <c r="H133" s="5">
        <v>54.76</v>
      </c>
    </row>
    <row r="134" spans="1:8" x14ac:dyDescent="0.25">
      <c r="A134" s="1">
        <v>60762</v>
      </c>
      <c r="B134" s="1">
        <v>2</v>
      </c>
      <c r="C134" s="1" t="s">
        <v>87</v>
      </c>
      <c r="D134" s="1" t="s">
        <v>56</v>
      </c>
      <c r="E134" s="1" t="s">
        <v>9</v>
      </c>
      <c r="F134" s="5">
        <v>0</v>
      </c>
      <c r="G134" s="5">
        <v>2504.83</v>
      </c>
      <c r="H134" s="5">
        <v>2504.83</v>
      </c>
    </row>
    <row r="135" spans="1:8" x14ac:dyDescent="0.25">
      <c r="A135" s="1">
        <v>60763</v>
      </c>
      <c r="B135" s="1">
        <v>2</v>
      </c>
      <c r="C135" s="1" t="s">
        <v>88</v>
      </c>
      <c r="D135" s="1" t="s">
        <v>56</v>
      </c>
      <c r="E135" s="1" t="s">
        <v>9</v>
      </c>
      <c r="F135" s="5">
        <v>0</v>
      </c>
      <c r="G135" s="5">
        <v>939.6</v>
      </c>
      <c r="H135" s="5">
        <v>939.6</v>
      </c>
    </row>
    <row r="136" spans="1:8" x14ac:dyDescent="0.25">
      <c r="A136" s="1">
        <v>60764</v>
      </c>
      <c r="B136" s="1">
        <v>99</v>
      </c>
      <c r="C136" s="1" t="s">
        <v>89</v>
      </c>
      <c r="D136" s="1" t="s">
        <v>56</v>
      </c>
      <c r="E136" s="1" t="s">
        <v>89</v>
      </c>
      <c r="F136" s="5">
        <v>0</v>
      </c>
      <c r="G136" s="5">
        <v>0</v>
      </c>
      <c r="H136" s="5">
        <v>0</v>
      </c>
    </row>
    <row r="137" spans="1:8" x14ac:dyDescent="0.25">
      <c r="A137" s="1">
        <v>60766</v>
      </c>
      <c r="B137" s="1">
        <v>99</v>
      </c>
      <c r="C137" s="1" t="s">
        <v>90</v>
      </c>
      <c r="D137" s="1" t="s">
        <v>56</v>
      </c>
      <c r="E137" s="1" t="s">
        <v>90</v>
      </c>
      <c r="F137" s="5">
        <v>0</v>
      </c>
      <c r="G137" s="5">
        <v>0</v>
      </c>
      <c r="H137" s="5">
        <v>0</v>
      </c>
    </row>
    <row r="138" spans="1:8" x14ac:dyDescent="0.25">
      <c r="A138" s="1">
        <v>60767</v>
      </c>
      <c r="B138" s="1">
        <v>99</v>
      </c>
      <c r="C138" s="1" t="s">
        <v>91</v>
      </c>
      <c r="D138" s="1" t="s">
        <v>56</v>
      </c>
      <c r="E138" s="1" t="s">
        <v>91</v>
      </c>
      <c r="F138" s="5">
        <v>0</v>
      </c>
      <c r="G138" s="5">
        <v>0</v>
      </c>
      <c r="H138" s="5">
        <v>0</v>
      </c>
    </row>
    <row r="139" spans="1:8" x14ac:dyDescent="0.25">
      <c r="A139" s="1">
        <v>60770</v>
      </c>
      <c r="B139" s="1">
        <v>1</v>
      </c>
      <c r="C139" s="1" t="s">
        <v>92</v>
      </c>
      <c r="D139" s="1" t="s">
        <v>56</v>
      </c>
      <c r="E139" s="1" t="s">
        <v>9</v>
      </c>
      <c r="F139" s="5">
        <v>0</v>
      </c>
      <c r="G139" s="5">
        <v>31420.42</v>
      </c>
      <c r="H139" s="5">
        <v>31420.42</v>
      </c>
    </row>
    <row r="140" spans="1:8" x14ac:dyDescent="0.25">
      <c r="A140" s="1">
        <v>60770</v>
      </c>
      <c r="B140" s="1">
        <v>2</v>
      </c>
      <c r="C140" s="1" t="s">
        <v>92</v>
      </c>
      <c r="D140" s="1" t="s">
        <v>56</v>
      </c>
      <c r="E140" s="1" t="s">
        <v>9</v>
      </c>
      <c r="F140" s="5">
        <v>0</v>
      </c>
      <c r="G140" s="5">
        <v>39840.400000000001</v>
      </c>
      <c r="H140" s="5">
        <v>39840.400000000001</v>
      </c>
    </row>
    <row r="141" spans="1:8" x14ac:dyDescent="0.25">
      <c r="A141" s="1">
        <v>60770</v>
      </c>
      <c r="B141" s="1">
        <v>50</v>
      </c>
      <c r="C141" s="1" t="s">
        <v>92</v>
      </c>
      <c r="D141" s="1" t="s">
        <v>56</v>
      </c>
      <c r="E141" s="1" t="s">
        <v>9</v>
      </c>
      <c r="F141" s="5">
        <v>0</v>
      </c>
      <c r="G141" s="5">
        <v>28614.880000000001</v>
      </c>
      <c r="H141" s="5">
        <v>28614.880000000001</v>
      </c>
    </row>
    <row r="142" spans="1:8" x14ac:dyDescent="0.25">
      <c r="A142" s="1">
        <v>60780</v>
      </c>
      <c r="B142" s="1">
        <v>1</v>
      </c>
      <c r="C142" s="1" t="s">
        <v>93</v>
      </c>
      <c r="D142" s="1" t="s">
        <v>56</v>
      </c>
      <c r="E142" s="1" t="s">
        <v>93</v>
      </c>
      <c r="F142" s="5">
        <v>0</v>
      </c>
      <c r="G142" s="5">
        <v>88431.96</v>
      </c>
      <c r="H142" s="5">
        <v>88431.96</v>
      </c>
    </row>
    <row r="143" spans="1:8" x14ac:dyDescent="0.25">
      <c r="A143" s="1">
        <v>60781</v>
      </c>
      <c r="B143" s="1">
        <v>1</v>
      </c>
      <c r="C143" s="1" t="s">
        <v>94</v>
      </c>
      <c r="D143" s="1" t="s">
        <v>56</v>
      </c>
      <c r="E143" s="1" t="s">
        <v>94</v>
      </c>
      <c r="F143" s="5">
        <v>0</v>
      </c>
      <c r="G143" s="5">
        <v>3399.18</v>
      </c>
      <c r="H143" s="5">
        <v>3399.18</v>
      </c>
    </row>
    <row r="144" spans="1:8" x14ac:dyDescent="0.25">
      <c r="A144" s="1">
        <v>60782</v>
      </c>
      <c r="B144" s="1">
        <v>1</v>
      </c>
      <c r="C144" s="1" t="s">
        <v>95</v>
      </c>
      <c r="D144" s="1" t="s">
        <v>56</v>
      </c>
      <c r="E144" s="1" t="s">
        <v>95</v>
      </c>
      <c r="F144" s="5">
        <v>0</v>
      </c>
      <c r="G144" s="5">
        <v>3773.1</v>
      </c>
      <c r="H144" s="5">
        <v>3773.1</v>
      </c>
    </row>
    <row r="145" spans="1:8" x14ac:dyDescent="0.25">
      <c r="A145" s="1">
        <v>60783</v>
      </c>
      <c r="B145" s="1">
        <v>1</v>
      </c>
      <c r="C145" s="1" t="s">
        <v>96</v>
      </c>
      <c r="D145" s="1" t="s">
        <v>56</v>
      </c>
      <c r="E145" s="1" t="s">
        <v>96</v>
      </c>
      <c r="F145" s="5">
        <v>0</v>
      </c>
      <c r="G145" s="5">
        <v>1949.6</v>
      </c>
      <c r="H145" s="5">
        <v>1949.6</v>
      </c>
    </row>
    <row r="146" spans="1:8" x14ac:dyDescent="0.25">
      <c r="A146" s="1">
        <v>60800</v>
      </c>
      <c r="B146" s="1">
        <v>1</v>
      </c>
      <c r="C146" s="1" t="s">
        <v>97</v>
      </c>
      <c r="D146" s="1" t="s">
        <v>56</v>
      </c>
      <c r="E146" s="1" t="s">
        <v>9</v>
      </c>
      <c r="F146" s="5">
        <v>0</v>
      </c>
      <c r="G146" s="5">
        <v>15107.15</v>
      </c>
      <c r="H146" s="5">
        <v>15107.15</v>
      </c>
    </row>
    <row r="147" spans="1:8" x14ac:dyDescent="0.25">
      <c r="A147" s="1">
        <v>60800</v>
      </c>
      <c r="B147" s="1">
        <v>2</v>
      </c>
      <c r="C147" s="1" t="s">
        <v>97</v>
      </c>
      <c r="D147" s="1" t="s">
        <v>56</v>
      </c>
      <c r="E147" s="1" t="s">
        <v>9</v>
      </c>
      <c r="F147" s="5">
        <v>0</v>
      </c>
      <c r="G147" s="5">
        <v>24574.86</v>
      </c>
      <c r="H147" s="5">
        <v>24574.86</v>
      </c>
    </row>
    <row r="148" spans="1:8" x14ac:dyDescent="0.25">
      <c r="A148" s="1">
        <v>60810</v>
      </c>
      <c r="B148" s="1">
        <v>1</v>
      </c>
      <c r="C148" s="1" t="s">
        <v>98</v>
      </c>
      <c r="D148" s="1" t="s">
        <v>56</v>
      </c>
      <c r="E148" s="1" t="s">
        <v>9</v>
      </c>
      <c r="F148" s="5">
        <v>0</v>
      </c>
      <c r="G148" s="5">
        <v>19.54</v>
      </c>
      <c r="H148" s="5">
        <v>19.54</v>
      </c>
    </row>
    <row r="149" spans="1:8" x14ac:dyDescent="0.25">
      <c r="A149" s="1">
        <v>60820</v>
      </c>
      <c r="B149" s="1">
        <v>1</v>
      </c>
      <c r="C149" s="1" t="s">
        <v>99</v>
      </c>
      <c r="D149" s="1" t="s">
        <v>56</v>
      </c>
      <c r="E149" s="1" t="s">
        <v>9</v>
      </c>
      <c r="F149" s="5">
        <v>0</v>
      </c>
      <c r="G149" s="5">
        <v>1999.17</v>
      </c>
      <c r="H149" s="5">
        <v>1999.17</v>
      </c>
    </row>
    <row r="150" spans="1:8" x14ac:dyDescent="0.25">
      <c r="A150" s="1">
        <v>60820</v>
      </c>
      <c r="B150" s="1">
        <v>2</v>
      </c>
      <c r="C150" s="1" t="s">
        <v>99</v>
      </c>
      <c r="D150" s="1" t="s">
        <v>56</v>
      </c>
      <c r="E150" s="1" t="s">
        <v>9</v>
      </c>
      <c r="F150" s="5">
        <v>0</v>
      </c>
      <c r="G150" s="5">
        <v>610.4</v>
      </c>
      <c r="H150" s="5">
        <v>610.4</v>
      </c>
    </row>
    <row r="151" spans="1:8" x14ac:dyDescent="0.25">
      <c r="A151" s="1">
        <v>60830</v>
      </c>
      <c r="B151" s="1">
        <v>1</v>
      </c>
      <c r="C151" s="1" t="s">
        <v>100</v>
      </c>
      <c r="D151" s="1" t="s">
        <v>56</v>
      </c>
      <c r="E151" s="1" t="s">
        <v>9</v>
      </c>
      <c r="F151" s="5">
        <v>0</v>
      </c>
      <c r="G151" s="5">
        <v>409.2</v>
      </c>
      <c r="H151" s="5">
        <v>409.2</v>
      </c>
    </row>
    <row r="152" spans="1:8" x14ac:dyDescent="0.25">
      <c r="A152" s="1">
        <v>60830</v>
      </c>
      <c r="B152" s="1">
        <v>2</v>
      </c>
      <c r="C152" s="1" t="s">
        <v>100</v>
      </c>
      <c r="D152" s="1" t="s">
        <v>56</v>
      </c>
      <c r="E152" s="1" t="s">
        <v>9</v>
      </c>
      <c r="F152" s="5">
        <v>0</v>
      </c>
      <c r="G152" s="5">
        <v>403.2</v>
      </c>
      <c r="H152" s="5">
        <v>403.2</v>
      </c>
    </row>
    <row r="153" spans="1:8" x14ac:dyDescent="0.25">
      <c r="A153" s="1">
        <v>60840</v>
      </c>
      <c r="B153" s="1">
        <v>1</v>
      </c>
      <c r="C153" s="1" t="s">
        <v>101</v>
      </c>
      <c r="D153" s="1" t="s">
        <v>56</v>
      </c>
      <c r="E153" s="1" t="s">
        <v>9</v>
      </c>
      <c r="F153" s="5">
        <v>0</v>
      </c>
      <c r="G153" s="5">
        <v>15699.76</v>
      </c>
      <c r="H153" s="5">
        <v>15699.76</v>
      </c>
    </row>
    <row r="154" spans="1:8" x14ac:dyDescent="0.25">
      <c r="A154" s="1">
        <v>60840</v>
      </c>
      <c r="B154" s="1">
        <v>2</v>
      </c>
      <c r="C154" s="1" t="s">
        <v>101</v>
      </c>
      <c r="D154" s="1" t="s">
        <v>56</v>
      </c>
      <c r="E154" s="1" t="s">
        <v>9</v>
      </c>
      <c r="F154" s="5">
        <v>0</v>
      </c>
      <c r="G154" s="5">
        <v>18393.18</v>
      </c>
      <c r="H154" s="5">
        <v>18393.18</v>
      </c>
    </row>
    <row r="155" spans="1:8" x14ac:dyDescent="0.25">
      <c r="A155" s="1">
        <v>60840</v>
      </c>
      <c r="B155" s="1">
        <v>50</v>
      </c>
      <c r="C155" s="1" t="s">
        <v>101</v>
      </c>
      <c r="D155" s="1" t="s">
        <v>56</v>
      </c>
      <c r="E155" s="1" t="s">
        <v>9</v>
      </c>
      <c r="F155" s="5">
        <v>0</v>
      </c>
      <c r="G155" s="5">
        <v>22463.200000000001</v>
      </c>
      <c r="H155" s="5">
        <v>22463.200000000001</v>
      </c>
    </row>
    <row r="156" spans="1:8" x14ac:dyDescent="0.25">
      <c r="A156" s="1">
        <v>60841</v>
      </c>
      <c r="B156" s="1">
        <v>1</v>
      </c>
      <c r="C156" s="1" t="s">
        <v>102</v>
      </c>
      <c r="D156" s="1" t="s">
        <v>56</v>
      </c>
      <c r="E156" s="1" t="s">
        <v>9</v>
      </c>
      <c r="F156" s="5">
        <v>0</v>
      </c>
      <c r="G156" s="5">
        <v>57.9</v>
      </c>
      <c r="H156" s="5">
        <v>57.9</v>
      </c>
    </row>
    <row r="157" spans="1:8" x14ac:dyDescent="0.25">
      <c r="A157" s="1">
        <v>60841</v>
      </c>
      <c r="B157" s="1">
        <v>2</v>
      </c>
      <c r="C157" s="1" t="s">
        <v>102</v>
      </c>
      <c r="D157" s="1" t="s">
        <v>56</v>
      </c>
      <c r="E157" s="1" t="s">
        <v>9</v>
      </c>
      <c r="F157" s="5">
        <v>0</v>
      </c>
      <c r="G157" s="5">
        <v>1512.92</v>
      </c>
      <c r="H157" s="5">
        <v>1512.92</v>
      </c>
    </row>
    <row r="158" spans="1:8" x14ac:dyDescent="0.25">
      <c r="A158" s="1">
        <v>60842</v>
      </c>
      <c r="B158" s="1">
        <v>1</v>
      </c>
      <c r="C158" s="1" t="s">
        <v>103</v>
      </c>
      <c r="D158" s="1" t="s">
        <v>56</v>
      </c>
      <c r="E158" s="1" t="s">
        <v>9</v>
      </c>
      <c r="F158" s="5">
        <v>0</v>
      </c>
      <c r="G158" s="5">
        <v>1626.65</v>
      </c>
      <c r="H158" s="5">
        <v>1626.65</v>
      </c>
    </row>
    <row r="159" spans="1:8" x14ac:dyDescent="0.25">
      <c r="A159" s="1">
        <v>60842</v>
      </c>
      <c r="B159" s="1">
        <v>2</v>
      </c>
      <c r="C159" s="1" t="s">
        <v>103</v>
      </c>
      <c r="D159" s="1" t="s">
        <v>56</v>
      </c>
      <c r="E159" s="1" t="s">
        <v>9</v>
      </c>
      <c r="F159" s="5">
        <v>0</v>
      </c>
      <c r="G159" s="5">
        <v>1324.85</v>
      </c>
      <c r="H159" s="5">
        <v>1324.85</v>
      </c>
    </row>
    <row r="160" spans="1:8" x14ac:dyDescent="0.25">
      <c r="A160" s="1">
        <v>60842</v>
      </c>
      <c r="B160" s="1">
        <v>50</v>
      </c>
      <c r="C160" s="1" t="s">
        <v>103</v>
      </c>
      <c r="D160" s="1" t="s">
        <v>56</v>
      </c>
      <c r="E160" s="1" t="s">
        <v>9</v>
      </c>
      <c r="F160" s="5">
        <v>0</v>
      </c>
      <c r="G160" s="5">
        <v>2422</v>
      </c>
      <c r="H160" s="5">
        <v>2422</v>
      </c>
    </row>
    <row r="161" spans="1:8" x14ac:dyDescent="0.25">
      <c r="A161" s="1">
        <v>60843</v>
      </c>
      <c r="B161" s="1">
        <v>1</v>
      </c>
      <c r="C161" s="1" t="s">
        <v>104</v>
      </c>
      <c r="D161" s="1" t="s">
        <v>56</v>
      </c>
      <c r="E161" s="1" t="s">
        <v>9</v>
      </c>
      <c r="F161" s="5">
        <v>0</v>
      </c>
      <c r="G161" s="5">
        <v>409.2</v>
      </c>
      <c r="H161" s="5">
        <v>409.2</v>
      </c>
    </row>
    <row r="162" spans="1:8" x14ac:dyDescent="0.25">
      <c r="A162" s="1">
        <v>60843</v>
      </c>
      <c r="B162" s="1">
        <v>2</v>
      </c>
      <c r="C162" s="1" t="s">
        <v>104</v>
      </c>
      <c r="D162" s="1" t="s">
        <v>56</v>
      </c>
      <c r="E162" s="1" t="s">
        <v>9</v>
      </c>
      <c r="F162" s="5">
        <v>0</v>
      </c>
      <c r="G162" s="5">
        <v>463.2</v>
      </c>
      <c r="H162" s="5">
        <v>463.2</v>
      </c>
    </row>
    <row r="163" spans="1:8" x14ac:dyDescent="0.25">
      <c r="A163" s="1">
        <v>60850</v>
      </c>
      <c r="B163" s="1">
        <v>50</v>
      </c>
      <c r="C163" s="1" t="s">
        <v>105</v>
      </c>
      <c r="D163" s="1" t="s">
        <v>56</v>
      </c>
      <c r="E163" s="1" t="s">
        <v>9</v>
      </c>
      <c r="F163" s="5">
        <v>0</v>
      </c>
      <c r="G163" s="5">
        <v>-41085.72</v>
      </c>
      <c r="H163" s="5">
        <v>-41085.72</v>
      </c>
    </row>
    <row r="164" spans="1:8" x14ac:dyDescent="0.25">
      <c r="A164" s="1">
        <v>60850</v>
      </c>
      <c r="B164" s="1">
        <v>99</v>
      </c>
      <c r="C164" s="1" t="s">
        <v>105</v>
      </c>
      <c r="D164" s="1" t="s">
        <v>56</v>
      </c>
      <c r="E164" s="1" t="s">
        <v>9</v>
      </c>
      <c r="F164" s="5">
        <v>0</v>
      </c>
      <c r="G164" s="5">
        <v>48529.51</v>
      </c>
      <c r="H164" s="5">
        <v>48529.51</v>
      </c>
    </row>
    <row r="165" spans="1:8" x14ac:dyDescent="0.25">
      <c r="A165" s="1">
        <v>60900</v>
      </c>
      <c r="B165" s="1">
        <v>1</v>
      </c>
      <c r="C165" s="1" t="s">
        <v>106</v>
      </c>
      <c r="D165" s="1" t="s">
        <v>56</v>
      </c>
      <c r="E165" s="1" t="s">
        <v>9</v>
      </c>
      <c r="F165" s="5">
        <v>0</v>
      </c>
      <c r="G165" s="5">
        <v>0</v>
      </c>
      <c r="H165" s="5">
        <v>0</v>
      </c>
    </row>
    <row r="166" spans="1:8" x14ac:dyDescent="0.25">
      <c r="A166" s="1">
        <v>60900</v>
      </c>
      <c r="B166" s="1">
        <v>2</v>
      </c>
      <c r="C166" s="1" t="s">
        <v>106</v>
      </c>
      <c r="D166" s="1" t="s">
        <v>56</v>
      </c>
      <c r="E166" s="1" t="s">
        <v>9</v>
      </c>
      <c r="F166" s="5">
        <v>0</v>
      </c>
      <c r="G166" s="5">
        <v>0</v>
      </c>
      <c r="H166" s="5">
        <v>0</v>
      </c>
    </row>
    <row r="167" spans="1:8" x14ac:dyDescent="0.25">
      <c r="A167" s="1">
        <v>60912</v>
      </c>
      <c r="B167" s="1">
        <v>1</v>
      </c>
      <c r="C167" s="1" t="s">
        <v>107</v>
      </c>
      <c r="D167" s="1" t="s">
        <v>56</v>
      </c>
      <c r="E167" s="1" t="s">
        <v>107</v>
      </c>
      <c r="F167" s="5">
        <v>0</v>
      </c>
      <c r="G167" s="5">
        <v>681.79</v>
      </c>
      <c r="H167" s="5">
        <v>681.79</v>
      </c>
    </row>
    <row r="168" spans="1:8" x14ac:dyDescent="0.25">
      <c r="A168" s="1">
        <v>60912</v>
      </c>
      <c r="B168" s="1">
        <v>2</v>
      </c>
      <c r="C168" s="1" t="s">
        <v>107</v>
      </c>
      <c r="D168" s="1" t="s">
        <v>56</v>
      </c>
      <c r="E168" s="1" t="s">
        <v>107</v>
      </c>
      <c r="F168" s="5">
        <v>0</v>
      </c>
      <c r="G168" s="5">
        <v>374.71</v>
      </c>
      <c r="H168" s="5">
        <v>374.71</v>
      </c>
    </row>
    <row r="169" spans="1:8" x14ac:dyDescent="0.25">
      <c r="A169" s="1">
        <v>60913</v>
      </c>
      <c r="B169" s="1">
        <v>1</v>
      </c>
      <c r="C169" s="1" t="s">
        <v>108</v>
      </c>
      <c r="D169" s="1" t="s">
        <v>56</v>
      </c>
      <c r="E169" s="1" t="s">
        <v>108</v>
      </c>
      <c r="F169" s="5">
        <v>0</v>
      </c>
      <c r="G169" s="5">
        <v>3035.55</v>
      </c>
      <c r="H169" s="5">
        <v>3035.55</v>
      </c>
    </row>
    <row r="170" spans="1:8" x14ac:dyDescent="0.25">
      <c r="A170" s="1">
        <v>61000</v>
      </c>
      <c r="B170" s="1">
        <v>1</v>
      </c>
      <c r="C170" s="1" t="s">
        <v>109</v>
      </c>
      <c r="D170" s="1" t="s">
        <v>56</v>
      </c>
      <c r="E170" s="1" t="s">
        <v>9</v>
      </c>
      <c r="F170" s="5">
        <v>0</v>
      </c>
      <c r="G170" s="5">
        <v>31124.25</v>
      </c>
      <c r="H170" s="5">
        <v>31124.25</v>
      </c>
    </row>
    <row r="171" spans="1:8" x14ac:dyDescent="0.25">
      <c r="A171" s="1">
        <v>61000</v>
      </c>
      <c r="B171" s="1">
        <v>2</v>
      </c>
      <c r="C171" s="1" t="s">
        <v>109</v>
      </c>
      <c r="D171" s="1" t="s">
        <v>56</v>
      </c>
      <c r="E171" s="1" t="s">
        <v>9</v>
      </c>
      <c r="F171" s="5">
        <v>0</v>
      </c>
      <c r="G171" s="5">
        <v>26019.69</v>
      </c>
      <c r="H171" s="5">
        <v>26019.69</v>
      </c>
    </row>
    <row r="172" spans="1:8" x14ac:dyDescent="0.25">
      <c r="A172" s="1">
        <v>61000</v>
      </c>
      <c r="B172" s="1">
        <v>50</v>
      </c>
      <c r="C172" s="1" t="s">
        <v>109</v>
      </c>
      <c r="D172" s="1" t="s">
        <v>56</v>
      </c>
      <c r="E172" s="1" t="s">
        <v>9</v>
      </c>
      <c r="F172" s="5">
        <v>0</v>
      </c>
      <c r="G172" s="5">
        <v>22023.279999999999</v>
      </c>
      <c r="H172" s="5">
        <v>22023.279999999999</v>
      </c>
    </row>
    <row r="173" spans="1:8" x14ac:dyDescent="0.25">
      <c r="A173" s="1">
        <v>61000</v>
      </c>
      <c r="B173" s="1">
        <v>99</v>
      </c>
      <c r="C173" s="1" t="s">
        <v>109</v>
      </c>
      <c r="D173" s="1" t="s">
        <v>56</v>
      </c>
      <c r="E173" s="1" t="s">
        <v>9</v>
      </c>
      <c r="F173" s="5">
        <v>0</v>
      </c>
      <c r="G173" s="5">
        <v>7218.85</v>
      </c>
      <c r="H173" s="5">
        <v>7218.85</v>
      </c>
    </row>
    <row r="174" spans="1:8" x14ac:dyDescent="0.25">
      <c r="A174" s="1">
        <v>61100</v>
      </c>
      <c r="B174" s="1">
        <v>1</v>
      </c>
      <c r="C174" s="1" t="s">
        <v>110</v>
      </c>
      <c r="D174" s="1" t="s">
        <v>56</v>
      </c>
      <c r="E174" s="1" t="s">
        <v>9</v>
      </c>
      <c r="F174" s="5">
        <v>0</v>
      </c>
      <c r="G174" s="5">
        <v>852.06</v>
      </c>
      <c r="H174" s="5">
        <v>852.06</v>
      </c>
    </row>
    <row r="175" spans="1:8" x14ac:dyDescent="0.25">
      <c r="A175" s="1">
        <v>61100</v>
      </c>
      <c r="B175" s="1">
        <v>2</v>
      </c>
      <c r="C175" s="1" t="s">
        <v>110</v>
      </c>
      <c r="D175" s="1" t="s">
        <v>56</v>
      </c>
      <c r="E175" s="1" t="s">
        <v>9</v>
      </c>
      <c r="F175" s="5">
        <v>0</v>
      </c>
      <c r="G175" s="5">
        <v>654.16999999999996</v>
      </c>
      <c r="H175" s="5">
        <v>654.16999999999996</v>
      </c>
    </row>
    <row r="176" spans="1:8" x14ac:dyDescent="0.25">
      <c r="A176" s="1">
        <v>61100</v>
      </c>
      <c r="B176" s="1">
        <v>50</v>
      </c>
      <c r="C176" s="1" t="s">
        <v>110</v>
      </c>
      <c r="D176" s="1" t="s">
        <v>56</v>
      </c>
      <c r="E176" s="1" t="s">
        <v>9</v>
      </c>
      <c r="F176" s="5">
        <v>0</v>
      </c>
      <c r="G176" s="5">
        <v>560.34</v>
      </c>
      <c r="H176" s="5">
        <v>560.34</v>
      </c>
    </row>
    <row r="177" spans="1:8" x14ac:dyDescent="0.25">
      <c r="A177" s="1">
        <v>61100</v>
      </c>
      <c r="B177" s="1">
        <v>99</v>
      </c>
      <c r="C177" s="1" t="s">
        <v>110</v>
      </c>
      <c r="D177" s="1" t="s">
        <v>56</v>
      </c>
      <c r="E177" s="1" t="s">
        <v>9</v>
      </c>
      <c r="F177" s="5">
        <v>0</v>
      </c>
      <c r="G177" s="5">
        <v>126</v>
      </c>
      <c r="H177" s="5">
        <v>126</v>
      </c>
    </row>
    <row r="178" spans="1:8" x14ac:dyDescent="0.25">
      <c r="A178" s="1">
        <v>61200</v>
      </c>
      <c r="B178" s="1">
        <v>1</v>
      </c>
      <c r="C178" s="1" t="s">
        <v>111</v>
      </c>
      <c r="D178" s="1" t="s">
        <v>56</v>
      </c>
      <c r="E178" s="1" t="s">
        <v>9</v>
      </c>
      <c r="F178" s="5">
        <v>0</v>
      </c>
      <c r="G178" s="5">
        <v>1168.02</v>
      </c>
      <c r="H178" s="5">
        <v>1168.02</v>
      </c>
    </row>
    <row r="179" spans="1:8" x14ac:dyDescent="0.25">
      <c r="A179" s="1">
        <v>61200</v>
      </c>
      <c r="B179" s="1">
        <v>2</v>
      </c>
      <c r="C179" s="1" t="s">
        <v>111</v>
      </c>
      <c r="D179" s="1" t="s">
        <v>56</v>
      </c>
      <c r="E179" s="1" t="s">
        <v>9</v>
      </c>
      <c r="F179" s="5">
        <v>0</v>
      </c>
      <c r="G179" s="5">
        <v>728.4</v>
      </c>
      <c r="H179" s="5">
        <v>728.4</v>
      </c>
    </row>
    <row r="180" spans="1:8" x14ac:dyDescent="0.25">
      <c r="A180" s="1">
        <v>61200</v>
      </c>
      <c r="B180" s="1">
        <v>50</v>
      </c>
      <c r="C180" s="1" t="s">
        <v>111</v>
      </c>
      <c r="D180" s="1" t="s">
        <v>56</v>
      </c>
      <c r="E180" s="1" t="s">
        <v>9</v>
      </c>
      <c r="F180" s="5">
        <v>0</v>
      </c>
      <c r="G180" s="5">
        <v>765.05</v>
      </c>
      <c r="H180" s="5">
        <v>765.05</v>
      </c>
    </row>
    <row r="181" spans="1:8" x14ac:dyDescent="0.25">
      <c r="A181" s="1">
        <v>61200</v>
      </c>
      <c r="B181" s="1">
        <v>99</v>
      </c>
      <c r="C181" s="1" t="s">
        <v>111</v>
      </c>
      <c r="D181" s="1" t="s">
        <v>56</v>
      </c>
      <c r="E181" s="1" t="s">
        <v>9</v>
      </c>
      <c r="F181" s="5">
        <v>0</v>
      </c>
      <c r="G181" s="5">
        <v>58.51</v>
      </c>
      <c r="H181" s="5">
        <v>58.51</v>
      </c>
    </row>
    <row r="182" spans="1:8" x14ac:dyDescent="0.25">
      <c r="A182" s="1">
        <v>61300</v>
      </c>
      <c r="B182" s="1">
        <v>1</v>
      </c>
      <c r="C182" s="1" t="s">
        <v>112</v>
      </c>
      <c r="D182" s="1" t="s">
        <v>56</v>
      </c>
      <c r="E182" s="1" t="s">
        <v>9</v>
      </c>
      <c r="F182" s="5">
        <v>0</v>
      </c>
      <c r="G182" s="5">
        <v>0</v>
      </c>
      <c r="H182" s="5">
        <v>0</v>
      </c>
    </row>
    <row r="183" spans="1:8" x14ac:dyDescent="0.25">
      <c r="A183" s="1">
        <v>61300</v>
      </c>
      <c r="B183" s="1">
        <v>2</v>
      </c>
      <c r="C183" s="1" t="s">
        <v>112</v>
      </c>
      <c r="D183" s="1" t="s">
        <v>56</v>
      </c>
      <c r="E183" s="1" t="s">
        <v>9</v>
      </c>
      <c r="F183" s="5">
        <v>0</v>
      </c>
      <c r="G183" s="5">
        <v>3810.48</v>
      </c>
      <c r="H183" s="5">
        <v>3810.48</v>
      </c>
    </row>
    <row r="184" spans="1:8" x14ac:dyDescent="0.25">
      <c r="A184" s="1">
        <v>61300</v>
      </c>
      <c r="B184" s="1">
        <v>50</v>
      </c>
      <c r="C184" s="1" t="s">
        <v>112</v>
      </c>
      <c r="D184" s="1" t="s">
        <v>56</v>
      </c>
      <c r="E184" s="1" t="s">
        <v>9</v>
      </c>
      <c r="F184" s="5">
        <v>0</v>
      </c>
      <c r="G184" s="5">
        <v>0</v>
      </c>
      <c r="H184" s="5">
        <v>0</v>
      </c>
    </row>
    <row r="185" spans="1:8" x14ac:dyDescent="0.25">
      <c r="A185" s="1">
        <v>61300</v>
      </c>
      <c r="B185" s="1">
        <v>99</v>
      </c>
      <c r="C185" s="1" t="s">
        <v>112</v>
      </c>
      <c r="D185" s="1" t="s">
        <v>56</v>
      </c>
      <c r="E185" s="1" t="s">
        <v>9</v>
      </c>
      <c r="F185" s="5">
        <v>0</v>
      </c>
      <c r="G185" s="5">
        <v>390</v>
      </c>
      <c r="H185" s="5">
        <v>390</v>
      </c>
    </row>
    <row r="186" spans="1:8" x14ac:dyDescent="0.25">
      <c r="A186" s="1">
        <v>61350</v>
      </c>
      <c r="B186" s="1">
        <v>1</v>
      </c>
      <c r="C186" s="1" t="s">
        <v>113</v>
      </c>
      <c r="D186" s="1" t="s">
        <v>56</v>
      </c>
      <c r="E186" s="1" t="s">
        <v>9</v>
      </c>
      <c r="F186" s="5">
        <v>0</v>
      </c>
      <c r="G186" s="5">
        <v>6683.9</v>
      </c>
      <c r="H186" s="5">
        <v>6683.9</v>
      </c>
    </row>
    <row r="187" spans="1:8" x14ac:dyDescent="0.25">
      <c r="A187" s="1">
        <v>61350</v>
      </c>
      <c r="B187" s="1">
        <v>2</v>
      </c>
      <c r="C187" s="1" t="s">
        <v>113</v>
      </c>
      <c r="D187" s="1" t="s">
        <v>56</v>
      </c>
      <c r="E187" s="1" t="s">
        <v>9</v>
      </c>
      <c r="F187" s="5">
        <v>0</v>
      </c>
      <c r="G187" s="5">
        <v>7717.48</v>
      </c>
      <c r="H187" s="5">
        <v>7717.48</v>
      </c>
    </row>
    <row r="188" spans="1:8" x14ac:dyDescent="0.25">
      <c r="A188" s="1">
        <v>61350</v>
      </c>
      <c r="B188" s="1">
        <v>50</v>
      </c>
      <c r="C188" s="1" t="s">
        <v>113</v>
      </c>
      <c r="D188" s="1" t="s">
        <v>56</v>
      </c>
      <c r="E188" s="1" t="s">
        <v>9</v>
      </c>
      <c r="F188" s="5">
        <v>0</v>
      </c>
      <c r="G188" s="5">
        <v>5196.6000000000004</v>
      </c>
      <c r="H188" s="5">
        <v>5196.6000000000004</v>
      </c>
    </row>
    <row r="189" spans="1:8" x14ac:dyDescent="0.25">
      <c r="A189" s="1">
        <v>61350</v>
      </c>
      <c r="B189" s="1">
        <v>99</v>
      </c>
      <c r="C189" s="1" t="s">
        <v>113</v>
      </c>
      <c r="D189" s="1" t="s">
        <v>56</v>
      </c>
      <c r="E189" s="1" t="s">
        <v>9</v>
      </c>
      <c r="F189" s="5">
        <v>0</v>
      </c>
      <c r="G189" s="5">
        <v>3712.07</v>
      </c>
      <c r="H189" s="5">
        <v>3712.07</v>
      </c>
    </row>
    <row r="190" spans="1:8" x14ac:dyDescent="0.25">
      <c r="A190" s="1">
        <v>61370</v>
      </c>
      <c r="B190" s="1">
        <v>1</v>
      </c>
      <c r="C190" s="1" t="s">
        <v>114</v>
      </c>
      <c r="D190" s="1" t="s">
        <v>56</v>
      </c>
      <c r="E190" s="1" t="s">
        <v>9</v>
      </c>
      <c r="F190" s="5">
        <v>0</v>
      </c>
      <c r="G190" s="5">
        <v>114624.78</v>
      </c>
      <c r="H190" s="5">
        <v>114624.78</v>
      </c>
    </row>
    <row r="191" spans="1:8" x14ac:dyDescent="0.25">
      <c r="A191" s="1">
        <v>61370</v>
      </c>
      <c r="B191" s="1">
        <v>2</v>
      </c>
      <c r="C191" s="1" t="s">
        <v>114</v>
      </c>
      <c r="D191" s="1" t="s">
        <v>56</v>
      </c>
      <c r="E191" s="1" t="s">
        <v>9</v>
      </c>
      <c r="F191" s="5">
        <v>0</v>
      </c>
      <c r="G191" s="5">
        <v>90144.1</v>
      </c>
      <c r="H191" s="5">
        <v>90144.1</v>
      </c>
    </row>
    <row r="192" spans="1:8" x14ac:dyDescent="0.25">
      <c r="A192" s="1">
        <v>61370</v>
      </c>
      <c r="B192" s="1">
        <v>50</v>
      </c>
      <c r="C192" s="1" t="s">
        <v>114</v>
      </c>
      <c r="D192" s="1" t="s">
        <v>56</v>
      </c>
      <c r="E192" s="1" t="s">
        <v>9</v>
      </c>
      <c r="F192" s="5">
        <v>0</v>
      </c>
      <c r="G192" s="5">
        <v>77692.61</v>
      </c>
      <c r="H192" s="5">
        <v>77692.61</v>
      </c>
    </row>
    <row r="193" spans="1:8" x14ac:dyDescent="0.25">
      <c r="A193" s="1">
        <v>61370</v>
      </c>
      <c r="B193" s="1">
        <v>99</v>
      </c>
      <c r="C193" s="1" t="s">
        <v>114</v>
      </c>
      <c r="D193" s="1" t="s">
        <v>56</v>
      </c>
      <c r="E193" s="1" t="s">
        <v>9</v>
      </c>
      <c r="F193" s="5">
        <v>0</v>
      </c>
      <c r="G193" s="5">
        <v>16819.45</v>
      </c>
      <c r="H193" s="5">
        <v>16819.45</v>
      </c>
    </row>
    <row r="194" spans="1:8" x14ac:dyDescent="0.25">
      <c r="A194" s="1">
        <v>61400</v>
      </c>
      <c r="B194" s="1">
        <v>99</v>
      </c>
      <c r="C194" s="1" t="s">
        <v>115</v>
      </c>
      <c r="D194" s="1" t="s">
        <v>56</v>
      </c>
      <c r="E194" s="1" t="s">
        <v>9</v>
      </c>
      <c r="F194" s="5">
        <v>0</v>
      </c>
      <c r="G194" s="5">
        <v>10982.55</v>
      </c>
      <c r="H194" s="5">
        <v>10982.55</v>
      </c>
    </row>
    <row r="195" spans="1:8" x14ac:dyDescent="0.25">
      <c r="A195" s="1">
        <v>62100</v>
      </c>
      <c r="B195" s="1">
        <v>1</v>
      </c>
      <c r="C195" s="1" t="s">
        <v>116</v>
      </c>
      <c r="D195" s="1" t="s">
        <v>56</v>
      </c>
      <c r="E195" s="1" t="s">
        <v>9</v>
      </c>
      <c r="F195" s="5">
        <v>0</v>
      </c>
      <c r="G195" s="5">
        <v>39273.300000000003</v>
      </c>
      <c r="H195" s="5">
        <v>39273.300000000003</v>
      </c>
    </row>
    <row r="196" spans="1:8" x14ac:dyDescent="0.25">
      <c r="A196" s="1">
        <v>62100</v>
      </c>
      <c r="B196" s="1">
        <v>2</v>
      </c>
      <c r="C196" s="1" t="s">
        <v>116</v>
      </c>
      <c r="D196" s="1" t="s">
        <v>56</v>
      </c>
      <c r="E196" s="1" t="s">
        <v>9</v>
      </c>
      <c r="F196" s="5">
        <v>0</v>
      </c>
      <c r="G196" s="5">
        <v>30196.14</v>
      </c>
      <c r="H196" s="5">
        <v>30196.14</v>
      </c>
    </row>
    <row r="197" spans="1:8" x14ac:dyDescent="0.25">
      <c r="A197" s="1">
        <v>62100</v>
      </c>
      <c r="B197" s="1">
        <v>50</v>
      </c>
      <c r="C197" s="1" t="s">
        <v>116</v>
      </c>
      <c r="D197" s="1" t="s">
        <v>56</v>
      </c>
      <c r="E197" s="1" t="s">
        <v>9</v>
      </c>
      <c r="F197" s="5">
        <v>0</v>
      </c>
      <c r="G197" s="5">
        <v>3133.38</v>
      </c>
      <c r="H197" s="5">
        <v>3133.38</v>
      </c>
    </row>
    <row r="198" spans="1:8" x14ac:dyDescent="0.25">
      <c r="A198" s="1">
        <v>62200</v>
      </c>
      <c r="B198" s="1">
        <v>1</v>
      </c>
      <c r="C198" s="1" t="s">
        <v>117</v>
      </c>
      <c r="D198" s="1" t="s">
        <v>56</v>
      </c>
      <c r="E198" s="1" t="s">
        <v>9</v>
      </c>
      <c r="F198" s="5">
        <v>0</v>
      </c>
      <c r="G198" s="5">
        <v>6249.96</v>
      </c>
      <c r="H198" s="5">
        <v>6249.96</v>
      </c>
    </row>
    <row r="199" spans="1:8" x14ac:dyDescent="0.25">
      <c r="A199" s="1">
        <v>63000</v>
      </c>
      <c r="B199" s="1">
        <v>1</v>
      </c>
      <c r="C199" s="1" t="s">
        <v>118</v>
      </c>
      <c r="D199" s="1" t="s">
        <v>56</v>
      </c>
      <c r="E199" s="1" t="s">
        <v>9</v>
      </c>
      <c r="F199" s="5">
        <v>0</v>
      </c>
      <c r="G199" s="5">
        <v>15675.72</v>
      </c>
      <c r="H199" s="5">
        <v>15675.72</v>
      </c>
    </row>
    <row r="200" spans="1:8" x14ac:dyDescent="0.25">
      <c r="A200" s="1">
        <v>63000</v>
      </c>
      <c r="B200" s="1">
        <v>2</v>
      </c>
      <c r="C200" s="1" t="s">
        <v>118</v>
      </c>
      <c r="D200" s="1" t="s">
        <v>56</v>
      </c>
      <c r="E200" s="1" t="s">
        <v>9</v>
      </c>
      <c r="F200" s="5">
        <v>0</v>
      </c>
      <c r="G200" s="5">
        <v>1563.66</v>
      </c>
      <c r="H200" s="5">
        <v>1563.66</v>
      </c>
    </row>
    <row r="201" spans="1:8" x14ac:dyDescent="0.25">
      <c r="A201" s="1">
        <v>63000</v>
      </c>
      <c r="B201" s="1">
        <v>50</v>
      </c>
      <c r="C201" s="1" t="s">
        <v>118</v>
      </c>
      <c r="D201" s="1" t="s">
        <v>56</v>
      </c>
      <c r="E201" s="1" t="s">
        <v>9</v>
      </c>
      <c r="F201" s="5">
        <v>0</v>
      </c>
      <c r="G201" s="5">
        <v>4553.5200000000004</v>
      </c>
      <c r="H201" s="5">
        <v>4553.5200000000004</v>
      </c>
    </row>
    <row r="202" spans="1:8" x14ac:dyDescent="0.25">
      <c r="A202" s="1">
        <v>63200</v>
      </c>
      <c r="B202" s="1">
        <v>1</v>
      </c>
      <c r="C202" s="1" t="s">
        <v>119</v>
      </c>
      <c r="D202" s="1" t="s">
        <v>56</v>
      </c>
      <c r="E202" s="1" t="s">
        <v>9</v>
      </c>
      <c r="F202" s="5">
        <v>0</v>
      </c>
      <c r="G202" s="5">
        <v>2192.58</v>
      </c>
      <c r="H202" s="5">
        <v>2192.58</v>
      </c>
    </row>
    <row r="203" spans="1:8" x14ac:dyDescent="0.25">
      <c r="A203" s="1">
        <v>64000</v>
      </c>
      <c r="B203" s="1">
        <v>1</v>
      </c>
      <c r="C203" s="1" t="s">
        <v>120</v>
      </c>
      <c r="D203" s="1" t="s">
        <v>56</v>
      </c>
      <c r="E203" s="1" t="s">
        <v>9</v>
      </c>
      <c r="F203" s="5">
        <v>0</v>
      </c>
      <c r="G203" s="5">
        <v>2359.14</v>
      </c>
      <c r="H203" s="5">
        <v>2359.14</v>
      </c>
    </row>
    <row r="204" spans="1:8" x14ac:dyDescent="0.25">
      <c r="A204" s="1">
        <v>64000</v>
      </c>
      <c r="B204" s="1">
        <v>2</v>
      </c>
      <c r="C204" s="1" t="s">
        <v>120</v>
      </c>
      <c r="D204" s="1" t="s">
        <v>56</v>
      </c>
      <c r="E204" s="1" t="s">
        <v>9</v>
      </c>
      <c r="F204" s="5">
        <v>0</v>
      </c>
      <c r="G204" s="5">
        <v>1393.38</v>
      </c>
      <c r="H204" s="5">
        <v>1393.38</v>
      </c>
    </row>
    <row r="205" spans="1:8" x14ac:dyDescent="0.25">
      <c r="A205" s="1">
        <v>65000</v>
      </c>
      <c r="B205" s="1">
        <v>1</v>
      </c>
      <c r="C205" s="1" t="s">
        <v>121</v>
      </c>
      <c r="D205" s="1" t="s">
        <v>56</v>
      </c>
      <c r="E205" s="1" t="s">
        <v>9</v>
      </c>
      <c r="F205" s="5">
        <v>0</v>
      </c>
      <c r="G205" s="5">
        <v>75616.62</v>
      </c>
      <c r="H205" s="5">
        <v>75616.62</v>
      </c>
    </row>
    <row r="206" spans="1:8" x14ac:dyDescent="0.25">
      <c r="A206" s="1">
        <v>65000</v>
      </c>
      <c r="B206" s="1">
        <v>2</v>
      </c>
      <c r="C206" s="1" t="s">
        <v>121</v>
      </c>
      <c r="D206" s="1" t="s">
        <v>56</v>
      </c>
      <c r="E206" s="1" t="s">
        <v>9</v>
      </c>
      <c r="F206" s="5">
        <v>0</v>
      </c>
      <c r="G206" s="5">
        <v>61340.06</v>
      </c>
      <c r="H206" s="5">
        <v>61340.06</v>
      </c>
    </row>
    <row r="207" spans="1:8" x14ac:dyDescent="0.25">
      <c r="A207" s="1">
        <v>65000</v>
      </c>
      <c r="B207" s="1">
        <v>50</v>
      </c>
      <c r="C207" s="1" t="s">
        <v>121</v>
      </c>
      <c r="D207" s="1" t="s">
        <v>56</v>
      </c>
      <c r="E207" s="1" t="s">
        <v>9</v>
      </c>
      <c r="F207" s="5">
        <v>0</v>
      </c>
      <c r="G207" s="5">
        <v>20148.8</v>
      </c>
      <c r="H207" s="5">
        <v>20148.8</v>
      </c>
    </row>
    <row r="208" spans="1:8" x14ac:dyDescent="0.25">
      <c r="A208" s="1">
        <v>66000</v>
      </c>
      <c r="B208" s="1">
        <v>99</v>
      </c>
      <c r="C208" s="1" t="s">
        <v>122</v>
      </c>
      <c r="D208" s="1" t="s">
        <v>56</v>
      </c>
      <c r="E208" s="1" t="s">
        <v>9</v>
      </c>
      <c r="F208" s="5">
        <v>0</v>
      </c>
      <c r="G208" s="5">
        <v>1531.79</v>
      </c>
      <c r="H208" s="5">
        <v>1531.79</v>
      </c>
    </row>
    <row r="209" spans="1:8" x14ac:dyDescent="0.25">
      <c r="A209" s="1">
        <v>66100</v>
      </c>
      <c r="B209" s="1">
        <v>99</v>
      </c>
      <c r="C209" s="1" t="s">
        <v>123</v>
      </c>
      <c r="D209" s="1" t="s">
        <v>56</v>
      </c>
      <c r="E209" s="1" t="s">
        <v>9</v>
      </c>
      <c r="F209" s="5">
        <v>0</v>
      </c>
      <c r="G209" s="5">
        <v>0</v>
      </c>
      <c r="H209" s="5">
        <v>0</v>
      </c>
    </row>
    <row r="210" spans="1:8" x14ac:dyDescent="0.25">
      <c r="A210" s="1">
        <v>66200</v>
      </c>
      <c r="B210" s="1">
        <v>9</v>
      </c>
      <c r="C210" s="1" t="s">
        <v>124</v>
      </c>
      <c r="D210" s="1" t="s">
        <v>56</v>
      </c>
      <c r="E210" s="1" t="s">
        <v>9</v>
      </c>
      <c r="F210" s="5">
        <v>0</v>
      </c>
      <c r="G210" s="5">
        <v>0</v>
      </c>
      <c r="H210" s="5">
        <v>0</v>
      </c>
    </row>
    <row r="211" spans="1:8" x14ac:dyDescent="0.25">
      <c r="A211" s="1">
        <v>66200</v>
      </c>
      <c r="B211" s="1">
        <v>99</v>
      </c>
      <c r="C211" s="1" t="s">
        <v>124</v>
      </c>
      <c r="D211" s="1" t="s">
        <v>56</v>
      </c>
      <c r="E211" s="1" t="s">
        <v>9</v>
      </c>
      <c r="F211" s="5">
        <v>0</v>
      </c>
      <c r="G211" s="5">
        <v>7990.61</v>
      </c>
      <c r="H211" s="5">
        <v>7990.61</v>
      </c>
    </row>
    <row r="212" spans="1:8" x14ac:dyDescent="0.25">
      <c r="A212" s="1">
        <v>66240</v>
      </c>
      <c r="B212" s="1">
        <v>99</v>
      </c>
      <c r="C212" s="1" t="s">
        <v>125</v>
      </c>
      <c r="D212" s="1" t="s">
        <v>56</v>
      </c>
      <c r="E212" s="1" t="s">
        <v>125</v>
      </c>
      <c r="F212" s="5">
        <v>0</v>
      </c>
      <c r="G212" s="5">
        <v>17884.740000000002</v>
      </c>
      <c r="H212" s="5">
        <v>17884.740000000002</v>
      </c>
    </row>
    <row r="213" spans="1:8" x14ac:dyDescent="0.25">
      <c r="A213" s="1">
        <v>66300</v>
      </c>
      <c r="B213" s="1">
        <v>1</v>
      </c>
      <c r="C213" s="1" t="s">
        <v>126</v>
      </c>
      <c r="D213" s="1" t="s">
        <v>56</v>
      </c>
      <c r="E213" s="1" t="s">
        <v>9</v>
      </c>
      <c r="F213" s="5">
        <v>0</v>
      </c>
      <c r="G213" s="5">
        <v>8564.49</v>
      </c>
      <c r="H213" s="5">
        <v>8564.49</v>
      </c>
    </row>
    <row r="214" spans="1:8" x14ac:dyDescent="0.25">
      <c r="A214" s="1">
        <v>66300</v>
      </c>
      <c r="B214" s="1">
        <v>2</v>
      </c>
      <c r="C214" s="1" t="s">
        <v>126</v>
      </c>
      <c r="D214" s="1" t="s">
        <v>56</v>
      </c>
      <c r="E214" s="1" t="s">
        <v>9</v>
      </c>
      <c r="F214" s="5">
        <v>0</v>
      </c>
      <c r="G214" s="5">
        <v>5788.65</v>
      </c>
      <c r="H214" s="5">
        <v>5788.65</v>
      </c>
    </row>
    <row r="215" spans="1:8" x14ac:dyDescent="0.25">
      <c r="A215" s="1">
        <v>66300</v>
      </c>
      <c r="B215" s="1">
        <v>50</v>
      </c>
      <c r="C215" s="1" t="s">
        <v>126</v>
      </c>
      <c r="D215" s="1" t="s">
        <v>56</v>
      </c>
      <c r="E215" s="1" t="s">
        <v>9</v>
      </c>
      <c r="F215" s="5">
        <v>0</v>
      </c>
      <c r="G215" s="5">
        <v>1555.09</v>
      </c>
      <c r="H215" s="5">
        <v>1555.09</v>
      </c>
    </row>
    <row r="216" spans="1:8" x14ac:dyDescent="0.25">
      <c r="A216" s="1">
        <v>66300</v>
      </c>
      <c r="B216" s="1">
        <v>99</v>
      </c>
      <c r="C216" s="1" t="s">
        <v>126</v>
      </c>
      <c r="D216" s="1" t="s">
        <v>56</v>
      </c>
      <c r="E216" s="1" t="s">
        <v>9</v>
      </c>
      <c r="F216" s="5">
        <v>0</v>
      </c>
      <c r="G216" s="5">
        <v>0</v>
      </c>
      <c r="H216" s="5">
        <v>0</v>
      </c>
    </row>
    <row r="217" spans="1:8" x14ac:dyDescent="0.25">
      <c r="A217" s="1">
        <v>66400</v>
      </c>
      <c r="B217" s="1">
        <v>99</v>
      </c>
      <c r="C217" s="1" t="s">
        <v>127</v>
      </c>
      <c r="D217" s="1" t="s">
        <v>56</v>
      </c>
      <c r="E217" s="1" t="s">
        <v>9</v>
      </c>
      <c r="F217" s="5">
        <v>0</v>
      </c>
      <c r="G217" s="5">
        <v>0</v>
      </c>
      <c r="H217" s="5">
        <v>0</v>
      </c>
    </row>
    <row r="218" spans="1:8" x14ac:dyDescent="0.25">
      <c r="A218" s="1">
        <v>66500</v>
      </c>
      <c r="B218" s="1">
        <v>1</v>
      </c>
      <c r="C218" s="1" t="s">
        <v>128</v>
      </c>
      <c r="D218" s="1" t="s">
        <v>56</v>
      </c>
      <c r="E218" s="1" t="s">
        <v>9</v>
      </c>
      <c r="F218" s="5">
        <v>0</v>
      </c>
      <c r="G218" s="5">
        <v>91.2</v>
      </c>
      <c r="H218" s="5">
        <v>91.2</v>
      </c>
    </row>
    <row r="219" spans="1:8" x14ac:dyDescent="0.25">
      <c r="A219" s="1">
        <v>66500</v>
      </c>
      <c r="B219" s="1">
        <v>2</v>
      </c>
      <c r="C219" s="1" t="s">
        <v>128</v>
      </c>
      <c r="D219" s="1" t="s">
        <v>56</v>
      </c>
      <c r="E219" s="1" t="s">
        <v>9</v>
      </c>
      <c r="F219" s="5">
        <v>0</v>
      </c>
      <c r="G219" s="5">
        <v>86.69</v>
      </c>
      <c r="H219" s="5">
        <v>86.69</v>
      </c>
    </row>
    <row r="220" spans="1:8" x14ac:dyDescent="0.25">
      <c r="A220" s="1">
        <v>66500</v>
      </c>
      <c r="B220" s="1">
        <v>99</v>
      </c>
      <c r="C220" s="1" t="s">
        <v>128</v>
      </c>
      <c r="D220" s="1" t="s">
        <v>56</v>
      </c>
      <c r="E220" s="1" t="s">
        <v>9</v>
      </c>
      <c r="F220" s="5">
        <v>0</v>
      </c>
      <c r="G220" s="5">
        <v>1356.22</v>
      </c>
      <c r="H220" s="5">
        <v>1356.22</v>
      </c>
    </row>
    <row r="221" spans="1:8" x14ac:dyDescent="0.25">
      <c r="A221" s="1">
        <v>66510</v>
      </c>
      <c r="B221" s="1">
        <v>99</v>
      </c>
      <c r="C221" s="1" t="s">
        <v>129</v>
      </c>
      <c r="D221" s="1" t="s">
        <v>56</v>
      </c>
      <c r="E221" s="1" t="s">
        <v>9</v>
      </c>
      <c r="F221" s="5">
        <v>0</v>
      </c>
      <c r="G221" s="5">
        <v>1000</v>
      </c>
      <c r="H221" s="5">
        <v>1000</v>
      </c>
    </row>
    <row r="222" spans="1:8" x14ac:dyDescent="0.25">
      <c r="A222" s="1">
        <v>66700</v>
      </c>
      <c r="B222" s="1">
        <v>99</v>
      </c>
      <c r="C222" s="1" t="s">
        <v>130</v>
      </c>
      <c r="D222" s="1" t="s">
        <v>56</v>
      </c>
      <c r="E222" s="1" t="s">
        <v>9</v>
      </c>
      <c r="F222" s="5">
        <v>0</v>
      </c>
      <c r="G222" s="5">
        <v>6163.68</v>
      </c>
      <c r="H222" s="5">
        <v>6163.68</v>
      </c>
    </row>
    <row r="223" spans="1:8" x14ac:dyDescent="0.25">
      <c r="A223" s="1">
        <v>66800</v>
      </c>
      <c r="B223" s="1">
        <v>1</v>
      </c>
      <c r="C223" s="1" t="s">
        <v>131</v>
      </c>
      <c r="D223" s="1" t="s">
        <v>56</v>
      </c>
      <c r="E223" s="1" t="s">
        <v>9</v>
      </c>
      <c r="F223" s="5">
        <v>0</v>
      </c>
      <c r="G223" s="5">
        <v>15203.94</v>
      </c>
      <c r="H223" s="5">
        <v>15203.94</v>
      </c>
    </row>
    <row r="224" spans="1:8" x14ac:dyDescent="0.25">
      <c r="A224" s="1">
        <v>66800</v>
      </c>
      <c r="B224" s="1">
        <v>2</v>
      </c>
      <c r="C224" s="1" t="s">
        <v>131</v>
      </c>
      <c r="D224" s="1" t="s">
        <v>56</v>
      </c>
      <c r="E224" s="1" t="s">
        <v>9</v>
      </c>
      <c r="F224" s="5">
        <v>0</v>
      </c>
      <c r="G224" s="5">
        <v>12139.32</v>
      </c>
      <c r="H224" s="5">
        <v>12139.32</v>
      </c>
    </row>
    <row r="225" spans="1:8" x14ac:dyDescent="0.25">
      <c r="A225" s="1">
        <v>66800</v>
      </c>
      <c r="B225" s="1">
        <v>50</v>
      </c>
      <c r="C225" s="1" t="s">
        <v>131</v>
      </c>
      <c r="D225" s="1" t="s">
        <v>56</v>
      </c>
      <c r="E225" s="1" t="s">
        <v>9</v>
      </c>
      <c r="F225" s="5">
        <v>0</v>
      </c>
      <c r="G225" s="5">
        <v>3062.76</v>
      </c>
      <c r="H225" s="5">
        <v>3062.76</v>
      </c>
    </row>
    <row r="226" spans="1:8" x14ac:dyDescent="0.25">
      <c r="A226" s="1">
        <v>66900</v>
      </c>
      <c r="B226" s="1">
        <v>2</v>
      </c>
      <c r="C226" s="1" t="s">
        <v>132</v>
      </c>
      <c r="D226" s="1" t="s">
        <v>56</v>
      </c>
      <c r="E226" s="1" t="s">
        <v>9</v>
      </c>
      <c r="F226" s="5">
        <v>0</v>
      </c>
      <c r="G226" s="5">
        <v>745.5</v>
      </c>
      <c r="H226" s="5">
        <v>745.5</v>
      </c>
    </row>
    <row r="227" spans="1:8" x14ac:dyDescent="0.25">
      <c r="A227" s="1">
        <v>66900</v>
      </c>
      <c r="B227" s="1">
        <v>99</v>
      </c>
      <c r="C227" s="1" t="s">
        <v>132</v>
      </c>
      <c r="D227" s="1" t="s">
        <v>56</v>
      </c>
      <c r="E227" s="1" t="s">
        <v>9</v>
      </c>
      <c r="F227" s="5">
        <v>0</v>
      </c>
      <c r="G227" s="5">
        <v>12477.3</v>
      </c>
      <c r="H227" s="5">
        <v>12477.3</v>
      </c>
    </row>
    <row r="228" spans="1:8" x14ac:dyDescent="0.25">
      <c r="A228" s="1">
        <v>67000</v>
      </c>
      <c r="B228" s="1">
        <v>1</v>
      </c>
      <c r="C228" s="1" t="s">
        <v>133</v>
      </c>
      <c r="D228" s="1" t="s">
        <v>56</v>
      </c>
      <c r="E228" s="1" t="s">
        <v>9</v>
      </c>
      <c r="F228" s="5">
        <v>0</v>
      </c>
      <c r="G228" s="5">
        <v>106.12</v>
      </c>
      <c r="H228" s="5">
        <v>106.12</v>
      </c>
    </row>
    <row r="229" spans="1:8" x14ac:dyDescent="0.25">
      <c r="A229" s="1">
        <v>67000</v>
      </c>
      <c r="B229" s="1">
        <v>99</v>
      </c>
      <c r="C229" s="1" t="s">
        <v>133</v>
      </c>
      <c r="D229" s="1" t="s">
        <v>56</v>
      </c>
      <c r="E229" s="1" t="s">
        <v>9</v>
      </c>
      <c r="F229" s="5">
        <v>0</v>
      </c>
      <c r="G229" s="5">
        <v>55843.57</v>
      </c>
      <c r="H229" s="5">
        <v>55843.57</v>
      </c>
    </row>
    <row r="230" spans="1:8" x14ac:dyDescent="0.25">
      <c r="A230" s="1">
        <v>67100</v>
      </c>
      <c r="B230" s="1">
        <v>1</v>
      </c>
      <c r="C230" s="1" t="s">
        <v>134</v>
      </c>
      <c r="D230" s="1" t="s">
        <v>56</v>
      </c>
      <c r="E230" s="1" t="s">
        <v>9</v>
      </c>
      <c r="F230" s="5">
        <v>0</v>
      </c>
      <c r="G230" s="5">
        <v>180</v>
      </c>
      <c r="H230" s="5">
        <v>180</v>
      </c>
    </row>
    <row r="231" spans="1:8" x14ac:dyDescent="0.25">
      <c r="A231" s="1">
        <v>67100</v>
      </c>
      <c r="B231" s="1">
        <v>99</v>
      </c>
      <c r="C231" s="1" t="s">
        <v>134</v>
      </c>
      <c r="D231" s="1" t="s">
        <v>56</v>
      </c>
      <c r="E231" s="1" t="s">
        <v>9</v>
      </c>
      <c r="F231" s="5">
        <v>0</v>
      </c>
      <c r="G231" s="5">
        <v>55</v>
      </c>
      <c r="H231" s="5">
        <v>55</v>
      </c>
    </row>
    <row r="232" spans="1:8" x14ac:dyDescent="0.25">
      <c r="A232" s="1">
        <v>67200</v>
      </c>
      <c r="B232" s="1">
        <v>1</v>
      </c>
      <c r="C232" s="1" t="s">
        <v>135</v>
      </c>
      <c r="D232" s="1" t="s">
        <v>56</v>
      </c>
      <c r="E232" s="1" t="s">
        <v>9</v>
      </c>
      <c r="F232" s="5">
        <v>0</v>
      </c>
      <c r="G232" s="5">
        <v>2140.83</v>
      </c>
      <c r="H232" s="5">
        <v>2140.83</v>
      </c>
    </row>
    <row r="233" spans="1:8" x14ac:dyDescent="0.25">
      <c r="A233" s="1">
        <v>67200</v>
      </c>
      <c r="B233" s="1">
        <v>2</v>
      </c>
      <c r="C233" s="1" t="s">
        <v>135</v>
      </c>
      <c r="D233" s="1" t="s">
        <v>56</v>
      </c>
      <c r="E233" s="1" t="s">
        <v>9</v>
      </c>
      <c r="F233" s="5">
        <v>0</v>
      </c>
      <c r="G233" s="5">
        <v>2458</v>
      </c>
      <c r="H233" s="5">
        <v>2458</v>
      </c>
    </row>
    <row r="234" spans="1:8" x14ac:dyDescent="0.25">
      <c r="A234" s="1">
        <v>67200</v>
      </c>
      <c r="B234" s="1">
        <v>99</v>
      </c>
      <c r="C234" s="1" t="s">
        <v>135</v>
      </c>
      <c r="D234" s="1" t="s">
        <v>56</v>
      </c>
      <c r="E234" s="1" t="s">
        <v>9</v>
      </c>
      <c r="F234" s="5">
        <v>0</v>
      </c>
      <c r="G234" s="5">
        <v>2497.08</v>
      </c>
      <c r="H234" s="5">
        <v>2497.08</v>
      </c>
    </row>
    <row r="235" spans="1:8" x14ac:dyDescent="0.25">
      <c r="A235" s="1">
        <v>67300</v>
      </c>
      <c r="B235" s="1">
        <v>2</v>
      </c>
      <c r="C235" s="1" t="s">
        <v>136</v>
      </c>
      <c r="D235" s="1" t="s">
        <v>56</v>
      </c>
      <c r="E235" s="1" t="s">
        <v>9</v>
      </c>
      <c r="F235" s="5">
        <v>0</v>
      </c>
      <c r="G235" s="5">
        <v>368.06</v>
      </c>
      <c r="H235" s="5">
        <v>368.06</v>
      </c>
    </row>
    <row r="236" spans="1:8" x14ac:dyDescent="0.25">
      <c r="A236" s="1">
        <v>67300</v>
      </c>
      <c r="B236" s="1">
        <v>99</v>
      </c>
      <c r="C236" s="1" t="s">
        <v>136</v>
      </c>
      <c r="D236" s="1" t="s">
        <v>56</v>
      </c>
      <c r="E236" s="1" t="s">
        <v>9</v>
      </c>
      <c r="F236" s="5">
        <v>0</v>
      </c>
      <c r="G236" s="5">
        <v>1371.44</v>
      </c>
      <c r="H236" s="5">
        <v>1371.44</v>
      </c>
    </row>
    <row r="237" spans="1:8" x14ac:dyDescent="0.25">
      <c r="A237" s="1">
        <v>67340</v>
      </c>
      <c r="B237" s="1">
        <v>99</v>
      </c>
      <c r="C237" s="1" t="s">
        <v>137</v>
      </c>
      <c r="D237" s="1" t="s">
        <v>56</v>
      </c>
      <c r="E237" s="1" t="s">
        <v>137</v>
      </c>
      <c r="F237" s="5">
        <v>0</v>
      </c>
      <c r="G237" s="5">
        <v>62136.25</v>
      </c>
      <c r="H237" s="5">
        <v>62136.25</v>
      </c>
    </row>
    <row r="238" spans="1:8" x14ac:dyDescent="0.25">
      <c r="A238" s="1">
        <v>67400</v>
      </c>
      <c r="B238" s="1">
        <v>2</v>
      </c>
      <c r="C238" s="1" t="s">
        <v>138</v>
      </c>
      <c r="D238" s="1" t="s">
        <v>56</v>
      </c>
      <c r="E238" s="1" t="s">
        <v>9</v>
      </c>
      <c r="F238" s="5">
        <v>0</v>
      </c>
      <c r="G238" s="5">
        <v>36469.85</v>
      </c>
      <c r="H238" s="5">
        <v>36469.85</v>
      </c>
    </row>
    <row r="239" spans="1:8" x14ac:dyDescent="0.25">
      <c r="A239" s="1">
        <v>67400</v>
      </c>
      <c r="B239" s="1">
        <v>99</v>
      </c>
      <c r="C239" s="1" t="s">
        <v>138</v>
      </c>
      <c r="D239" s="1" t="s">
        <v>56</v>
      </c>
      <c r="E239" s="1" t="s">
        <v>9</v>
      </c>
      <c r="F239" s="5">
        <v>0</v>
      </c>
      <c r="G239" s="5">
        <v>101065.75</v>
      </c>
      <c r="H239" s="5">
        <v>101065.75</v>
      </c>
    </row>
    <row r="240" spans="1:8" x14ac:dyDescent="0.25">
      <c r="A240" s="1">
        <v>67410</v>
      </c>
      <c r="B240" s="1">
        <v>99</v>
      </c>
      <c r="C240" s="1" t="s">
        <v>139</v>
      </c>
      <c r="D240" s="1" t="s">
        <v>56</v>
      </c>
      <c r="E240" s="1" t="s">
        <v>9</v>
      </c>
      <c r="F240" s="5">
        <v>0</v>
      </c>
      <c r="G240" s="5">
        <v>276.45</v>
      </c>
      <c r="H240" s="5">
        <v>276.45</v>
      </c>
    </row>
    <row r="241" spans="1:8" x14ac:dyDescent="0.25">
      <c r="A241" s="1">
        <v>67420</v>
      </c>
      <c r="B241" s="1">
        <v>99</v>
      </c>
      <c r="C241" s="1" t="s">
        <v>140</v>
      </c>
      <c r="D241" s="1" t="s">
        <v>56</v>
      </c>
      <c r="E241" s="1" t="s">
        <v>9</v>
      </c>
      <c r="F241" s="5">
        <v>0</v>
      </c>
      <c r="G241" s="5">
        <v>7778.73</v>
      </c>
      <c r="H241" s="5">
        <v>7778.73</v>
      </c>
    </row>
    <row r="242" spans="1:8" x14ac:dyDescent="0.25">
      <c r="A242" s="1">
        <v>67430</v>
      </c>
      <c r="B242" s="1">
        <v>99</v>
      </c>
      <c r="C242" s="1" t="s">
        <v>141</v>
      </c>
      <c r="D242" s="1" t="s">
        <v>56</v>
      </c>
      <c r="E242" s="1" t="s">
        <v>9</v>
      </c>
      <c r="F242" s="5">
        <v>0</v>
      </c>
      <c r="G242" s="5">
        <v>2582.4</v>
      </c>
      <c r="H242" s="5">
        <v>2582.4</v>
      </c>
    </row>
    <row r="243" spans="1:8" x14ac:dyDescent="0.25">
      <c r="A243" s="1">
        <v>67500</v>
      </c>
      <c r="B243" s="1">
        <v>99</v>
      </c>
      <c r="C243" s="1" t="s">
        <v>142</v>
      </c>
      <c r="D243" s="1" t="s">
        <v>56</v>
      </c>
      <c r="E243" s="1" t="s">
        <v>9</v>
      </c>
      <c r="F243" s="5">
        <v>0</v>
      </c>
      <c r="G243" s="5">
        <v>65997.58</v>
      </c>
      <c r="H243" s="5">
        <v>65997.58</v>
      </c>
    </row>
    <row r="244" spans="1:8" x14ac:dyDescent="0.25">
      <c r="A244" s="1">
        <v>67700</v>
      </c>
      <c r="B244" s="1">
        <v>1</v>
      </c>
      <c r="C244" s="1" t="s">
        <v>143</v>
      </c>
      <c r="D244" s="1" t="s">
        <v>56</v>
      </c>
      <c r="E244" s="1" t="s">
        <v>9</v>
      </c>
      <c r="F244" s="5">
        <v>0</v>
      </c>
      <c r="G244" s="5">
        <v>22599.55</v>
      </c>
      <c r="H244" s="5">
        <v>22599.55</v>
      </c>
    </row>
    <row r="245" spans="1:8" x14ac:dyDescent="0.25">
      <c r="A245" s="1">
        <v>67700</v>
      </c>
      <c r="B245" s="1">
        <v>2</v>
      </c>
      <c r="C245" s="1" t="s">
        <v>143</v>
      </c>
      <c r="D245" s="1" t="s">
        <v>56</v>
      </c>
      <c r="E245" s="1" t="s">
        <v>9</v>
      </c>
      <c r="F245" s="5">
        <v>0</v>
      </c>
      <c r="G245" s="5">
        <v>16687.55</v>
      </c>
      <c r="H245" s="5">
        <v>16687.55</v>
      </c>
    </row>
    <row r="246" spans="1:8" x14ac:dyDescent="0.25">
      <c r="A246" s="1">
        <v>67700</v>
      </c>
      <c r="B246" s="1">
        <v>50</v>
      </c>
      <c r="C246" s="1" t="s">
        <v>143</v>
      </c>
      <c r="D246" s="1" t="s">
        <v>56</v>
      </c>
      <c r="E246" s="1" t="s">
        <v>9</v>
      </c>
      <c r="F246" s="5">
        <v>0</v>
      </c>
      <c r="G246" s="5">
        <v>13052.14</v>
      </c>
      <c r="H246" s="5">
        <v>13052.14</v>
      </c>
    </row>
    <row r="247" spans="1:8" x14ac:dyDescent="0.25">
      <c r="A247" s="1">
        <v>67700</v>
      </c>
      <c r="B247" s="1">
        <v>99</v>
      </c>
      <c r="C247" s="1" t="s">
        <v>143</v>
      </c>
      <c r="D247" s="1" t="s">
        <v>56</v>
      </c>
      <c r="E247" s="1" t="s">
        <v>9</v>
      </c>
      <c r="F247" s="5">
        <v>0</v>
      </c>
      <c r="G247" s="5">
        <v>-14250.33</v>
      </c>
      <c r="H247" s="5">
        <v>-14250.33</v>
      </c>
    </row>
    <row r="248" spans="1:8" x14ac:dyDescent="0.25">
      <c r="A248" s="1">
        <v>67900</v>
      </c>
      <c r="B248" s="1">
        <v>1</v>
      </c>
      <c r="C248" s="1" t="s">
        <v>144</v>
      </c>
      <c r="D248" s="1" t="s">
        <v>56</v>
      </c>
      <c r="E248" s="1" t="s">
        <v>9</v>
      </c>
      <c r="F248" s="5">
        <v>0</v>
      </c>
      <c r="G248" s="5">
        <v>4328.92</v>
      </c>
      <c r="H248" s="5">
        <v>4328.92</v>
      </c>
    </row>
    <row r="249" spans="1:8" x14ac:dyDescent="0.25">
      <c r="A249" s="1">
        <v>67900</v>
      </c>
      <c r="B249" s="1">
        <v>2</v>
      </c>
      <c r="C249" s="1" t="s">
        <v>144</v>
      </c>
      <c r="D249" s="1" t="s">
        <v>56</v>
      </c>
      <c r="E249" s="1" t="s">
        <v>9</v>
      </c>
      <c r="F249" s="5">
        <v>0</v>
      </c>
      <c r="G249" s="5">
        <v>2531.6</v>
      </c>
      <c r="H249" s="5">
        <v>2531.6</v>
      </c>
    </row>
    <row r="250" spans="1:8" x14ac:dyDescent="0.25">
      <c r="A250" s="1">
        <v>67900</v>
      </c>
      <c r="B250" s="1">
        <v>50</v>
      </c>
      <c r="C250" s="1" t="s">
        <v>144</v>
      </c>
      <c r="D250" s="1" t="s">
        <v>56</v>
      </c>
      <c r="E250" s="1" t="s">
        <v>9</v>
      </c>
      <c r="F250" s="5">
        <v>0</v>
      </c>
      <c r="G250" s="5">
        <v>282.95999999999998</v>
      </c>
      <c r="H250" s="5">
        <v>282.95999999999998</v>
      </c>
    </row>
    <row r="251" spans="1:8" x14ac:dyDescent="0.25">
      <c r="A251" s="1">
        <v>67900</v>
      </c>
      <c r="B251" s="1">
        <v>99</v>
      </c>
      <c r="C251" s="1" t="s">
        <v>144</v>
      </c>
      <c r="D251" s="1" t="s">
        <v>56</v>
      </c>
      <c r="E251" s="1" t="s">
        <v>9</v>
      </c>
      <c r="F251" s="5">
        <v>0</v>
      </c>
      <c r="G251" s="5">
        <v>0</v>
      </c>
      <c r="H251" s="5">
        <v>0</v>
      </c>
    </row>
    <row r="252" spans="1:8" x14ac:dyDescent="0.25">
      <c r="A252" s="1">
        <v>68000</v>
      </c>
      <c r="B252" s="1">
        <v>1</v>
      </c>
      <c r="C252" s="1" t="s">
        <v>145</v>
      </c>
      <c r="D252" s="1" t="s">
        <v>56</v>
      </c>
      <c r="E252" s="1" t="s">
        <v>9</v>
      </c>
      <c r="F252" s="5">
        <v>0</v>
      </c>
      <c r="G252" s="5">
        <v>8121.82</v>
      </c>
      <c r="H252" s="5">
        <v>8121.82</v>
      </c>
    </row>
    <row r="253" spans="1:8" x14ac:dyDescent="0.25">
      <c r="A253" s="1">
        <v>68000</v>
      </c>
      <c r="B253" s="1">
        <v>2</v>
      </c>
      <c r="C253" s="1" t="s">
        <v>145</v>
      </c>
      <c r="D253" s="1" t="s">
        <v>56</v>
      </c>
      <c r="E253" s="1" t="s">
        <v>9</v>
      </c>
      <c r="F253" s="5">
        <v>0</v>
      </c>
      <c r="G253" s="5">
        <v>12481.92</v>
      </c>
      <c r="H253" s="5">
        <v>12481.92</v>
      </c>
    </row>
    <row r="254" spans="1:8" x14ac:dyDescent="0.25">
      <c r="A254" s="1">
        <v>68000</v>
      </c>
      <c r="B254" s="1">
        <v>50</v>
      </c>
      <c r="C254" s="1" t="s">
        <v>145</v>
      </c>
      <c r="D254" s="1" t="s">
        <v>56</v>
      </c>
      <c r="E254" s="1" t="s">
        <v>9</v>
      </c>
      <c r="F254" s="5">
        <v>0</v>
      </c>
      <c r="G254" s="5">
        <v>4350.55</v>
      </c>
      <c r="H254" s="5">
        <v>4350.55</v>
      </c>
    </row>
    <row r="255" spans="1:8" x14ac:dyDescent="0.25">
      <c r="A255" s="1">
        <v>68000</v>
      </c>
      <c r="B255" s="1">
        <v>99</v>
      </c>
      <c r="C255" s="1" t="s">
        <v>145</v>
      </c>
      <c r="D255" s="1" t="s">
        <v>56</v>
      </c>
      <c r="E255" s="1" t="s">
        <v>9</v>
      </c>
      <c r="F255" s="5">
        <v>0</v>
      </c>
      <c r="G255" s="5">
        <v>-3.6</v>
      </c>
      <c r="H255" s="5">
        <v>-3.6</v>
      </c>
    </row>
    <row r="256" spans="1:8" x14ac:dyDescent="0.25">
      <c r="A256" s="1">
        <v>68100</v>
      </c>
      <c r="B256" s="1">
        <v>99</v>
      </c>
      <c r="C256" s="1" t="s">
        <v>146</v>
      </c>
      <c r="D256" s="1" t="s">
        <v>56</v>
      </c>
      <c r="E256" s="1" t="s">
        <v>9</v>
      </c>
      <c r="F256" s="5">
        <v>0</v>
      </c>
      <c r="G256" s="5">
        <v>18440.12</v>
      </c>
      <c r="H256" s="5">
        <v>18440.12</v>
      </c>
    </row>
    <row r="257" spans="1:8" x14ac:dyDescent="0.25">
      <c r="A257" s="1">
        <v>68500</v>
      </c>
      <c r="B257" s="1">
        <v>99</v>
      </c>
      <c r="C257" s="1" t="s">
        <v>147</v>
      </c>
      <c r="D257" s="1" t="s">
        <v>56</v>
      </c>
      <c r="E257" s="1" t="s">
        <v>9</v>
      </c>
      <c r="F257" s="5">
        <v>0</v>
      </c>
      <c r="G257" s="5">
        <v>532.30999999999995</v>
      </c>
      <c r="H257" s="5">
        <v>532.30999999999995</v>
      </c>
    </row>
    <row r="258" spans="1:8" x14ac:dyDescent="0.25">
      <c r="A258" s="1">
        <v>68600</v>
      </c>
      <c r="B258" s="1">
        <v>99</v>
      </c>
      <c r="C258" s="1" t="s">
        <v>148</v>
      </c>
      <c r="D258" s="1" t="s">
        <v>56</v>
      </c>
      <c r="E258" s="1" t="s">
        <v>9</v>
      </c>
      <c r="F258" s="5">
        <v>0</v>
      </c>
      <c r="G258" s="5">
        <v>378</v>
      </c>
      <c r="H258" s="5">
        <v>378</v>
      </c>
    </row>
    <row r="259" spans="1:8" x14ac:dyDescent="0.25">
      <c r="A259" s="1">
        <v>68700</v>
      </c>
      <c r="B259" s="1">
        <v>99</v>
      </c>
      <c r="C259" s="1" t="s">
        <v>149</v>
      </c>
      <c r="D259" s="1" t="s">
        <v>56</v>
      </c>
      <c r="E259" s="1" t="s">
        <v>9</v>
      </c>
      <c r="F259" s="5">
        <v>0</v>
      </c>
      <c r="G259" s="5">
        <v>-255</v>
      </c>
      <c r="H259" s="5">
        <v>-255</v>
      </c>
    </row>
    <row r="260" spans="1:8" x14ac:dyDescent="0.25">
      <c r="A260" s="1">
        <v>69000</v>
      </c>
      <c r="B260" s="1">
        <v>99</v>
      </c>
      <c r="C260" s="1" t="s">
        <v>150</v>
      </c>
      <c r="D260" s="1" t="s">
        <v>56</v>
      </c>
      <c r="E260" s="1" t="s">
        <v>9</v>
      </c>
      <c r="F260" s="5">
        <v>0</v>
      </c>
      <c r="G260" s="5">
        <v>4305</v>
      </c>
      <c r="H260" s="5">
        <v>4305</v>
      </c>
    </row>
    <row r="261" spans="1:8" x14ac:dyDescent="0.25">
      <c r="A261" s="1">
        <v>69500</v>
      </c>
      <c r="B261" s="1">
        <v>2</v>
      </c>
      <c r="C261" s="1" t="s">
        <v>151</v>
      </c>
      <c r="D261" s="1" t="s">
        <v>56</v>
      </c>
      <c r="E261" s="1" t="s">
        <v>151</v>
      </c>
      <c r="F261" s="5">
        <v>0</v>
      </c>
      <c r="G261" s="5">
        <v>971.64</v>
      </c>
      <c r="H261" s="5">
        <v>971.64</v>
      </c>
    </row>
    <row r="262" spans="1:8" x14ac:dyDescent="0.25">
      <c r="A262" s="1">
        <v>69500</v>
      </c>
      <c r="B262" s="1">
        <v>50</v>
      </c>
      <c r="C262" s="1" t="s">
        <v>151</v>
      </c>
      <c r="D262" s="1" t="s">
        <v>56</v>
      </c>
      <c r="E262" s="1" t="s">
        <v>151</v>
      </c>
      <c r="F262" s="5">
        <v>0</v>
      </c>
      <c r="G262" s="5">
        <v>825.31</v>
      </c>
      <c r="H262" s="5">
        <v>825.31</v>
      </c>
    </row>
    <row r="263" spans="1:8" x14ac:dyDescent="0.25">
      <c r="A263" s="1">
        <v>69500</v>
      </c>
      <c r="B263" s="1">
        <v>99</v>
      </c>
      <c r="C263" s="1" t="s">
        <v>151</v>
      </c>
      <c r="D263" s="1" t="s">
        <v>56</v>
      </c>
      <c r="E263" s="1" t="s">
        <v>151</v>
      </c>
      <c r="F263" s="5">
        <v>0</v>
      </c>
      <c r="G263" s="5">
        <v>8041.79</v>
      </c>
      <c r="H263" s="5">
        <v>8041.79</v>
      </c>
    </row>
    <row r="264" spans="1:8" x14ac:dyDescent="0.25">
      <c r="A264" s="1">
        <v>70000</v>
      </c>
      <c r="B264" s="1">
        <v>1</v>
      </c>
      <c r="C264" s="1" t="s">
        <v>152</v>
      </c>
      <c r="D264" s="1" t="s">
        <v>56</v>
      </c>
      <c r="E264" s="1" t="s">
        <v>9</v>
      </c>
      <c r="F264" s="5">
        <v>0</v>
      </c>
      <c r="G264" s="5">
        <v>167.5</v>
      </c>
      <c r="H264" s="5">
        <v>167.5</v>
      </c>
    </row>
    <row r="265" spans="1:8" x14ac:dyDescent="0.25">
      <c r="A265" s="1">
        <v>70000</v>
      </c>
      <c r="B265" s="1">
        <v>2</v>
      </c>
      <c r="C265" s="1" t="s">
        <v>152</v>
      </c>
      <c r="D265" s="1" t="s">
        <v>56</v>
      </c>
      <c r="E265" s="1" t="s">
        <v>9</v>
      </c>
      <c r="F265" s="5">
        <v>0</v>
      </c>
      <c r="G265" s="5">
        <v>4264.91</v>
      </c>
      <c r="H265" s="5">
        <v>4264.91</v>
      </c>
    </row>
    <row r="266" spans="1:8" x14ac:dyDescent="0.25">
      <c r="A266" s="1">
        <v>70000</v>
      </c>
      <c r="B266" s="1">
        <v>50</v>
      </c>
      <c r="C266" s="1" t="s">
        <v>152</v>
      </c>
      <c r="D266" s="1" t="s">
        <v>56</v>
      </c>
      <c r="E266" s="1" t="s">
        <v>9</v>
      </c>
      <c r="F266" s="5">
        <v>0</v>
      </c>
      <c r="G266" s="5">
        <v>51.66</v>
      </c>
      <c r="H266" s="5">
        <v>51.66</v>
      </c>
    </row>
    <row r="267" spans="1:8" x14ac:dyDescent="0.25">
      <c r="A267" s="1">
        <v>70000</v>
      </c>
      <c r="B267" s="1">
        <v>99</v>
      </c>
      <c r="C267" s="1" t="s">
        <v>152</v>
      </c>
      <c r="D267" s="1" t="s">
        <v>56</v>
      </c>
      <c r="E267" s="1" t="s">
        <v>9</v>
      </c>
      <c r="F267" s="5">
        <v>0</v>
      </c>
      <c r="G267" s="5">
        <v>1658.79</v>
      </c>
      <c r="H267" s="5">
        <v>1658.79</v>
      </c>
    </row>
    <row r="268" spans="1:8" x14ac:dyDescent="0.25">
      <c r="A268" s="1">
        <v>71000</v>
      </c>
      <c r="B268" s="1">
        <v>1</v>
      </c>
      <c r="C268" s="1" t="s">
        <v>153</v>
      </c>
      <c r="D268" s="1" t="s">
        <v>56</v>
      </c>
      <c r="E268" s="1" t="s">
        <v>9</v>
      </c>
      <c r="F268" s="5">
        <v>0</v>
      </c>
      <c r="G268" s="5">
        <v>-143148.51999999999</v>
      </c>
      <c r="H268" s="5">
        <v>-143148.51999999999</v>
      </c>
    </row>
    <row r="269" spans="1:8" x14ac:dyDescent="0.25">
      <c r="A269" s="1">
        <v>71000</v>
      </c>
      <c r="B269" s="1">
        <v>2</v>
      </c>
      <c r="C269" s="1" t="s">
        <v>153</v>
      </c>
      <c r="D269" s="1" t="s">
        <v>56</v>
      </c>
      <c r="E269" s="1" t="s">
        <v>9</v>
      </c>
      <c r="F269" s="5">
        <v>0</v>
      </c>
      <c r="G269" s="5">
        <v>-186087.67999999999</v>
      </c>
      <c r="H269" s="5">
        <v>-186087.67999999999</v>
      </c>
    </row>
    <row r="270" spans="1:8" x14ac:dyDescent="0.25">
      <c r="A270" s="1">
        <v>71500</v>
      </c>
      <c r="B270" s="1">
        <v>1</v>
      </c>
      <c r="C270" s="1" t="s">
        <v>154</v>
      </c>
      <c r="D270" s="1" t="s">
        <v>56</v>
      </c>
      <c r="E270" s="1" t="s">
        <v>154</v>
      </c>
      <c r="F270" s="5">
        <v>0</v>
      </c>
      <c r="G270" s="5">
        <v>-2000</v>
      </c>
      <c r="H270" s="5">
        <v>-2000</v>
      </c>
    </row>
    <row r="271" spans="1:8" x14ac:dyDescent="0.25">
      <c r="A271" s="1">
        <v>72000</v>
      </c>
      <c r="B271" s="1">
        <v>1</v>
      </c>
      <c r="C271" s="1" t="s">
        <v>155</v>
      </c>
      <c r="D271" s="1" t="s">
        <v>56</v>
      </c>
      <c r="E271" s="1" t="s">
        <v>9</v>
      </c>
      <c r="F271" s="5">
        <v>0</v>
      </c>
      <c r="G271" s="5">
        <v>125457.9</v>
      </c>
      <c r="H271" s="5">
        <v>125457.9</v>
      </c>
    </row>
    <row r="272" spans="1:8" x14ac:dyDescent="0.25">
      <c r="A272" s="1">
        <v>72000</v>
      </c>
      <c r="B272" s="1">
        <v>2</v>
      </c>
      <c r="C272" s="1" t="s">
        <v>155</v>
      </c>
      <c r="D272" s="1" t="s">
        <v>56</v>
      </c>
      <c r="E272" s="1" t="s">
        <v>9</v>
      </c>
      <c r="F272" s="5">
        <v>0</v>
      </c>
      <c r="G272" s="5">
        <v>145827.64000000001</v>
      </c>
      <c r="H272" s="5">
        <v>145827.64000000001</v>
      </c>
    </row>
    <row r="273" spans="1:8" x14ac:dyDescent="0.25">
      <c r="A273" s="1">
        <v>73000</v>
      </c>
      <c r="B273" s="1">
        <v>1</v>
      </c>
      <c r="C273" s="1" t="s">
        <v>156</v>
      </c>
      <c r="D273" s="1" t="s">
        <v>56</v>
      </c>
      <c r="E273" s="1" t="s">
        <v>9</v>
      </c>
      <c r="F273" s="5">
        <v>0</v>
      </c>
      <c r="G273" s="5">
        <v>3621.48</v>
      </c>
      <c r="H273" s="5">
        <v>3621.48</v>
      </c>
    </row>
    <row r="274" spans="1:8" x14ac:dyDescent="0.25">
      <c r="A274" s="1">
        <v>73000</v>
      </c>
      <c r="B274" s="1">
        <v>2</v>
      </c>
      <c r="C274" s="1" t="s">
        <v>156</v>
      </c>
      <c r="D274" s="1" t="s">
        <v>56</v>
      </c>
      <c r="E274" s="1" t="s">
        <v>9</v>
      </c>
      <c r="F274" s="5">
        <v>0</v>
      </c>
      <c r="G274" s="5">
        <v>1796.47</v>
      </c>
      <c r="H274" s="5">
        <v>1796.47</v>
      </c>
    </row>
    <row r="275" spans="1:8" x14ac:dyDescent="0.25">
      <c r="A275" s="1">
        <v>73000</v>
      </c>
      <c r="B275" s="1">
        <v>99</v>
      </c>
      <c r="C275" s="1" t="s">
        <v>156</v>
      </c>
      <c r="D275" s="1" t="s">
        <v>56</v>
      </c>
      <c r="E275" s="1" t="s">
        <v>9</v>
      </c>
      <c r="F275" s="5">
        <v>0</v>
      </c>
      <c r="G275" s="5">
        <v>34.22</v>
      </c>
      <c r="H275" s="5">
        <v>34.22</v>
      </c>
    </row>
    <row r="276" spans="1:8" x14ac:dyDescent="0.25">
      <c r="A276" s="1">
        <v>74000</v>
      </c>
      <c r="B276" s="1">
        <v>1</v>
      </c>
      <c r="C276" s="1" t="s">
        <v>157</v>
      </c>
      <c r="D276" s="1" t="s">
        <v>56</v>
      </c>
      <c r="E276" s="1" t="s">
        <v>9</v>
      </c>
      <c r="F276" s="5">
        <v>0</v>
      </c>
      <c r="G276" s="5">
        <v>4145.93</v>
      </c>
      <c r="H276" s="5">
        <v>4145.93</v>
      </c>
    </row>
    <row r="277" spans="1:8" x14ac:dyDescent="0.25">
      <c r="A277" s="1">
        <v>74000</v>
      </c>
      <c r="B277" s="1">
        <v>2</v>
      </c>
      <c r="C277" s="1" t="s">
        <v>157</v>
      </c>
      <c r="D277" s="1" t="s">
        <v>56</v>
      </c>
      <c r="E277" s="1" t="s">
        <v>9</v>
      </c>
      <c r="F277" s="5">
        <v>0</v>
      </c>
      <c r="G277" s="5">
        <v>3936.33</v>
      </c>
      <c r="H277" s="5">
        <v>3936.33</v>
      </c>
    </row>
    <row r="278" spans="1:8" x14ac:dyDescent="0.25">
      <c r="A278" s="1">
        <v>74500</v>
      </c>
      <c r="B278" s="1">
        <v>1</v>
      </c>
      <c r="C278" s="1" t="s">
        <v>158</v>
      </c>
      <c r="D278" s="1" t="s">
        <v>56</v>
      </c>
      <c r="E278" s="1" t="s">
        <v>158</v>
      </c>
      <c r="F278" s="5">
        <v>0</v>
      </c>
      <c r="G278" s="5">
        <v>31396</v>
      </c>
      <c r="H278" s="5">
        <v>31396</v>
      </c>
    </row>
    <row r="279" spans="1:8" x14ac:dyDescent="0.25">
      <c r="A279" s="1">
        <v>74500</v>
      </c>
      <c r="B279" s="1">
        <v>2</v>
      </c>
      <c r="C279" s="1" t="s">
        <v>158</v>
      </c>
      <c r="D279" s="1" t="s">
        <v>56</v>
      </c>
      <c r="E279" s="1" t="s">
        <v>158</v>
      </c>
      <c r="F279" s="5">
        <v>0</v>
      </c>
      <c r="G279" s="5">
        <v>3976.2</v>
      </c>
      <c r="H279" s="5">
        <v>3976.2</v>
      </c>
    </row>
    <row r="280" spans="1:8" x14ac:dyDescent="0.25">
      <c r="A280" s="1">
        <v>80000</v>
      </c>
      <c r="B280" s="1">
        <v>1</v>
      </c>
      <c r="C280" s="1" t="s">
        <v>159</v>
      </c>
      <c r="D280" s="1" t="s">
        <v>56</v>
      </c>
      <c r="E280" s="1" t="s">
        <v>9</v>
      </c>
      <c r="F280" s="5">
        <v>0</v>
      </c>
      <c r="G280" s="5">
        <v>-53329.61</v>
      </c>
      <c r="H280" s="5">
        <v>-53329.61</v>
      </c>
    </row>
    <row r="281" spans="1:8" x14ac:dyDescent="0.25">
      <c r="A281" s="1">
        <v>80000</v>
      </c>
      <c r="B281" s="1">
        <v>2</v>
      </c>
      <c r="C281" s="1" t="s">
        <v>159</v>
      </c>
      <c r="D281" s="1" t="s">
        <v>56</v>
      </c>
      <c r="E281" s="1" t="s">
        <v>9</v>
      </c>
      <c r="F281" s="5">
        <v>0</v>
      </c>
      <c r="G281" s="5">
        <v>-719.67</v>
      </c>
      <c r="H281" s="5">
        <v>-719.67</v>
      </c>
    </row>
    <row r="282" spans="1:8" x14ac:dyDescent="0.25">
      <c r="A282" s="1">
        <v>80000</v>
      </c>
      <c r="B282" s="1">
        <v>50</v>
      </c>
      <c r="C282" s="1" t="s">
        <v>159</v>
      </c>
      <c r="D282" s="1" t="s">
        <v>56</v>
      </c>
      <c r="E282" s="1" t="s">
        <v>9</v>
      </c>
      <c r="F282" s="5">
        <v>0</v>
      </c>
      <c r="G282" s="5">
        <v>-9843</v>
      </c>
      <c r="H282" s="5">
        <v>-9843</v>
      </c>
    </row>
    <row r="283" spans="1:8" x14ac:dyDescent="0.25">
      <c r="A283" s="1">
        <v>81000</v>
      </c>
      <c r="B283" s="1">
        <v>1</v>
      </c>
      <c r="C283" s="1" t="s">
        <v>160</v>
      </c>
      <c r="D283" s="1" t="s">
        <v>56</v>
      </c>
      <c r="E283" s="1" t="s">
        <v>9</v>
      </c>
      <c r="F283" s="5">
        <v>0</v>
      </c>
      <c r="G283" s="5">
        <v>-250</v>
      </c>
      <c r="H283" s="5">
        <v>-250</v>
      </c>
    </row>
    <row r="284" spans="1:8" x14ac:dyDescent="0.25">
      <c r="A284" s="1">
        <v>81000</v>
      </c>
      <c r="B284" s="1">
        <v>2</v>
      </c>
      <c r="C284" s="1" t="s">
        <v>160</v>
      </c>
      <c r="D284" s="1" t="s">
        <v>56</v>
      </c>
      <c r="E284" s="1" t="s">
        <v>9</v>
      </c>
      <c r="F284" s="5">
        <v>0</v>
      </c>
      <c r="G284" s="5">
        <v>-1835.4</v>
      </c>
      <c r="H284" s="5">
        <v>-1835.4</v>
      </c>
    </row>
    <row r="285" spans="1:8" x14ac:dyDescent="0.25">
      <c r="A285" s="1">
        <v>81000</v>
      </c>
      <c r="B285" s="1">
        <v>50</v>
      </c>
      <c r="C285" s="1" t="s">
        <v>160</v>
      </c>
      <c r="D285" s="1" t="s">
        <v>56</v>
      </c>
      <c r="E285" s="1" t="s">
        <v>9</v>
      </c>
      <c r="F285" s="5">
        <v>0</v>
      </c>
      <c r="G285" s="5">
        <v>-12000</v>
      </c>
      <c r="H285" s="5">
        <v>-12000</v>
      </c>
    </row>
    <row r="286" spans="1:8" x14ac:dyDescent="0.25">
      <c r="A286" s="1">
        <v>81000</v>
      </c>
      <c r="B286" s="1">
        <v>99</v>
      </c>
      <c r="C286" s="1" t="s">
        <v>160</v>
      </c>
      <c r="D286" s="1" t="s">
        <v>56</v>
      </c>
      <c r="E286" s="1" t="s">
        <v>9</v>
      </c>
      <c r="F286" s="5">
        <v>0</v>
      </c>
      <c r="G286" s="5">
        <v>-2525</v>
      </c>
      <c r="H286" s="5">
        <v>-2525</v>
      </c>
    </row>
    <row r="287" spans="1:8" x14ac:dyDescent="0.25">
      <c r="A287" s="1">
        <v>82000</v>
      </c>
      <c r="B287" s="1">
        <v>99</v>
      </c>
      <c r="C287" s="1" t="s">
        <v>161</v>
      </c>
      <c r="D287" s="1" t="s">
        <v>56</v>
      </c>
      <c r="E287" s="1" t="s">
        <v>9</v>
      </c>
      <c r="F287" s="5">
        <v>0</v>
      </c>
      <c r="G287" s="5">
        <v>-19607.13</v>
      </c>
      <c r="H287" s="5">
        <v>-19607.13</v>
      </c>
    </row>
    <row r="288" spans="1:8" x14ac:dyDescent="0.25">
      <c r="A288" s="1">
        <v>83000</v>
      </c>
      <c r="B288" s="1">
        <v>99</v>
      </c>
      <c r="C288" s="1" t="s">
        <v>162</v>
      </c>
      <c r="D288" s="1" t="s">
        <v>56</v>
      </c>
      <c r="E288" s="1" t="s">
        <v>9</v>
      </c>
      <c r="F288" s="5">
        <v>0</v>
      </c>
      <c r="G288" s="5">
        <v>-9237.9500000000007</v>
      </c>
      <c r="H288" s="5">
        <v>-9237.9500000000007</v>
      </c>
    </row>
    <row r="289" spans="1:8" x14ac:dyDescent="0.25">
      <c r="A289" s="1">
        <v>84000</v>
      </c>
      <c r="B289" s="1">
        <v>99</v>
      </c>
      <c r="C289" s="1" t="s">
        <v>163</v>
      </c>
      <c r="D289" s="1" t="s">
        <v>56</v>
      </c>
      <c r="E289" s="1" t="s">
        <v>163</v>
      </c>
      <c r="F289" s="5">
        <v>0</v>
      </c>
      <c r="G289" s="5">
        <v>-133786.29999999999</v>
      </c>
      <c r="H289" s="5">
        <v>-133786.29999999999</v>
      </c>
    </row>
    <row r="290" spans="1:8" x14ac:dyDescent="0.25">
      <c r="A290" s="1">
        <v>90000</v>
      </c>
      <c r="B290" s="1">
        <v>2</v>
      </c>
      <c r="C290" s="1" t="s">
        <v>164</v>
      </c>
      <c r="D290" s="1" t="s">
        <v>56</v>
      </c>
      <c r="E290" s="1" t="s">
        <v>9</v>
      </c>
      <c r="F290" s="5">
        <v>0</v>
      </c>
      <c r="G290" s="5">
        <v>4.33</v>
      </c>
      <c r="H290" s="5">
        <v>4.33</v>
      </c>
    </row>
    <row r="291" spans="1:8" x14ac:dyDescent="0.25">
      <c r="A291" s="1">
        <v>90000</v>
      </c>
      <c r="B291" s="1">
        <v>99</v>
      </c>
      <c r="C291" s="1" t="s">
        <v>164</v>
      </c>
      <c r="D291" s="1" t="s">
        <v>56</v>
      </c>
      <c r="E291" s="1" t="s">
        <v>9</v>
      </c>
      <c r="F291" s="5">
        <v>0</v>
      </c>
      <c r="G291" s="5">
        <v>0</v>
      </c>
      <c r="H291" s="5">
        <v>0</v>
      </c>
    </row>
    <row r="292" spans="1:8" x14ac:dyDescent="0.25">
      <c r="A292" s="1">
        <v>92000</v>
      </c>
      <c r="B292" s="1">
        <v>99</v>
      </c>
      <c r="C292" s="1" t="s">
        <v>165</v>
      </c>
      <c r="D292" s="1" t="s">
        <v>56</v>
      </c>
      <c r="E292" s="1" t="s">
        <v>9</v>
      </c>
      <c r="F292" s="5">
        <v>0</v>
      </c>
      <c r="G292" s="5">
        <v>11022.7</v>
      </c>
      <c r="H292" s="5">
        <v>11022.7</v>
      </c>
    </row>
    <row r="293" spans="1:8" x14ac:dyDescent="0.25">
      <c r="A293" s="1">
        <v>99800</v>
      </c>
      <c r="B293" s="1">
        <v>1</v>
      </c>
      <c r="C293" s="1" t="s">
        <v>166</v>
      </c>
      <c r="D293" s="1" t="s">
        <v>56</v>
      </c>
      <c r="E293" s="1" t="s">
        <v>9</v>
      </c>
      <c r="F293" s="5">
        <v>0</v>
      </c>
      <c r="G293" s="5">
        <v>2218042.3199999998</v>
      </c>
      <c r="H293" s="5">
        <v>2218042.3199999998</v>
      </c>
    </row>
    <row r="294" spans="1:8" x14ac:dyDescent="0.25">
      <c r="A294" s="1">
        <v>99800</v>
      </c>
      <c r="B294" s="1">
        <v>2</v>
      </c>
      <c r="C294" s="1" t="s">
        <v>166</v>
      </c>
      <c r="D294" s="1" t="s">
        <v>56</v>
      </c>
      <c r="E294" s="1" t="s">
        <v>9</v>
      </c>
      <c r="F294" s="5">
        <v>0</v>
      </c>
      <c r="G294" s="5">
        <v>1551614.6</v>
      </c>
      <c r="H294" s="5">
        <v>1551614.6</v>
      </c>
    </row>
    <row r="295" spans="1:8" x14ac:dyDescent="0.25">
      <c r="A295" s="1">
        <v>99800</v>
      </c>
      <c r="B295" s="1">
        <v>50</v>
      </c>
      <c r="C295" s="1" t="s">
        <v>166</v>
      </c>
      <c r="D295" s="1" t="s">
        <v>56</v>
      </c>
      <c r="E295" s="1" t="s">
        <v>9</v>
      </c>
      <c r="F295" s="5">
        <v>0</v>
      </c>
      <c r="G295" s="5">
        <v>944163</v>
      </c>
      <c r="H295" s="5">
        <v>944163</v>
      </c>
    </row>
    <row r="296" spans="1:8" x14ac:dyDescent="0.25">
      <c r="A296" s="1">
        <v>99900</v>
      </c>
      <c r="B296" s="1">
        <v>1</v>
      </c>
      <c r="C296" s="1" t="s">
        <v>167</v>
      </c>
      <c r="D296" s="1" t="s">
        <v>56</v>
      </c>
      <c r="E296" s="1" t="s">
        <v>9</v>
      </c>
      <c r="F296" s="5">
        <v>0</v>
      </c>
      <c r="G296" s="5">
        <v>-2218042.3199999998</v>
      </c>
      <c r="H296" s="5">
        <v>-2218042.3199999998</v>
      </c>
    </row>
    <row r="297" spans="1:8" x14ac:dyDescent="0.25">
      <c r="A297" s="1">
        <v>99900</v>
      </c>
      <c r="B297" s="1">
        <v>2</v>
      </c>
      <c r="C297" s="1" t="s">
        <v>167</v>
      </c>
      <c r="D297" s="1" t="s">
        <v>56</v>
      </c>
      <c r="E297" s="1" t="s">
        <v>9</v>
      </c>
      <c r="F297" s="5">
        <v>0</v>
      </c>
      <c r="G297" s="5">
        <v>-1551614.6</v>
      </c>
      <c r="H297" s="5">
        <v>-1551614.6</v>
      </c>
    </row>
    <row r="298" spans="1:8" x14ac:dyDescent="0.25">
      <c r="A298" s="1">
        <v>99900</v>
      </c>
      <c r="B298" s="1">
        <v>50</v>
      </c>
      <c r="C298" s="1" t="s">
        <v>167</v>
      </c>
      <c r="D298" s="1" t="s">
        <v>56</v>
      </c>
      <c r="E298" s="1" t="s">
        <v>9</v>
      </c>
      <c r="F298" s="5">
        <v>0</v>
      </c>
      <c r="G298" s="5">
        <v>-944163</v>
      </c>
      <c r="H298" s="5">
        <v>-944163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D0EDC-DAB8-4FF4-935B-DC1CB0A6F497}">
  <dimension ref="A1:G20"/>
  <sheetViews>
    <sheetView tabSelected="1" workbookViewId="0">
      <selection activeCell="F14" sqref="F14"/>
    </sheetView>
  </sheetViews>
  <sheetFormatPr defaultRowHeight="15" x14ac:dyDescent="0.25"/>
  <cols>
    <col min="1" max="1" width="27.28515625" bestFit="1" customWidth="1"/>
    <col min="2" max="2" width="16.85546875" customWidth="1"/>
    <col min="3" max="3" width="9.28515625" customWidth="1"/>
    <col min="4" max="4" width="12.7109375" bestFit="1" customWidth="1"/>
    <col min="5" max="5" width="4.85546875" customWidth="1"/>
    <col min="6" max="6" width="16.140625" customWidth="1"/>
    <col min="7" max="7" width="7.85546875" customWidth="1"/>
  </cols>
  <sheetData>
    <row r="1" spans="1:7" x14ac:dyDescent="0.25">
      <c r="B1" t="s">
        <v>459</v>
      </c>
    </row>
    <row r="2" spans="1:7" x14ac:dyDescent="0.25">
      <c r="B2" t="s">
        <v>460</v>
      </c>
      <c r="F2" t="s">
        <v>457</v>
      </c>
    </row>
    <row r="3" spans="1:7" x14ac:dyDescent="0.25">
      <c r="B3" t="s">
        <v>207</v>
      </c>
      <c r="D3" t="s">
        <v>431</v>
      </c>
      <c r="F3" t="s">
        <v>207</v>
      </c>
    </row>
    <row r="4" spans="1:7" x14ac:dyDescent="0.25">
      <c r="A4" t="s">
        <v>175</v>
      </c>
      <c r="B4" s="341">
        <v>7466053.9199999999</v>
      </c>
      <c r="F4" s="341">
        <v>7466053.9199999999</v>
      </c>
    </row>
    <row r="5" spans="1:7" x14ac:dyDescent="0.25">
      <c r="A5" t="s">
        <v>192</v>
      </c>
      <c r="B5" s="341">
        <v>1682889.26</v>
      </c>
      <c r="C5" s="43">
        <f>B5/$B$4</f>
        <v>0.22540545220171676</v>
      </c>
      <c r="F5" s="341">
        <v>1682889.26</v>
      </c>
      <c r="G5" s="43">
        <f>F5/$F$4</f>
        <v>0.22540545220171676</v>
      </c>
    </row>
    <row r="6" spans="1:7" x14ac:dyDescent="0.25">
      <c r="A6" t="s">
        <v>177</v>
      </c>
      <c r="B6" s="341">
        <v>3998523.8</v>
      </c>
      <c r="C6" s="43">
        <f t="shared" ref="C6:C20" si="0">B6/$B$4</f>
        <v>0.53556053074955556</v>
      </c>
      <c r="D6">
        <v>-243478.00670000014</v>
      </c>
      <c r="F6" s="341">
        <v>3755045.7932999996</v>
      </c>
      <c r="G6" s="43">
        <f t="shared" ref="G6:G20" si="1">F6/$F$4</f>
        <v>0.50294919291180251</v>
      </c>
    </row>
    <row r="7" spans="1:7" x14ac:dyDescent="0.25">
      <c r="A7" t="s">
        <v>200</v>
      </c>
      <c r="B7" s="341">
        <v>-39214.26</v>
      </c>
      <c r="C7" s="43">
        <f t="shared" si="0"/>
        <v>-5.2523408510288397E-3</v>
      </c>
      <c r="F7" s="341">
        <v>-39214.26</v>
      </c>
      <c r="G7" s="43">
        <f t="shared" si="1"/>
        <v>-5.2523408510288397E-3</v>
      </c>
    </row>
    <row r="8" spans="1:7" x14ac:dyDescent="0.25">
      <c r="A8" t="s">
        <v>198</v>
      </c>
      <c r="B8" s="341">
        <v>27068.859999999997</v>
      </c>
      <c r="C8" s="43">
        <f t="shared" si="0"/>
        <v>3.6255912815588128E-3</v>
      </c>
      <c r="F8" s="341">
        <v>27068.859999999997</v>
      </c>
      <c r="G8" s="43">
        <f t="shared" si="1"/>
        <v>3.6255912815588128E-3</v>
      </c>
    </row>
    <row r="9" spans="1:7" x14ac:dyDescent="0.25">
      <c r="A9" t="s">
        <v>193</v>
      </c>
      <c r="B9" s="341">
        <v>404803.02</v>
      </c>
      <c r="C9" s="43">
        <f t="shared" si="0"/>
        <v>5.42191396335375E-2</v>
      </c>
      <c r="D9">
        <v>-82160</v>
      </c>
      <c r="F9" s="341">
        <v>322643.02</v>
      </c>
      <c r="G9" s="43">
        <f t="shared" si="1"/>
        <v>4.3214665130626329E-2</v>
      </c>
    </row>
    <row r="10" spans="1:7" x14ac:dyDescent="0.25">
      <c r="A10" t="s">
        <v>191</v>
      </c>
      <c r="B10" s="341">
        <v>778419.06</v>
      </c>
      <c r="C10" s="43">
        <f t="shared" si="0"/>
        <v>0.10426110879199223</v>
      </c>
      <c r="D10">
        <v>-208158.76</v>
      </c>
      <c r="F10" s="341">
        <v>570260.30000000005</v>
      </c>
      <c r="G10" s="43">
        <f t="shared" si="1"/>
        <v>7.638041542566304E-2</v>
      </c>
    </row>
    <row r="11" spans="1:7" x14ac:dyDescent="0.25">
      <c r="A11" t="s">
        <v>194</v>
      </c>
      <c r="B11" s="341">
        <v>428750.66000000003</v>
      </c>
      <c r="C11" s="43">
        <f t="shared" si="0"/>
        <v>5.7426676072009943E-2</v>
      </c>
      <c r="F11" s="341">
        <v>428750.66000000003</v>
      </c>
      <c r="G11" s="43">
        <f t="shared" si="1"/>
        <v>5.7426676072009943E-2</v>
      </c>
    </row>
    <row r="12" spans="1:7" x14ac:dyDescent="0.25">
      <c r="A12" t="s">
        <v>179</v>
      </c>
      <c r="B12" s="341">
        <v>761485</v>
      </c>
      <c r="C12" s="43">
        <f t="shared" si="0"/>
        <v>0.10199296819436847</v>
      </c>
      <c r="D12">
        <v>-116142.92</v>
      </c>
      <c r="F12" s="341">
        <v>645342.07999999996</v>
      </c>
      <c r="G12" s="43">
        <f t="shared" si="1"/>
        <v>8.6436836234367834E-2</v>
      </c>
    </row>
    <row r="13" spans="1:7" x14ac:dyDescent="0.25">
      <c r="A13" t="s">
        <v>195</v>
      </c>
      <c r="B13" s="341">
        <v>26636.86</v>
      </c>
      <c r="C13" s="43">
        <f t="shared" si="0"/>
        <v>3.5677293903068948E-3</v>
      </c>
      <c r="F13" s="341">
        <v>26636.86</v>
      </c>
      <c r="G13" s="43">
        <f t="shared" si="1"/>
        <v>3.5677293903068948E-3</v>
      </c>
    </row>
    <row r="14" spans="1:7" x14ac:dyDescent="0.25">
      <c r="A14" t="s">
        <v>196</v>
      </c>
      <c r="B14" s="341">
        <v>-662472.39999999991</v>
      </c>
      <c r="C14" s="43">
        <f t="shared" si="0"/>
        <v>-8.873126381064228E-2</v>
      </c>
      <c r="F14" s="341">
        <v>-662472.39999999991</v>
      </c>
      <c r="G14" s="43">
        <f t="shared" si="1"/>
        <v>-8.873126381064228E-2</v>
      </c>
    </row>
    <row r="15" spans="1:7" x14ac:dyDescent="0.25">
      <c r="A15" t="s">
        <v>197</v>
      </c>
      <c r="B15" s="341">
        <v>542571.08000000007</v>
      </c>
      <c r="C15" s="43">
        <f t="shared" si="0"/>
        <v>7.2671733396749982E-2</v>
      </c>
      <c r="F15" s="341">
        <v>542571.08000000007</v>
      </c>
      <c r="G15" s="43">
        <f t="shared" si="1"/>
        <v>7.2671733396749982E-2</v>
      </c>
    </row>
    <row r="16" spans="1:7" x14ac:dyDescent="0.25">
      <c r="A16" t="s">
        <v>199</v>
      </c>
      <c r="B16" s="341">
        <v>-117319.36</v>
      </c>
      <c r="C16" s="43">
        <f t="shared" si="0"/>
        <v>-1.5713703819594166E-2</v>
      </c>
      <c r="F16" s="341">
        <v>-117319.36</v>
      </c>
      <c r="G16" s="43">
        <f t="shared" si="1"/>
        <v>-1.5713703819594166E-2</v>
      </c>
    </row>
    <row r="17" spans="1:7" x14ac:dyDescent="0.25">
      <c r="A17" t="s">
        <v>201</v>
      </c>
      <c r="B17" s="341">
        <v>0</v>
      </c>
      <c r="C17" s="43">
        <f t="shared" si="0"/>
        <v>0</v>
      </c>
      <c r="F17" s="341">
        <v>0</v>
      </c>
      <c r="G17" s="43">
        <f t="shared" si="1"/>
        <v>0</v>
      </c>
    </row>
    <row r="18" spans="1:7" x14ac:dyDescent="0.25">
      <c r="A18" t="s">
        <v>202</v>
      </c>
      <c r="B18" s="341">
        <v>0</v>
      </c>
      <c r="C18" s="43">
        <f t="shared" si="0"/>
        <v>0</v>
      </c>
      <c r="F18" s="341">
        <v>0</v>
      </c>
      <c r="G18" s="43">
        <f t="shared" si="1"/>
        <v>0</v>
      </c>
    </row>
    <row r="19" spans="1:7" x14ac:dyDescent="0.25">
      <c r="A19" t="s">
        <v>188</v>
      </c>
      <c r="B19" s="341">
        <v>23416.34</v>
      </c>
      <c r="C19" s="43">
        <f t="shared" si="0"/>
        <v>3.1363743486063655E-3</v>
      </c>
      <c r="F19" s="341">
        <v>23416.34</v>
      </c>
      <c r="G19" s="43">
        <f t="shared" si="1"/>
        <v>3.1363743486063655E-3</v>
      </c>
    </row>
    <row r="20" spans="1:7" x14ac:dyDescent="0.25">
      <c r="A20" t="s">
        <v>209</v>
      </c>
      <c r="B20" s="341">
        <v>389504.00000000006</v>
      </c>
      <c r="C20" s="43">
        <f t="shared" si="0"/>
        <v>5.2169995579137214E-2</v>
      </c>
      <c r="D20">
        <v>-649939.68670000019</v>
      </c>
      <c r="F20" s="341">
        <v>-260435.68670000028</v>
      </c>
      <c r="G20" s="43">
        <f t="shared" si="1"/>
        <v>-3.4882642087856804E-2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Synergies</vt:lpstr>
      <vt:lpstr>Pixlle</vt:lpstr>
      <vt:lpstr>26 EBITDA ADJ (2)</vt:lpstr>
      <vt:lpstr>26 EBITDA ADJ</vt:lpstr>
      <vt:lpstr>Pivot</vt:lpstr>
      <vt:lpstr>SORTED B VS P</vt:lpstr>
      <vt:lpstr>Fordyce TB</vt:lpstr>
      <vt:lpstr>Inv</vt:lpstr>
      <vt:lpstr>BS</vt:lpstr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Will Prettyman</cp:lastModifiedBy>
  <cp:revision/>
  <dcterms:created xsi:type="dcterms:W3CDTF">2026-09-03T17:58:34Z</dcterms:created>
  <dcterms:modified xsi:type="dcterms:W3CDTF">2026-10-05T17:00:09Z</dcterms:modified>
  <cp:category/>
  <cp:contentStatus/>
</cp:coreProperties>
</file>