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prettyman.WISENT\Documents\GitHub\notes\Highland-Computer-Forms\Wise-docs-notes\"/>
    </mc:Choice>
  </mc:AlternateContent>
  <xr:revisionPtr revIDLastSave="0" documentId="13_ncr:1_{EABA50E2-4A81-4A86-AC58-73EC2ABDEBCE}" xr6:coauthVersionLast="47" xr6:coauthVersionMax="47" xr10:uidLastSave="{00000000-0000-0000-0000-000000000000}"/>
  <bookViews>
    <workbookView xWindow="-120" yWindow="270" windowWidth="29040" windowHeight="15330" xr2:uid="{00000000-000D-0000-FFFF-FFFF00000000}"/>
  </bookViews>
  <sheets>
    <sheet name="Summary" sheetId="1" r:id="rId1"/>
    <sheet name="Price Comparison" sheetId="2" r:id="rId2"/>
    <sheet name="Highland Only" sheetId="3" r:id="rId3"/>
    <sheet name="Wise Only" sheetId="4" r:id="rId4"/>
  </sheets>
  <definedNames>
    <definedName name="_xlnm._FilterDatabase" localSheetId="2" hidden="1">'Highland Only'!$A$3:$E$20</definedName>
    <definedName name="_xlnm._FilterDatabase" localSheetId="1" hidden="1">'Price Comparison'!$A$4:$J$24</definedName>
    <definedName name="_xlnm._FilterDatabase" localSheetId="3" hidden="1">'Wise Only'!$A$3:$E$133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H23" i="2"/>
  <c r="J22" i="2"/>
  <c r="I22" i="2"/>
  <c r="F37" i="1" s="1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E39" i="1"/>
  <c r="D39" i="1"/>
  <c r="C39" i="1"/>
  <c r="A39" i="1"/>
  <c r="E38" i="1"/>
  <c r="D38" i="1"/>
  <c r="C38" i="1"/>
  <c r="A38" i="1"/>
  <c r="E37" i="1"/>
  <c r="D37" i="1"/>
  <c r="C37" i="1"/>
  <c r="A37" i="1"/>
  <c r="E36" i="1"/>
  <c r="D36" i="1"/>
  <c r="C36" i="1"/>
  <c r="A36" i="1"/>
  <c r="E35" i="1"/>
  <c r="D35" i="1"/>
  <c r="C35" i="1"/>
  <c r="A35" i="1"/>
  <c r="E31" i="1"/>
  <c r="D31" i="1"/>
  <c r="C31" i="1"/>
  <c r="A31" i="1"/>
  <c r="E30" i="1"/>
  <c r="D30" i="1"/>
  <c r="C30" i="1"/>
  <c r="A30" i="1"/>
  <c r="E29" i="1"/>
  <c r="D29" i="1"/>
  <c r="C29" i="1"/>
  <c r="A29" i="1"/>
  <c r="E28" i="1"/>
  <c r="D28" i="1"/>
  <c r="C28" i="1"/>
  <c r="A28" i="1"/>
  <c r="E27" i="1"/>
  <c r="D27" i="1"/>
  <c r="C27" i="1"/>
  <c r="A27" i="1"/>
  <c r="B23" i="1"/>
  <c r="B22" i="1"/>
  <c r="B21" i="1"/>
  <c r="B20" i="1"/>
  <c r="B19" i="1"/>
  <c r="B18" i="1"/>
  <c r="C10" i="1"/>
  <c r="B8" i="1"/>
  <c r="C8" i="1" s="1"/>
  <c r="J24" i="2" l="1"/>
  <c r="I24" i="2"/>
  <c r="F35" i="1" s="1"/>
  <c r="J23" i="2"/>
  <c r="I23" i="2"/>
  <c r="F36" i="1" s="1"/>
  <c r="J21" i="2"/>
  <c r="I21" i="2"/>
  <c r="F38" i="1" s="1"/>
  <c r="J20" i="2"/>
  <c r="I20" i="2"/>
  <c r="F39" i="1" s="1"/>
  <c r="J19" i="2"/>
  <c r="I19" i="2"/>
  <c r="J18" i="2"/>
  <c r="I18" i="2"/>
  <c r="J17" i="2"/>
  <c r="I17" i="2"/>
  <c r="J16" i="2"/>
  <c r="I16" i="2"/>
  <c r="J15" i="2"/>
  <c r="I15" i="2"/>
  <c r="J14" i="2"/>
  <c r="I14" i="2"/>
  <c r="I13" i="2"/>
  <c r="J13" i="2"/>
  <c r="J12" i="2"/>
  <c r="I12" i="2"/>
  <c r="J11" i="2"/>
  <c r="I11" i="2"/>
  <c r="J10" i="2"/>
  <c r="I10" i="2"/>
  <c r="I9" i="2"/>
  <c r="F31" i="1" s="1"/>
  <c r="J9" i="2"/>
  <c r="J8" i="2"/>
  <c r="I8" i="2"/>
  <c r="F30" i="1" s="1"/>
  <c r="J7" i="2"/>
  <c r="I7" i="2"/>
  <c r="F29" i="1" s="1"/>
  <c r="J6" i="2"/>
  <c r="I6" i="2"/>
  <c r="F28" i="1" s="1"/>
  <c r="J5" i="2"/>
  <c r="I5" i="2"/>
  <c r="B15" i="1" l="1"/>
  <c r="C15" i="1" s="1"/>
  <c r="B13" i="1"/>
  <c r="C13" i="1" s="1"/>
  <c r="B14" i="1"/>
  <c r="C14" i="1" s="1"/>
  <c r="C20" i="1"/>
  <c r="C21" i="1"/>
  <c r="C19" i="1"/>
  <c r="C18" i="1"/>
  <c r="C22" i="1"/>
  <c r="F27" i="1"/>
  <c r="C23" i="1"/>
</calcChain>
</file>

<file path=xl/sharedStrings.xml><?xml version="1.0" encoding="utf-8"?>
<sst xmlns="http://schemas.openxmlformats.org/spreadsheetml/2006/main" count="570" uniqueCount="386">
  <si>
    <t>HCF vs. Wise - Avery Price List Comparison</t>
  </si>
  <si>
    <t>Highland: "Avery Price List (Excel).xlsx" (Price Update List as of 9/1/2026)</t>
  </si>
  <si>
    <t>Wise: Avery price list PDF (cxp_PriceListDownloaderPdf.pdf, generated 10/5/2026)</t>
  </si>
  <si>
    <t>Coverage</t>
  </si>
  <si>
    <t>Items</t>
  </si>
  <si>
    <t>% of Wise list</t>
  </si>
  <si>
    <t>Items on Highland list</t>
  </si>
  <si>
    <t>Items on Wise list</t>
  </si>
  <si>
    <t>On both lists (matched by Spec)</t>
  </si>
  <si>
    <t>Highland only</t>
  </si>
  <si>
    <t>Wise only</t>
  </si>
  <si>
    <t>Who is cheaper? (matched items)</t>
  </si>
  <si>
    <t>% of matched</t>
  </si>
  <si>
    <t>Wise price is lower</t>
  </si>
  <si>
    <t>Highland price is lower</t>
  </si>
  <si>
    <t>Same price</t>
  </si>
  <si>
    <t>Size of the gap (Highland minus Wise)</t>
  </si>
  <si>
    <t>Diff ($)</t>
  </si>
  <si>
    <t>Diff (%)</t>
  </si>
  <si>
    <t>Average (all matched items)</t>
  </si>
  <si>
    <t>Median (all matched items)</t>
  </si>
  <si>
    <t>Average where Wise is lower</t>
  </si>
  <si>
    <t>Average where Highland is lower</t>
  </si>
  <si>
    <t>Largest Highland premium</t>
  </si>
  <si>
    <t>Largest Highland discount</t>
  </si>
  <si>
    <t>Top 5 where Highland pays MORE than Wise</t>
  </si>
  <si>
    <t>Spec / Product</t>
  </si>
  <si>
    <t>Highland</t>
  </si>
  <si>
    <t>Wise</t>
  </si>
  <si>
    <t>Top 5 where Highland pays LESS than Wise</t>
  </si>
  <si>
    <t>Notes</t>
  </si>
  <si>
    <t>- Items are matched on Spec number; product names agree on all 20 matches. Details are on the Price Comparison tab.</t>
  </si>
  <si>
    <t>- Diff = Highland price minus Wise price. % is Diff divided by the Wise price. Red = Highland pays more, green = Highland pays less.</t>
  </si>
  <si>
    <t>- Averages are simple (unweighted) because no purchase volumes are available.</t>
  </si>
  <si>
    <t>- Prices are Avery quoted USD per MSI (per 1,000 sq in), except the Wise-only IL- items, which are per EA.</t>
  </si>
  <si>
    <t>- The Highland sheet is dated 9/1/2026 and the Wise PDF 10/5/2026, so some Wise effective dates are later.</t>
  </si>
  <si>
    <t>- The Highland workbook labels its price column "Acquisition Price"; it is treated here as Highland's quoted price.</t>
  </si>
  <si>
    <t>Highland Computer Forms vs. Wise Business Forms - Avery Price Comparison (items on both lists)</t>
  </si>
  <si>
    <t>Diff = Highland minus Wise. Positive (red) = Highland pays more; negative (green) = Highland pays less. USD per unit of measure.</t>
  </si>
  <si>
    <t>Spec</t>
  </si>
  <si>
    <t>Product</t>
  </si>
  <si>
    <t>UOM</t>
  </si>
  <si>
    <t>Highland Eff. Date</t>
  </si>
  <si>
    <t>Wise Eff. Date</t>
  </si>
  <si>
    <t>Highland Price</t>
  </si>
  <si>
    <t>Wise Price</t>
  </si>
  <si>
    <t>Diff (% of Wise)</t>
  </si>
  <si>
    <t>Lower Price</t>
  </si>
  <si>
    <t>53872</t>
  </si>
  <si>
    <t>TT FSC/S2550/40#SCK</t>
  </si>
  <si>
    <t>MSI</t>
  </si>
  <si>
    <t>B5661</t>
  </si>
  <si>
    <t>TT1C FSC PB/S2550/40#SCK</t>
  </si>
  <si>
    <t>C2621</t>
  </si>
  <si>
    <t>2.3 MIL WH BOPP TC2000/S6650/50# SCK</t>
  </si>
  <si>
    <t>B7699</t>
  </si>
  <si>
    <t>TT2C FSC/LP1000/40#SCK</t>
  </si>
  <si>
    <t>77921</t>
  </si>
  <si>
    <t>2M CL PET TC/S8025/50#SCK</t>
  </si>
  <si>
    <t>77609</t>
  </si>
  <si>
    <t>3MIL MATTE WH BOPP TC/AT20/40#SCK</t>
  </si>
  <si>
    <t>C2331</t>
  </si>
  <si>
    <t>DT 300LD PF FSC/S2550/40#SCK</t>
  </si>
  <si>
    <t>18884</t>
  </si>
  <si>
    <t>LCJ300 FSC/S9010N/46#LF</t>
  </si>
  <si>
    <t>71055</t>
  </si>
  <si>
    <t>2M WH PRT PET/R143/50#SCK</t>
  </si>
  <si>
    <t>54314</t>
  </si>
  <si>
    <t>TTC FSC/AT2550/40#CK</t>
  </si>
  <si>
    <t>53753</t>
  </si>
  <si>
    <t>7PT C1S THERMAL TRANSFER FSC</t>
  </si>
  <si>
    <t>18329</t>
  </si>
  <si>
    <t>50# DSX FSC/R5195/50#CK</t>
  </si>
  <si>
    <t>53109</t>
  </si>
  <si>
    <t>DEMANDJET 500HG FSC/AT20/40#SCK</t>
  </si>
  <si>
    <t>B8303</t>
  </si>
  <si>
    <t>2.3M WH BOPP TC/AT2550/1.2M PET</t>
  </si>
  <si>
    <t>C2708</t>
  </si>
  <si>
    <t>DT200GP PF FSC/AT2550/40#SCK</t>
  </si>
  <si>
    <t>18327</t>
  </si>
  <si>
    <t>TT1C FSC/R5195/40#SCK</t>
  </si>
  <si>
    <t>18559</t>
  </si>
  <si>
    <t>60# ARCHIVAL SG FSC/R5195/41#LF</t>
  </si>
  <si>
    <t>53057</t>
  </si>
  <si>
    <t>54# SG LASER FSC/S2501/53#LF</t>
  </si>
  <si>
    <t>75570</t>
  </si>
  <si>
    <t>3.0M SYN PAPER/S333/50#SCK</t>
  </si>
  <si>
    <t>72825</t>
  </si>
  <si>
    <t>2M WH PET TC/S333/50#SCK ABC</t>
  </si>
  <si>
    <t>On the Highland list but NOT on the Wise list</t>
  </si>
  <si>
    <t>15666</t>
  </si>
  <si>
    <t>DISSOLVABLE FSC/S2600/40#</t>
  </si>
  <si>
    <t>19046</t>
  </si>
  <si>
    <t>SF 50#DSX FSC/S9010N/45#BK</t>
  </si>
  <si>
    <t>53110</t>
  </si>
  <si>
    <t>DEMANDJET500HG FSC/S2501/40#SCK</t>
  </si>
  <si>
    <t>53870</t>
  </si>
  <si>
    <t>SF TTC FSC/S2550/40#SCK</t>
  </si>
  <si>
    <t>54247</t>
  </si>
  <si>
    <t>DT 200HD RX PF FSC/S2501/40#</t>
  </si>
  <si>
    <t>54296</t>
  </si>
  <si>
    <t>SF 50# DSX FSC/AT2550/50#CK</t>
  </si>
  <si>
    <t>76656</t>
  </si>
  <si>
    <t>2M WH PET TC/S8015/50#SCK</t>
  </si>
  <si>
    <t>78401</t>
  </si>
  <si>
    <t>3.0M SYN PAPER/S8001/50#SCK</t>
  </si>
  <si>
    <t>81628</t>
  </si>
  <si>
    <t>TYVEK/S730/50#SCK</t>
  </si>
  <si>
    <t>B4336</t>
  </si>
  <si>
    <t>MAT LITHO FSC/AT2550/40# SCK</t>
  </si>
  <si>
    <t>B4338</t>
  </si>
  <si>
    <t>60#GLOSS/AT2550/40#</t>
  </si>
  <si>
    <t>B6003</t>
  </si>
  <si>
    <t>2M VOID PET WH TC/S8015A/50#SCK</t>
  </si>
  <si>
    <t>B8676</t>
  </si>
  <si>
    <t>80# ESTATE #8 WS FSC/Z2010B/1.2M PET</t>
  </si>
  <si>
    <t>C2447</t>
  </si>
  <si>
    <t>4M FLEX TCL/S4650/50#SCK</t>
  </si>
  <si>
    <t>C2499</t>
  </si>
  <si>
    <t>DT DISSOLVE PF/S2600/40#</t>
  </si>
  <si>
    <t>C2766</t>
  </si>
  <si>
    <t>60#SGE FSC/AT2550/1.2M PET</t>
  </si>
  <si>
    <t>C2779</t>
  </si>
  <si>
    <t>DT 300LD PF FSC/AT2550/40#SCK</t>
  </si>
  <si>
    <t>On the Wise list but NOT on the Highland list</t>
  </si>
  <si>
    <t>01292</t>
  </si>
  <si>
    <t>TT1C FSC 1M PE WELD/TL2/40#SCK</t>
  </si>
  <si>
    <t>02329</t>
  </si>
  <si>
    <t>TT2C FSC/S246/50#SCK</t>
  </si>
  <si>
    <t>03172</t>
  </si>
  <si>
    <t>DT 300HD PF FSC/HMR/40#SCK</t>
  </si>
  <si>
    <t>03558</t>
  </si>
  <si>
    <t>MATTE LITHO FSC/S246/40#SCK</t>
  </si>
  <si>
    <t>05040</t>
  </si>
  <si>
    <t>SGE FSC/HMR/40#SCK</t>
  </si>
  <si>
    <t>07605</t>
  </si>
  <si>
    <t>HG+/S246/50#CK</t>
  </si>
  <si>
    <t>07944</t>
  </si>
  <si>
    <t>LT WT PH LITHO FSC/S727/40#SCK</t>
  </si>
  <si>
    <t>13014</t>
  </si>
  <si>
    <t>SGE FSC/TL2/40#SCK</t>
  </si>
  <si>
    <t>13605</t>
  </si>
  <si>
    <t>TT1C FSC/S246/40#SCK</t>
  </si>
  <si>
    <t>14188</t>
  </si>
  <si>
    <t>TT1C FSC/HMR/40#SCK</t>
  </si>
  <si>
    <t>14554</t>
  </si>
  <si>
    <t>TRANSCODE/TL2/50#SCK</t>
  </si>
  <si>
    <t>14857</t>
  </si>
  <si>
    <t>2.6M WH BOPP/TL2/40#SCK</t>
  </si>
  <si>
    <t>15337</t>
  </si>
  <si>
    <t>SF 60#SG ELITE FSC/S246/40#SCK</t>
  </si>
  <si>
    <t>15476</t>
  </si>
  <si>
    <t>60#SGE FSC/AT1/40#SCK</t>
  </si>
  <si>
    <t>17411</t>
  </si>
  <si>
    <t>SF 60#GLOSS/S246/40#SCK</t>
  </si>
  <si>
    <t>17698</t>
  </si>
  <si>
    <t>8PT TAG/S246/40#SCK TNR</t>
  </si>
  <si>
    <t>18345</t>
  </si>
  <si>
    <t>LASERITE STD FSC/R5423/50#MF</t>
  </si>
  <si>
    <t>18445</t>
  </si>
  <si>
    <t>60# CAST GLOSS FSC/R5195/40#SCK</t>
  </si>
  <si>
    <t>40087</t>
  </si>
  <si>
    <t>4M WH F VNL TC/S730/50# ABC</t>
  </si>
  <si>
    <t>53138</t>
  </si>
  <si>
    <t>SF 50#DSXFSC/S9010N/50#CK</t>
  </si>
  <si>
    <t>53745</t>
  </si>
  <si>
    <t>8 PT C2S THERMAL TRANSFER W/OB FSC</t>
  </si>
  <si>
    <t>53763</t>
  </si>
  <si>
    <t>LASERITE DURABLE FSC/R5423/50#MF</t>
  </si>
  <si>
    <t>53873</t>
  </si>
  <si>
    <t>TT2C FSC/S2550/40#SCK</t>
  </si>
  <si>
    <t>54116</t>
  </si>
  <si>
    <t>54#SG FSC/R5195/46#LF</t>
  </si>
  <si>
    <t>54220</t>
  </si>
  <si>
    <t>DT 200HD PLUS PF FSC/S2550/40#</t>
  </si>
  <si>
    <t>54269</t>
  </si>
  <si>
    <t>ORANGE FLUOR/R195/40#SCK</t>
  </si>
  <si>
    <t>54291</t>
  </si>
  <si>
    <t>54#SG FSC/AT2550/40#SCK</t>
  </si>
  <si>
    <t>54369</t>
  </si>
  <si>
    <t>54#SG FSC/C4500/40#</t>
  </si>
  <si>
    <t>54378</t>
  </si>
  <si>
    <t>55#CAST GLS ELT/C4500/40#</t>
  </si>
  <si>
    <t>54383</t>
  </si>
  <si>
    <t>54# SG FASCOVER 2/C4500/40#</t>
  </si>
  <si>
    <t>54384</t>
  </si>
  <si>
    <t>MATTE LITHO FSC/C4500/40#</t>
  </si>
  <si>
    <t>54387</t>
  </si>
  <si>
    <t>BRT GOLD FOIL FSC/C4500/40#SCK</t>
  </si>
  <si>
    <t>54405</t>
  </si>
  <si>
    <t>CHART FLUOR FSC/C4500/40#SCK</t>
  </si>
  <si>
    <t>54406</t>
  </si>
  <si>
    <t>GREEN FLUOR/C4500/40#</t>
  </si>
  <si>
    <t>54407</t>
  </si>
  <si>
    <t>ORANGE FLUOR FSC/C4500/40#</t>
  </si>
  <si>
    <t>54408</t>
  </si>
  <si>
    <t>PINK FLUOR/C4500/40#SCK</t>
  </si>
  <si>
    <t>54409</t>
  </si>
  <si>
    <t>RED FLUOR/C4500/40#</t>
  </si>
  <si>
    <t>60097</t>
  </si>
  <si>
    <t>2M ACETATE CL/S730/50#SCK ABC</t>
  </si>
  <si>
    <t>61320</t>
  </si>
  <si>
    <t>2M CL PET TC/S730/50# SCK ABC</t>
  </si>
  <si>
    <t>72823</t>
  </si>
  <si>
    <t>2M CL PET TC/S333/50#SCK ABC</t>
  </si>
  <si>
    <t>72824</t>
  </si>
  <si>
    <t>2M BRT CH PET TC/S333/50#SCK ABC</t>
  </si>
  <si>
    <t>72826</t>
  </si>
  <si>
    <t>2M MAT CH PET TC/S333/50#SCK ABC</t>
  </si>
  <si>
    <t>72828</t>
  </si>
  <si>
    <t>2M WH PRT PET/S333/50#SCK ABC</t>
  </si>
  <si>
    <t>72981</t>
  </si>
  <si>
    <t>TRANSCODE/FDA815SB/50#SCK ABC</t>
  </si>
  <si>
    <t>73303</t>
  </si>
  <si>
    <t>2M BRSH CH PET TC/S333/50#SCK ABC</t>
  </si>
  <si>
    <t>73739</t>
  </si>
  <si>
    <t>SCANBACK/S730/50#SCK ABC</t>
  </si>
  <si>
    <t>74477</t>
  </si>
  <si>
    <t>2M CL BOPP TC/S2001/44#PK</t>
  </si>
  <si>
    <t>74896</t>
  </si>
  <si>
    <t>2.6M WH BOPP NTC/K7/1.5M PET</t>
  </si>
  <si>
    <t>75607</t>
  </si>
  <si>
    <t>2.6M WH BOPP TC/S246/40#SCK</t>
  </si>
  <si>
    <t>75724</t>
  </si>
  <si>
    <t>1085D TYVEK</t>
  </si>
  <si>
    <t>75728</t>
  </si>
  <si>
    <t>7.5 MIL C2S VALERON</t>
  </si>
  <si>
    <t>75735</t>
  </si>
  <si>
    <t>8MIL POLYLITH GC2</t>
  </si>
  <si>
    <t>75736</t>
  </si>
  <si>
    <t>10MIL POLYLITH GC2</t>
  </si>
  <si>
    <t>75849</t>
  </si>
  <si>
    <t>3MIL VELVET LEXAN/S730/1.5 PET</t>
  </si>
  <si>
    <t>75947</t>
  </si>
  <si>
    <t>7.5M UNCTD V-MAX SELECT</t>
  </si>
  <si>
    <t>76003</t>
  </si>
  <si>
    <t>3MIL MAT WH BOPP/TL2/50#SCK</t>
  </si>
  <si>
    <t>77089</t>
  </si>
  <si>
    <t>2.6M WH BOPPTC/HMR/40#SCK</t>
  </si>
  <si>
    <t>77392</t>
  </si>
  <si>
    <t>2.3M WHITE TC PP/C0196/40#BG</t>
  </si>
  <si>
    <t>77406</t>
  </si>
  <si>
    <t>3MIL MAT WH BOPPTC/R143/1.5M</t>
  </si>
  <si>
    <t>77536</t>
  </si>
  <si>
    <t>2.3M WH BOPP TC/S6600/50#SCK</t>
  </si>
  <si>
    <t>77563</t>
  </si>
  <si>
    <t>2.6M WH BOPP TC/R300/40#BG</t>
  </si>
  <si>
    <t>77843</t>
  </si>
  <si>
    <t>1M MATTE PET/S8020/40#BG</t>
  </si>
  <si>
    <t>77855</t>
  </si>
  <si>
    <t>1M CL PET TC/S730/1M PET</t>
  </si>
  <si>
    <t>77920</t>
  </si>
  <si>
    <t>2M WH PET TC/S8025/50#</t>
  </si>
  <si>
    <t>77980</t>
  </si>
  <si>
    <t>3.0M WH MDO/S692N/1.2M PET</t>
  </si>
  <si>
    <t>77988</t>
  </si>
  <si>
    <t>3.0M WH MDO/S692N/44#PK</t>
  </si>
  <si>
    <t>78004</t>
  </si>
  <si>
    <t>7M C2S V-MAX SELECT PLUS</t>
  </si>
  <si>
    <t>78097</t>
  </si>
  <si>
    <t>3.0M CL MDO/S692N/40#BG</t>
  </si>
  <si>
    <t>78148</t>
  </si>
  <si>
    <t>2M CL BOPP TC/R3500/40# SCK</t>
  </si>
  <si>
    <t>78232</t>
  </si>
  <si>
    <t>7M POLYLITH GC-3</t>
  </si>
  <si>
    <t>78251</t>
  </si>
  <si>
    <t>6M POLYLITH GC-3</t>
  </si>
  <si>
    <t>78385</t>
  </si>
  <si>
    <t>2M WH PET TC/S8001/50#SCK</t>
  </si>
  <si>
    <t>78580</t>
  </si>
  <si>
    <t>2.3M WH BOPP TC/K7/1.2M PET</t>
  </si>
  <si>
    <t>78866</t>
  </si>
  <si>
    <t>6M CL STATIC CLING TC/8PT BRD</t>
  </si>
  <si>
    <t>79108</t>
  </si>
  <si>
    <t>1025DR TYVEK</t>
  </si>
  <si>
    <t>79115</t>
  </si>
  <si>
    <t>2M WH PET TC/S333/1.5M</t>
  </si>
  <si>
    <t>79330</t>
  </si>
  <si>
    <t>4M MAT WH VNL WBIJ/S730/50#</t>
  </si>
  <si>
    <t>79520</t>
  </si>
  <si>
    <t>3.0M SYN PAPER HDPE/C2580/4</t>
  </si>
  <si>
    <t>79713</t>
  </si>
  <si>
    <t>TRANSCODE CL/R120/50#BRN PLB</t>
  </si>
  <si>
    <t>79718</t>
  </si>
  <si>
    <t>LASERCODE II 3480XX NTC/R120/80#CC</t>
  </si>
  <si>
    <t>79875</t>
  </si>
  <si>
    <t>3.5M CL VINYL NTC/S730/50</t>
  </si>
  <si>
    <t>B0930</t>
  </si>
  <si>
    <t>7.5 MIL WH HS HDPE</t>
  </si>
  <si>
    <t>B2866</t>
  </si>
  <si>
    <t>3.0M DT BOPP PF/AT2550/40#SCK</t>
  </si>
  <si>
    <t>B3041</t>
  </si>
  <si>
    <t>4M DT BOPP PF/AT2550/40#SCK</t>
  </si>
  <si>
    <t>B4482</t>
  </si>
  <si>
    <t>8PT C2S RR BRITE WHITE FSC</t>
  </si>
  <si>
    <t>B4485</t>
  </si>
  <si>
    <t>8 PT C1S SEMI-GLOSS FSC</t>
  </si>
  <si>
    <t>B4942</t>
  </si>
  <si>
    <t>8PT TAG/AT2550/40#SCK</t>
  </si>
  <si>
    <t>B5007</t>
  </si>
  <si>
    <t>60#SGE PB FSC/S2550/40#SCK</t>
  </si>
  <si>
    <t>B5352</t>
  </si>
  <si>
    <t>2M TOTALLY SEAMLESS RAINBOW BOPP 30% PCW/S692N/40#SCK</t>
  </si>
  <si>
    <t>B5784</t>
  </si>
  <si>
    <t>60#CLAS CRST NATL WH WS FSC/Z2010/44#PK</t>
  </si>
  <si>
    <t>B5848</t>
  </si>
  <si>
    <t>60# ESTATE #9 WS FSC/Z2010/44#PK</t>
  </si>
  <si>
    <t>B5852</t>
  </si>
  <si>
    <t>60# CLASSIC CREST NATURAL WHITE WS FSC/Z2010/1.2M PET</t>
  </si>
  <si>
    <t>B6853</t>
  </si>
  <si>
    <t>TT1C FASCOVER 2/AT2550/40#SCK</t>
  </si>
  <si>
    <t>B7348</t>
  </si>
  <si>
    <t>2M CL BOPP TC/S7000ER/40# BG</t>
  </si>
  <si>
    <t>B7349</t>
  </si>
  <si>
    <t>2M CL BOPP TC/S692N-ER/1.2M PET</t>
  </si>
  <si>
    <t>B7655</t>
  </si>
  <si>
    <t>2.4M WH BOPP TC/S7000ER/1.2M PET</t>
  </si>
  <si>
    <t>B7729</t>
  </si>
  <si>
    <t>2.4M WH BOPP TC/S7000ER/40#BG</t>
  </si>
  <si>
    <t>B7750</t>
  </si>
  <si>
    <t>2.4M WH BOPP TC/S7000ER/.92M PET</t>
  </si>
  <si>
    <t>B7764</t>
  </si>
  <si>
    <t>2M MET BOPP TC/S7000ER/1.2M PET</t>
  </si>
  <si>
    <t>B8305</t>
  </si>
  <si>
    <t>DT300HD FSC PB/AT2550/40#SCK</t>
  </si>
  <si>
    <t>B8559</t>
  </si>
  <si>
    <t>3.5M MATTE WH SYN WBIJ/S4650/50#SCK</t>
  </si>
  <si>
    <t>B8560</t>
  </si>
  <si>
    <t>SMGPRF KIMDURA/S4650/50#SCK</t>
  </si>
  <si>
    <t>B9080</t>
  </si>
  <si>
    <t>691V - 1 MIL CLR PET UV RST</t>
  </si>
  <si>
    <t>B9081</t>
  </si>
  <si>
    <t>600 - 1 MIL CLR S/W PET</t>
  </si>
  <si>
    <t>B9116</t>
  </si>
  <si>
    <t>2.6M WH BOPP TC/C4510/0.92M</t>
  </si>
  <si>
    <t>B9332</t>
  </si>
  <si>
    <t>320 - .71 MIL MATTE S/W BOPP</t>
  </si>
  <si>
    <t>B9334</t>
  </si>
  <si>
    <t>1132 - TTP SUPERTHIN</t>
  </si>
  <si>
    <t>B9337</t>
  </si>
  <si>
    <t>505F - 1 MIL CLR S/W BOPP</t>
  </si>
  <si>
    <t>B9357</t>
  </si>
  <si>
    <t>891 - 1 MIL CLR S/W PET ER</t>
  </si>
  <si>
    <t>B9372</t>
  </si>
  <si>
    <t>700E - 2 MIL CLR S/W BOPP</t>
  </si>
  <si>
    <t>B9414</t>
  </si>
  <si>
    <t>691DIG - 1 MIL CLR PET UV RST</t>
  </si>
  <si>
    <t>B9416</t>
  </si>
  <si>
    <t>610T - 1 MIL CLR S/W PET TT</t>
  </si>
  <si>
    <t>B9417</t>
  </si>
  <si>
    <t>631T - 1 MIL MATTE S/W PET TT</t>
  </si>
  <si>
    <t>B9424</t>
  </si>
  <si>
    <t>531 - 1 MIL MATTE S/W BOPP</t>
  </si>
  <si>
    <t>B9432</t>
  </si>
  <si>
    <t>531T - 1 MIL MATTE S/W BOPP TT</t>
  </si>
  <si>
    <t>B9437</t>
  </si>
  <si>
    <t>531DIG - 1 MIL DIG MATTE S/W BOPP</t>
  </si>
  <si>
    <t>C0398</t>
  </si>
  <si>
    <t>DT200HD FASCOVER/AT20/40#SCK</t>
  </si>
  <si>
    <t>C0733</t>
  </si>
  <si>
    <t>2.3M WH BOPP TC2000/S8001/50#SCK</t>
  </si>
  <si>
    <t>C1283</t>
  </si>
  <si>
    <t>4.5MIL WH WBIJ KIMDURA/S4650/50# SCK</t>
  </si>
  <si>
    <t>C1674</t>
  </si>
  <si>
    <t>LASERCODE DL NTC/S4650/79#MF</t>
  </si>
  <si>
    <t>C1688</t>
  </si>
  <si>
    <t>LASERCODE DL TCL/S4650/79#MF ABC</t>
  </si>
  <si>
    <t>C2104</t>
  </si>
  <si>
    <t>54#SG FSC/AT2550/0.92PET</t>
  </si>
  <si>
    <t>C2643</t>
  </si>
  <si>
    <t>2.3M WH BOPP TC2000/S6650/1.2M PET</t>
  </si>
  <si>
    <t>C2776</t>
  </si>
  <si>
    <t>DT200GP PF FSC/R5195/40#SCK</t>
  </si>
  <si>
    <t>C3559</t>
  </si>
  <si>
    <t>IL-604012 AD Miniweb WEL U9 FCC Label</t>
  </si>
  <si>
    <t>EA</t>
  </si>
  <si>
    <t>C3560</t>
  </si>
  <si>
    <t>IL-604001 AD Miniweb WEL U9 FCC Wet</t>
  </si>
  <si>
    <t>C3571</t>
  </si>
  <si>
    <t>IL-600036 AD Squarewave WEL M730 Wet</t>
  </si>
  <si>
    <t>C3584</t>
  </si>
  <si>
    <t>IL-604009 AD Web WEL U9 Label</t>
  </si>
  <si>
    <t>C3585</t>
  </si>
  <si>
    <t>IL-604008 AD Web WEL U9 Wet</t>
  </si>
  <si>
    <t>C4065</t>
  </si>
  <si>
    <t>IL-611306 AD Squarewave WEL M830 RIF 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</si>
</sst>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m/dd/yy"/>
    <numFmt numFmtId="166" formatCode="0.00000"/>
    <numFmt numFmtId="167" formatCode="\+0.00000;\-0.00000;0.00000"/>
    <numFmt numFmtId="168" formatCode="\+0.0%;\-0.0%;0.0%"/>
  </numFmts>
  <fonts count="8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4"/>
      <name val="Calibri"/>
    </font>
    <font>
      <sz val="11"/>
      <color rgb="FF595959"/>
      <name val="Calibri"/>
    </font>
    <font>
      <b/>
      <sz val="11"/>
      <name val="Calibri"/>
    </font>
    <font>
      <sz val="11"/>
      <color rgb="FF40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0" fillId="0" borderId="1" xfId="0" applyBorder="1"/>
    <xf numFmtId="1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2" borderId="0" xfId="0" applyFill="1"/>
    <xf numFmtId="0" fontId="6" fillId="3" borderId="1" xfId="0" applyFont="1" applyFill="1" applyBorder="1" applyAlignment="1">
      <alignment horizontal="left"/>
    </xf>
    <xf numFmtId="0" fontId="0" fillId="3" borderId="1" xfId="0" applyFill="1" applyBorder="1"/>
    <xf numFmtId="0" fontId="6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166" fontId="0" fillId="0" borderId="1" xfId="0" applyNumberFormat="1" applyBorder="1" applyAlignment="1">
      <alignment horizontal="right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</cellXfs>
  <cellStyles count="1">
    <cellStyle name="Normal" xfId="0" builtinId="0"/>
  </cellStyles>
  <dxfs count="6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showGridLines="0" tabSelected="1" workbookViewId="0"/>
  </sheetViews>
  <sheetFormatPr defaultRowHeight="15" x14ac:dyDescent="0.25"/>
  <cols>
    <col min="1" max="1" width="52" customWidth="1"/>
    <col min="2" max="7" width="14" customWidth="1"/>
  </cols>
  <sheetData>
    <row r="1" spans="1:3" ht="18.75" x14ac:dyDescent="0.3">
      <c r="A1" s="1" t="s">
        <v>0</v>
      </c>
    </row>
    <row r="2" spans="1:3" x14ac:dyDescent="0.25">
      <c r="A2" s="2" t="s">
        <v>1</v>
      </c>
    </row>
    <row r="3" spans="1:3" x14ac:dyDescent="0.25">
      <c r="A3" s="2" t="s">
        <v>2</v>
      </c>
    </row>
    <row r="5" spans="1:3" x14ac:dyDescent="0.25">
      <c r="A5" s="3" t="s">
        <v>3</v>
      </c>
      <c r="B5" s="4" t="s">
        <v>4</v>
      </c>
      <c r="C5" s="4" t="s">
        <v>5</v>
      </c>
    </row>
    <row r="6" spans="1:3" x14ac:dyDescent="0.25">
      <c r="A6" s="5" t="s">
        <v>6</v>
      </c>
      <c r="B6" s="6">
        <v>37</v>
      </c>
      <c r="C6" s="5"/>
    </row>
    <row r="7" spans="1:3" x14ac:dyDescent="0.25">
      <c r="A7" s="5" t="s">
        <v>7</v>
      </c>
      <c r="B7" s="6">
        <v>150</v>
      </c>
      <c r="C7" s="5"/>
    </row>
    <row r="8" spans="1:3" x14ac:dyDescent="0.25">
      <c r="A8" s="5" t="s">
        <v>8</v>
      </c>
      <c r="B8" s="6">
        <f>COUNTA('Price Comparison'!$A$5:$A$24)</f>
        <v>20</v>
      </c>
      <c r="C8" s="7">
        <f>B8/B7</f>
        <v>0.13333333333333333</v>
      </c>
    </row>
    <row r="9" spans="1:3" x14ac:dyDescent="0.25">
      <c r="A9" s="5" t="s">
        <v>9</v>
      </c>
      <c r="B9" s="6">
        <v>17</v>
      </c>
      <c r="C9" s="5"/>
    </row>
    <row r="10" spans="1:3" x14ac:dyDescent="0.25">
      <c r="A10" s="5" t="s">
        <v>10</v>
      </c>
      <c r="B10" s="6">
        <v>130</v>
      </c>
      <c r="C10" s="7">
        <f>B10/B7</f>
        <v>0.8666666666666667</v>
      </c>
    </row>
    <row r="12" spans="1:3" x14ac:dyDescent="0.25">
      <c r="A12" s="3" t="s">
        <v>11</v>
      </c>
      <c r="B12" s="4" t="s">
        <v>4</v>
      </c>
      <c r="C12" s="4" t="s">
        <v>12</v>
      </c>
    </row>
    <row r="13" spans="1:3" x14ac:dyDescent="0.25">
      <c r="A13" s="5" t="s">
        <v>13</v>
      </c>
      <c r="B13" s="6">
        <f>COUNTIF('Price Comparison'!$J$5:$J$24,"Wise")</f>
        <v>12</v>
      </c>
      <c r="C13" s="7">
        <f>B13/$B$8</f>
        <v>0.6</v>
      </c>
    </row>
    <row r="14" spans="1:3" x14ac:dyDescent="0.25">
      <c r="A14" s="5" t="s">
        <v>14</v>
      </c>
      <c r="B14" s="6">
        <f>COUNTIF('Price Comparison'!$J$5:$J$24,"Highland")</f>
        <v>5</v>
      </c>
      <c r="C14" s="7">
        <f>B14/$B$8</f>
        <v>0.25</v>
      </c>
    </row>
    <row r="15" spans="1:3" x14ac:dyDescent="0.25">
      <c r="A15" s="5" t="s">
        <v>15</v>
      </c>
      <c r="B15" s="6">
        <f>COUNTIF('Price Comparison'!$J$5:$J$24,"Same")</f>
        <v>3</v>
      </c>
      <c r="C15" s="7">
        <f>B15/$B$8</f>
        <v>0.15</v>
      </c>
    </row>
    <row r="17" spans="1:6" x14ac:dyDescent="0.25">
      <c r="A17" s="3" t="s">
        <v>16</v>
      </c>
      <c r="B17" s="4" t="s">
        <v>17</v>
      </c>
      <c r="C17" s="4" t="s">
        <v>18</v>
      </c>
    </row>
    <row r="18" spans="1:6" x14ac:dyDescent="0.25">
      <c r="A18" s="5" t="s">
        <v>19</v>
      </c>
      <c r="B18" s="8">
        <f>AVERAGE('Price Comparison'!$H$5:$H$24)</f>
        <v>1.6800000000000002E-2</v>
      </c>
      <c r="C18" s="9">
        <f>AVERAGE('Price Comparison'!$I$5:$I$24)</f>
        <v>3.5369863761237831E-2</v>
      </c>
    </row>
    <row r="19" spans="1:6" x14ac:dyDescent="0.25">
      <c r="A19" s="5" t="s">
        <v>20</v>
      </c>
      <c r="B19" s="8">
        <f>MEDIAN('Price Comparison'!$H$5:$H$24)</f>
        <v>5.5000000000000049E-3</v>
      </c>
      <c r="C19" s="9">
        <f>MEDIAN('Price Comparison'!$I$5:$I$24)</f>
        <v>1.3961525522219177E-2</v>
      </c>
    </row>
    <row r="20" spans="1:6" x14ac:dyDescent="0.25">
      <c r="A20" s="5" t="s">
        <v>21</v>
      </c>
      <c r="B20" s="8">
        <f>AVERAGEIF('Price Comparison'!$H$5:$H$24,"&gt;0")</f>
        <v>7.0416666666666669E-2</v>
      </c>
      <c r="C20" s="9">
        <f>AVERAGEIF('Price Comparison'!$I$5:$I$24,"&gt;0")</f>
        <v>9.263895208989896E-2</v>
      </c>
    </row>
    <row r="21" spans="1:6" x14ac:dyDescent="0.25">
      <c r="A21" s="5" t="s">
        <v>22</v>
      </c>
      <c r="B21" s="8">
        <f>AVERAGEIF('Price Comparison'!$H$5:$H$24,"&lt;0")</f>
        <v>-0.1018</v>
      </c>
      <c r="C21" s="9">
        <f>AVERAGEIF('Price Comparison'!$I$5:$I$24,"&lt;0")</f>
        <v>-8.0854029970806165E-2</v>
      </c>
    </row>
    <row r="22" spans="1:6" x14ac:dyDescent="0.25">
      <c r="A22" s="5" t="s">
        <v>23</v>
      </c>
      <c r="B22" s="8">
        <f>MAX('Price Comparison'!$H$5:$H$24)</f>
        <v>0.15400000000000003</v>
      </c>
      <c r="C22" s="9">
        <f>MAX('Price Comparison'!$I$5:$I$24)</f>
        <v>0.24773413897280955</v>
      </c>
    </row>
    <row r="23" spans="1:6" x14ac:dyDescent="0.25">
      <c r="A23" s="5" t="s">
        <v>24</v>
      </c>
      <c r="B23" s="8">
        <f>MIN('Price Comparison'!$H$5:$H$24)</f>
        <v>-0.30200000000000005</v>
      </c>
      <c r="C23" s="9">
        <f>MIN('Price Comparison'!$I$5:$I$24)</f>
        <v>-0.1815995189416717</v>
      </c>
    </row>
    <row r="25" spans="1:6" x14ac:dyDescent="0.25">
      <c r="A25" s="3" t="s">
        <v>25</v>
      </c>
      <c r="B25" s="10"/>
      <c r="C25" s="10"/>
      <c r="D25" s="10"/>
      <c r="E25" s="10"/>
      <c r="F25" s="10"/>
    </row>
    <row r="26" spans="1:6" x14ac:dyDescent="0.25">
      <c r="A26" s="11" t="s">
        <v>26</v>
      </c>
      <c r="B26" s="12"/>
      <c r="C26" s="13" t="s">
        <v>27</v>
      </c>
      <c r="D26" s="13" t="s">
        <v>28</v>
      </c>
      <c r="E26" s="13" t="s">
        <v>17</v>
      </c>
      <c r="F26" s="13" t="s">
        <v>18</v>
      </c>
    </row>
    <row r="27" spans="1:6" x14ac:dyDescent="0.25">
      <c r="A27" s="5" t="str">
        <f>'Price Comparison'!A5&amp;"  "&amp;'Price Comparison'!B5</f>
        <v>53872  TT FSC/S2550/40#SCK</v>
      </c>
      <c r="B27" s="14"/>
      <c r="C27" s="15">
        <f>'Price Comparison'!F5</f>
        <v>0.41299999999999998</v>
      </c>
      <c r="D27" s="15">
        <f>'Price Comparison'!G5</f>
        <v>0.33100000000000002</v>
      </c>
      <c r="E27" s="8">
        <f>'Price Comparison'!H5</f>
        <v>8.1999999999999962E-2</v>
      </c>
      <c r="F27" s="9">
        <f>'Price Comparison'!I5</f>
        <v>0.24773413897280955</v>
      </c>
    </row>
    <row r="28" spans="1:6" x14ac:dyDescent="0.25">
      <c r="A28" s="5" t="str">
        <f>'Price Comparison'!A6&amp;"  "&amp;'Price Comparison'!B6</f>
        <v>B5661  TT1C FSC PB/S2550/40#SCK</v>
      </c>
      <c r="B28" s="14"/>
      <c r="C28" s="15">
        <f>'Price Comparison'!F6</f>
        <v>0.89200000000000002</v>
      </c>
      <c r="D28" s="15">
        <f>'Price Comparison'!G6</f>
        <v>0.73799999999999999</v>
      </c>
      <c r="E28" s="8">
        <f>'Price Comparison'!H6</f>
        <v>0.15400000000000003</v>
      </c>
      <c r="F28" s="9">
        <f>'Price Comparison'!I6</f>
        <v>0.20867208672086723</v>
      </c>
    </row>
    <row r="29" spans="1:6" x14ac:dyDescent="0.25">
      <c r="A29" s="5" t="str">
        <f>'Price Comparison'!A7&amp;"  "&amp;'Price Comparison'!B7</f>
        <v>C2621  2.3 MIL WH BOPP TC2000/S6650/50# SCK</v>
      </c>
      <c r="B29" s="14"/>
      <c r="C29" s="15">
        <f>'Price Comparison'!F7</f>
        <v>1.1020000000000001</v>
      </c>
      <c r="D29" s="15">
        <f>'Price Comparison'!G7</f>
        <v>0.95</v>
      </c>
      <c r="E29" s="8">
        <f>'Price Comparison'!H7</f>
        <v>0.15200000000000014</v>
      </c>
      <c r="F29" s="9">
        <f>'Price Comparison'!I7</f>
        <v>0.16000000000000014</v>
      </c>
    </row>
    <row r="30" spans="1:6" x14ac:dyDescent="0.25">
      <c r="A30" s="5" t="str">
        <f>'Price Comparison'!A8&amp;"  "&amp;'Price Comparison'!B8</f>
        <v>B7699  TT2C FSC/LP1000/40#SCK</v>
      </c>
      <c r="B30" s="14"/>
      <c r="C30" s="15">
        <f>'Price Comparison'!F8</f>
        <v>1.131</v>
      </c>
      <c r="D30" s="15">
        <f>'Price Comparison'!G8</f>
        <v>0.97699999999999998</v>
      </c>
      <c r="E30" s="8">
        <f>'Price Comparison'!H8</f>
        <v>0.15400000000000003</v>
      </c>
      <c r="F30" s="9">
        <f>'Price Comparison'!I8</f>
        <v>0.15762538382804506</v>
      </c>
    </row>
    <row r="31" spans="1:6" x14ac:dyDescent="0.25">
      <c r="A31" s="5" t="str">
        <f>'Price Comparison'!A9&amp;"  "&amp;'Price Comparison'!B9</f>
        <v>77921  2M CL PET TC/S8025/50#SCK</v>
      </c>
      <c r="B31" s="14"/>
      <c r="C31" s="15">
        <f>'Price Comparison'!F9</f>
        <v>1.726</v>
      </c>
      <c r="D31" s="15">
        <f>'Price Comparison'!G9</f>
        <v>1.597</v>
      </c>
      <c r="E31" s="8">
        <f>'Price Comparison'!H9</f>
        <v>0.129</v>
      </c>
      <c r="F31" s="9">
        <f>'Price Comparison'!I9</f>
        <v>8.0776455854727619E-2</v>
      </c>
    </row>
    <row r="33" spans="1:6" x14ac:dyDescent="0.25">
      <c r="A33" s="3" t="s">
        <v>29</v>
      </c>
      <c r="B33" s="10"/>
      <c r="C33" s="10"/>
      <c r="D33" s="10"/>
      <c r="E33" s="10"/>
      <c r="F33" s="10"/>
    </row>
    <row r="34" spans="1:6" x14ac:dyDescent="0.25">
      <c r="A34" s="11" t="s">
        <v>26</v>
      </c>
      <c r="B34" s="12"/>
      <c r="C34" s="13" t="s">
        <v>27</v>
      </c>
      <c r="D34" s="13" t="s">
        <v>28</v>
      </c>
      <c r="E34" s="13" t="s">
        <v>17</v>
      </c>
      <c r="F34" s="13" t="s">
        <v>18</v>
      </c>
    </row>
    <row r="35" spans="1:6" x14ac:dyDescent="0.25">
      <c r="A35" s="5" t="str">
        <f>'Price Comparison'!A24&amp;"  "&amp;'Price Comparison'!B24</f>
        <v>72825  2M WH PET TC/S333/50#SCK ABC</v>
      </c>
      <c r="B35" s="14"/>
      <c r="C35" s="15">
        <f>'Price Comparison'!F24</f>
        <v>1.361</v>
      </c>
      <c r="D35" s="15">
        <f>'Price Comparison'!G24</f>
        <v>1.663</v>
      </c>
      <c r="E35" s="8">
        <f>'Price Comparison'!H24</f>
        <v>-0.30200000000000005</v>
      </c>
      <c r="F35" s="9">
        <f>'Price Comparison'!I24</f>
        <v>-0.1815995189416717</v>
      </c>
    </row>
    <row r="36" spans="1:6" x14ac:dyDescent="0.25">
      <c r="A36" s="5" t="str">
        <f>'Price Comparison'!A23&amp;"  "&amp;'Price Comparison'!B23</f>
        <v>75570  3.0M SYN PAPER/S333/50#SCK</v>
      </c>
      <c r="B36" s="14"/>
      <c r="C36" s="15">
        <f>'Price Comparison'!F23</f>
        <v>0.96</v>
      </c>
      <c r="D36" s="15">
        <f>'Price Comparison'!G23</f>
        <v>1.1319999999999999</v>
      </c>
      <c r="E36" s="8">
        <f>'Price Comparison'!H23</f>
        <v>-0.17199999999999993</v>
      </c>
      <c r="F36" s="9">
        <f>'Price Comparison'!I23</f>
        <v>-0.15194346289752644</v>
      </c>
    </row>
    <row r="37" spans="1:6" x14ac:dyDescent="0.25">
      <c r="A37" s="5" t="str">
        <f>'Price Comparison'!A22&amp;"  "&amp;'Price Comparison'!B22</f>
        <v>53057  54# SG LASER FSC/S2501/53#LF</v>
      </c>
      <c r="B37" s="14"/>
      <c r="C37" s="15">
        <f>'Price Comparison'!F22</f>
        <v>0.442</v>
      </c>
      <c r="D37" s="15">
        <f>'Price Comparison'!G22</f>
        <v>0.45400000000000001</v>
      </c>
      <c r="E37" s="8">
        <f>'Price Comparison'!H22</f>
        <v>-1.2000000000000011E-2</v>
      </c>
      <c r="F37" s="9">
        <f>'Price Comparison'!I22</f>
        <v>-2.643171806167403E-2</v>
      </c>
    </row>
    <row r="38" spans="1:6" x14ac:dyDescent="0.25">
      <c r="A38" s="5" t="str">
        <f>'Price Comparison'!A21&amp;"  "&amp;'Price Comparison'!B21</f>
        <v>18559  60# ARCHIVAL SG FSC/R5195/41#LF</v>
      </c>
      <c r="B38" s="14"/>
      <c r="C38" s="15">
        <f>'Price Comparison'!F21</f>
        <v>0.49199999999999999</v>
      </c>
      <c r="D38" s="15">
        <f>'Price Comparison'!G21</f>
        <v>0.505</v>
      </c>
      <c r="E38" s="8">
        <f>'Price Comparison'!H21</f>
        <v>-1.3000000000000012E-2</v>
      </c>
      <c r="F38" s="9">
        <f>'Price Comparison'!I21</f>
        <v>-2.5742574257425765E-2</v>
      </c>
    </row>
    <row r="39" spans="1:6" x14ac:dyDescent="0.25">
      <c r="A39" s="5" t="str">
        <f>'Price Comparison'!A20&amp;"  "&amp;'Price Comparison'!B20</f>
        <v>18327  TT1C FSC/R5195/40#SCK</v>
      </c>
      <c r="B39" s="14"/>
      <c r="C39" s="15">
        <f>'Price Comparison'!F20</f>
        <v>0.52900000000000003</v>
      </c>
      <c r="D39" s="15">
        <f>'Price Comparison'!G20</f>
        <v>0.53900000000000003</v>
      </c>
      <c r="E39" s="8">
        <f>'Price Comparison'!H20</f>
        <v>-1.0000000000000009E-2</v>
      </c>
      <c r="F39" s="9">
        <f>'Price Comparison'!I20</f>
        <v>-1.8552875695732853E-2</v>
      </c>
    </row>
    <row r="41" spans="1:6" x14ac:dyDescent="0.25">
      <c r="A41" s="16" t="s">
        <v>30</v>
      </c>
    </row>
    <row r="42" spans="1:6" x14ac:dyDescent="0.25">
      <c r="A42" s="17" t="s">
        <v>31</v>
      </c>
    </row>
    <row r="43" spans="1:6" x14ac:dyDescent="0.25">
      <c r="A43" s="17" t="s">
        <v>32</v>
      </c>
    </row>
    <row r="44" spans="1:6" x14ac:dyDescent="0.25">
      <c r="A44" s="17" t="s">
        <v>33</v>
      </c>
    </row>
    <row r="45" spans="1:6" x14ac:dyDescent="0.25">
      <c r="A45" s="17" t="s">
        <v>34</v>
      </c>
    </row>
    <row r="46" spans="1:6" x14ac:dyDescent="0.25">
      <c r="A46" s="17" t="s">
        <v>35</v>
      </c>
    </row>
    <row r="47" spans="1:6" x14ac:dyDescent="0.25">
      <c r="A47" s="17" t="s">
        <v>36</v>
      </c>
    </row>
  </sheetData>
  <conditionalFormatting sqref="B18:C23">
    <cfRule type="cellIs" dxfId="5" priority="3" operator="greaterThan">
      <formula>0.000001</formula>
    </cfRule>
    <cfRule type="cellIs" dxfId="4" priority="4" operator="lessThan">
      <formula>-0.000001</formula>
    </cfRule>
  </conditionalFormatting>
  <conditionalFormatting sqref="E27:F31">
    <cfRule type="cellIs" dxfId="3" priority="1" operator="greaterThan">
      <formula>0.000001</formula>
    </cfRule>
  </conditionalFormatting>
  <conditionalFormatting sqref="E35:F39">
    <cfRule type="cellIs" dxfId="2" priority="2" operator="lessThan">
      <formula>-0.000001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" customWidth="1"/>
    <col min="2" max="2" width="42" customWidth="1"/>
    <col min="3" max="3" width="7" customWidth="1"/>
    <col min="4" max="5" width="14" customWidth="1"/>
    <col min="6" max="7" width="13" customWidth="1"/>
    <col min="8" max="8" width="12" customWidth="1"/>
    <col min="9" max="9" width="14" customWidth="1"/>
    <col min="10" max="10" width="13" customWidth="1"/>
  </cols>
  <sheetData>
    <row r="1" spans="1:10" ht="17.25" x14ac:dyDescent="0.3">
      <c r="A1" s="18" t="s">
        <v>37</v>
      </c>
    </row>
    <row r="2" spans="1:10" x14ac:dyDescent="0.25">
      <c r="A2" s="19" t="s">
        <v>38</v>
      </c>
    </row>
    <row r="4" spans="1:10" ht="32.1" customHeight="1" x14ac:dyDescent="0.25">
      <c r="A4" s="20" t="s">
        <v>39</v>
      </c>
      <c r="B4" s="20" t="s">
        <v>40</v>
      </c>
      <c r="C4" s="20" t="s">
        <v>41</v>
      </c>
      <c r="D4" s="20" t="s">
        <v>42</v>
      </c>
      <c r="E4" s="20" t="s">
        <v>43</v>
      </c>
      <c r="F4" s="20" t="s">
        <v>44</v>
      </c>
      <c r="G4" s="20" t="s">
        <v>45</v>
      </c>
      <c r="H4" s="20" t="s">
        <v>17</v>
      </c>
      <c r="I4" s="20" t="s">
        <v>46</v>
      </c>
      <c r="J4" s="20" t="s">
        <v>47</v>
      </c>
    </row>
    <row r="5" spans="1:10" x14ac:dyDescent="0.25">
      <c r="A5" s="21" t="s">
        <v>48</v>
      </c>
      <c r="B5" s="5" t="s">
        <v>49</v>
      </c>
      <c r="C5" s="21" t="s">
        <v>50</v>
      </c>
      <c r="D5" s="22">
        <v>46146</v>
      </c>
      <c r="E5" s="22">
        <v>46146</v>
      </c>
      <c r="F5" s="23">
        <v>0.41299999999999998</v>
      </c>
      <c r="G5" s="23">
        <v>0.33100000000000002</v>
      </c>
      <c r="H5" s="24">
        <f t="shared" ref="H5:H24" si="0">F5-G5</f>
        <v>8.1999999999999962E-2</v>
      </c>
      <c r="I5" s="25">
        <f t="shared" ref="I5:I24" si="1">H5/G5</f>
        <v>0.24773413897280955</v>
      </c>
      <c r="J5" s="21" t="str">
        <f t="shared" ref="J5:J24" si="2">IF(ROUND(H5,5)=0,"Same",IF(H5&gt;0,"Wise","Highland"))</f>
        <v>Wise</v>
      </c>
    </row>
    <row r="6" spans="1:10" x14ac:dyDescent="0.25">
      <c r="A6" s="21" t="s">
        <v>51</v>
      </c>
      <c r="B6" s="5" t="s">
        <v>52</v>
      </c>
      <c r="C6" s="21" t="s">
        <v>50</v>
      </c>
      <c r="D6" s="22">
        <v>46146</v>
      </c>
      <c r="E6" s="22">
        <v>46146</v>
      </c>
      <c r="F6" s="23">
        <v>0.89200000000000002</v>
      </c>
      <c r="G6" s="23">
        <v>0.73799999999999999</v>
      </c>
      <c r="H6" s="24">
        <f t="shared" si="0"/>
        <v>0.15400000000000003</v>
      </c>
      <c r="I6" s="25">
        <f t="shared" si="1"/>
        <v>0.20867208672086723</v>
      </c>
      <c r="J6" s="21" t="str">
        <f t="shared" si="2"/>
        <v>Wise</v>
      </c>
    </row>
    <row r="7" spans="1:10" x14ac:dyDescent="0.25">
      <c r="A7" s="21" t="s">
        <v>53</v>
      </c>
      <c r="B7" s="5" t="s">
        <v>54</v>
      </c>
      <c r="C7" s="21" t="s">
        <v>50</v>
      </c>
      <c r="D7" s="22">
        <v>46146</v>
      </c>
      <c r="E7" s="22">
        <v>46261</v>
      </c>
      <c r="F7" s="23">
        <v>1.1020000000000001</v>
      </c>
      <c r="G7" s="23">
        <v>0.95</v>
      </c>
      <c r="H7" s="24">
        <f t="shared" si="0"/>
        <v>0.15200000000000014</v>
      </c>
      <c r="I7" s="25">
        <f t="shared" si="1"/>
        <v>0.16000000000000014</v>
      </c>
      <c r="J7" s="21" t="str">
        <f t="shared" si="2"/>
        <v>Wise</v>
      </c>
    </row>
    <row r="8" spans="1:10" x14ac:dyDescent="0.25">
      <c r="A8" s="21" t="s">
        <v>55</v>
      </c>
      <c r="B8" s="5" t="s">
        <v>56</v>
      </c>
      <c r="C8" s="21" t="s">
        <v>50</v>
      </c>
      <c r="D8" s="22">
        <v>46146</v>
      </c>
      <c r="E8" s="22">
        <v>46203</v>
      </c>
      <c r="F8" s="23">
        <v>1.131</v>
      </c>
      <c r="G8" s="23">
        <v>0.97699999999999998</v>
      </c>
      <c r="H8" s="24">
        <f t="shared" si="0"/>
        <v>0.15400000000000003</v>
      </c>
      <c r="I8" s="25">
        <f t="shared" si="1"/>
        <v>0.15762538382804506</v>
      </c>
      <c r="J8" s="21" t="str">
        <f t="shared" si="2"/>
        <v>Wise</v>
      </c>
    </row>
    <row r="9" spans="1:10" x14ac:dyDescent="0.25">
      <c r="A9" s="21" t="s">
        <v>57</v>
      </c>
      <c r="B9" s="5" t="s">
        <v>58</v>
      </c>
      <c r="C9" s="21" t="s">
        <v>50</v>
      </c>
      <c r="D9" s="22">
        <v>46146</v>
      </c>
      <c r="E9" s="22">
        <v>46146</v>
      </c>
      <c r="F9" s="23">
        <v>1.726</v>
      </c>
      <c r="G9" s="23">
        <v>1.597</v>
      </c>
      <c r="H9" s="24">
        <f t="shared" si="0"/>
        <v>0.129</v>
      </c>
      <c r="I9" s="25">
        <f t="shared" si="1"/>
        <v>8.0776455854727619E-2</v>
      </c>
      <c r="J9" s="21" t="str">
        <f t="shared" si="2"/>
        <v>Wise</v>
      </c>
    </row>
    <row r="10" spans="1:10" x14ac:dyDescent="0.25">
      <c r="A10" s="21" t="s">
        <v>59</v>
      </c>
      <c r="B10" s="5" t="s">
        <v>60</v>
      </c>
      <c r="C10" s="21" t="s">
        <v>50</v>
      </c>
      <c r="D10" s="22">
        <v>46146</v>
      </c>
      <c r="E10" s="22">
        <v>46146</v>
      </c>
      <c r="F10" s="23">
        <v>0.84599999999999997</v>
      </c>
      <c r="G10" s="23">
        <v>0.78700000000000003</v>
      </c>
      <c r="H10" s="24">
        <f t="shared" si="0"/>
        <v>5.8999999999999941E-2</v>
      </c>
      <c r="I10" s="25">
        <f t="shared" si="1"/>
        <v>7.4968233799237532E-2</v>
      </c>
      <c r="J10" s="21" t="str">
        <f t="shared" si="2"/>
        <v>Wise</v>
      </c>
    </row>
    <row r="11" spans="1:10" x14ac:dyDescent="0.25">
      <c r="A11" s="21" t="s">
        <v>61</v>
      </c>
      <c r="B11" s="5" t="s">
        <v>62</v>
      </c>
      <c r="C11" s="21" t="s">
        <v>50</v>
      </c>
      <c r="D11" s="22">
        <v>46146</v>
      </c>
      <c r="E11" s="22">
        <v>46146</v>
      </c>
      <c r="F11" s="23">
        <v>0.46300000000000002</v>
      </c>
      <c r="G11" s="23">
        <v>0.437</v>
      </c>
      <c r="H11" s="24">
        <f t="shared" si="0"/>
        <v>2.6000000000000023E-2</v>
      </c>
      <c r="I11" s="25">
        <f t="shared" si="1"/>
        <v>5.9496567505720875E-2</v>
      </c>
      <c r="J11" s="21" t="str">
        <f t="shared" si="2"/>
        <v>Wise</v>
      </c>
    </row>
    <row r="12" spans="1:10" x14ac:dyDescent="0.25">
      <c r="A12" s="21" t="s">
        <v>63</v>
      </c>
      <c r="B12" s="5" t="s">
        <v>64</v>
      </c>
      <c r="C12" s="21" t="s">
        <v>50</v>
      </c>
      <c r="D12" s="22">
        <v>46146</v>
      </c>
      <c r="E12" s="22">
        <v>46146</v>
      </c>
      <c r="F12" s="23">
        <v>0.43099999999999999</v>
      </c>
      <c r="G12" s="23">
        <v>0.40799999999999997</v>
      </c>
      <c r="H12" s="24">
        <f t="shared" si="0"/>
        <v>2.300000000000002E-2</v>
      </c>
      <c r="I12" s="25">
        <f t="shared" si="1"/>
        <v>5.63725490196079E-2</v>
      </c>
      <c r="J12" s="21" t="str">
        <f t="shared" si="2"/>
        <v>Wise</v>
      </c>
    </row>
    <row r="13" spans="1:10" x14ac:dyDescent="0.25">
      <c r="A13" s="21" t="s">
        <v>65</v>
      </c>
      <c r="B13" s="5" t="s">
        <v>66</v>
      </c>
      <c r="C13" s="21" t="s">
        <v>50</v>
      </c>
      <c r="D13" s="22">
        <v>46146</v>
      </c>
      <c r="E13" s="22">
        <v>46146</v>
      </c>
      <c r="F13" s="23">
        <v>1.851</v>
      </c>
      <c r="G13" s="23">
        <v>1.8</v>
      </c>
      <c r="H13" s="24">
        <f t="shared" si="0"/>
        <v>5.0999999999999934E-2</v>
      </c>
      <c r="I13" s="25">
        <f t="shared" si="1"/>
        <v>2.8333333333333297E-2</v>
      </c>
      <c r="J13" s="21" t="str">
        <f t="shared" si="2"/>
        <v>Wise</v>
      </c>
    </row>
    <row r="14" spans="1:10" x14ac:dyDescent="0.25">
      <c r="A14" s="21" t="s">
        <v>67</v>
      </c>
      <c r="B14" s="5" t="s">
        <v>68</v>
      </c>
      <c r="C14" s="21" t="s">
        <v>50</v>
      </c>
      <c r="D14" s="22">
        <v>46146</v>
      </c>
      <c r="E14" s="22">
        <v>46146</v>
      </c>
      <c r="F14" s="23">
        <v>0.35199999999999998</v>
      </c>
      <c r="G14" s="23">
        <v>0.34599999999999997</v>
      </c>
      <c r="H14" s="24">
        <f t="shared" si="0"/>
        <v>6.0000000000000053E-3</v>
      </c>
      <c r="I14" s="25">
        <f t="shared" si="1"/>
        <v>1.7341040462427761E-2</v>
      </c>
      <c r="J14" s="21" t="str">
        <f t="shared" si="2"/>
        <v>Wise</v>
      </c>
    </row>
    <row r="15" spans="1:10" x14ac:dyDescent="0.25">
      <c r="A15" s="21" t="s">
        <v>69</v>
      </c>
      <c r="B15" s="5" t="s">
        <v>70</v>
      </c>
      <c r="C15" s="21" t="s">
        <v>50</v>
      </c>
      <c r="D15" s="22">
        <v>46220</v>
      </c>
      <c r="E15" s="22">
        <v>46220</v>
      </c>
      <c r="F15" s="23">
        <v>0.38200000000000001</v>
      </c>
      <c r="G15" s="23">
        <v>0.378</v>
      </c>
      <c r="H15" s="24">
        <f t="shared" si="0"/>
        <v>4.0000000000000036E-3</v>
      </c>
      <c r="I15" s="25">
        <f t="shared" si="1"/>
        <v>1.0582010582010592E-2</v>
      </c>
      <c r="J15" s="21" t="str">
        <f t="shared" si="2"/>
        <v>Wise</v>
      </c>
    </row>
    <row r="16" spans="1:10" x14ac:dyDescent="0.25">
      <c r="A16" s="21" t="s">
        <v>71</v>
      </c>
      <c r="B16" s="5" t="s">
        <v>72</v>
      </c>
      <c r="C16" s="21" t="s">
        <v>50</v>
      </c>
      <c r="D16" s="22">
        <v>46146</v>
      </c>
      <c r="E16" s="22">
        <v>46206</v>
      </c>
      <c r="F16" s="23">
        <v>0.51700000000000002</v>
      </c>
      <c r="G16" s="23">
        <v>0.51200000000000001</v>
      </c>
      <c r="H16" s="24">
        <f t="shared" si="0"/>
        <v>5.0000000000000044E-3</v>
      </c>
      <c r="I16" s="25">
        <f t="shared" si="1"/>
        <v>9.7656250000000087E-3</v>
      </c>
      <c r="J16" s="21" t="str">
        <f t="shared" si="2"/>
        <v>Wise</v>
      </c>
    </row>
    <row r="17" spans="1:10" x14ac:dyDescent="0.25">
      <c r="A17" s="21" t="s">
        <v>73</v>
      </c>
      <c r="B17" s="5" t="s">
        <v>74</v>
      </c>
      <c r="C17" s="21" t="s">
        <v>50</v>
      </c>
      <c r="D17" s="22">
        <v>46146</v>
      </c>
      <c r="E17" s="22">
        <v>46146</v>
      </c>
      <c r="F17" s="23">
        <v>1.117</v>
      </c>
      <c r="G17" s="23">
        <v>1.117</v>
      </c>
      <c r="H17" s="24">
        <f t="shared" si="0"/>
        <v>0</v>
      </c>
      <c r="I17" s="25">
        <f t="shared" si="1"/>
        <v>0</v>
      </c>
      <c r="J17" s="21" t="str">
        <f t="shared" si="2"/>
        <v>Same</v>
      </c>
    </row>
    <row r="18" spans="1:10" x14ac:dyDescent="0.25">
      <c r="A18" s="21" t="s">
        <v>75</v>
      </c>
      <c r="B18" s="5" t="s">
        <v>76</v>
      </c>
      <c r="C18" s="21" t="s">
        <v>50</v>
      </c>
      <c r="D18" s="22">
        <v>46146</v>
      </c>
      <c r="E18" s="22">
        <v>46146</v>
      </c>
      <c r="F18" s="23">
        <v>0.69899999999999995</v>
      </c>
      <c r="G18" s="23">
        <v>0.69899999999999995</v>
      </c>
      <c r="H18" s="24">
        <f t="shared" si="0"/>
        <v>0</v>
      </c>
      <c r="I18" s="25">
        <f t="shared" si="1"/>
        <v>0</v>
      </c>
      <c r="J18" s="21" t="str">
        <f t="shared" si="2"/>
        <v>Same</v>
      </c>
    </row>
    <row r="19" spans="1:10" x14ac:dyDescent="0.25">
      <c r="A19" s="21" t="s">
        <v>77</v>
      </c>
      <c r="B19" s="5" t="s">
        <v>78</v>
      </c>
      <c r="C19" s="21" t="s">
        <v>50</v>
      </c>
      <c r="D19" s="22">
        <v>46146</v>
      </c>
      <c r="E19" s="22">
        <v>46146</v>
      </c>
      <c r="F19" s="23">
        <v>0.43</v>
      </c>
      <c r="G19" s="23">
        <v>0.43</v>
      </c>
      <c r="H19" s="24">
        <f t="shared" si="0"/>
        <v>0</v>
      </c>
      <c r="I19" s="25">
        <f t="shared" si="1"/>
        <v>0</v>
      </c>
      <c r="J19" s="21" t="str">
        <f t="shared" si="2"/>
        <v>Same</v>
      </c>
    </row>
    <row r="20" spans="1:10" x14ac:dyDescent="0.25">
      <c r="A20" s="21" t="s">
        <v>79</v>
      </c>
      <c r="B20" s="5" t="s">
        <v>80</v>
      </c>
      <c r="C20" s="21" t="s">
        <v>50</v>
      </c>
      <c r="D20" s="22">
        <v>46146</v>
      </c>
      <c r="E20" s="22">
        <v>46146</v>
      </c>
      <c r="F20" s="23">
        <v>0.52900000000000003</v>
      </c>
      <c r="G20" s="23">
        <v>0.53900000000000003</v>
      </c>
      <c r="H20" s="24">
        <f t="shared" si="0"/>
        <v>-1.0000000000000009E-2</v>
      </c>
      <c r="I20" s="25">
        <f t="shared" si="1"/>
        <v>-1.8552875695732853E-2</v>
      </c>
      <c r="J20" s="21" t="str">
        <f t="shared" si="2"/>
        <v>Highland</v>
      </c>
    </row>
    <row r="21" spans="1:10" x14ac:dyDescent="0.25">
      <c r="A21" s="21" t="s">
        <v>81</v>
      </c>
      <c r="B21" s="5" t="s">
        <v>82</v>
      </c>
      <c r="C21" s="21" t="s">
        <v>50</v>
      </c>
      <c r="D21" s="22">
        <v>46146</v>
      </c>
      <c r="E21" s="22">
        <v>46231</v>
      </c>
      <c r="F21" s="23">
        <v>0.49199999999999999</v>
      </c>
      <c r="G21" s="23">
        <v>0.505</v>
      </c>
      <c r="H21" s="24">
        <f t="shared" si="0"/>
        <v>-1.3000000000000012E-2</v>
      </c>
      <c r="I21" s="25">
        <f t="shared" si="1"/>
        <v>-2.5742574257425765E-2</v>
      </c>
      <c r="J21" s="21" t="str">
        <f t="shared" si="2"/>
        <v>Highland</v>
      </c>
    </row>
    <row r="22" spans="1:10" x14ac:dyDescent="0.25">
      <c r="A22" s="21" t="s">
        <v>83</v>
      </c>
      <c r="B22" s="5" t="s">
        <v>84</v>
      </c>
      <c r="C22" s="21" t="s">
        <v>50</v>
      </c>
      <c r="D22" s="22">
        <v>46146</v>
      </c>
      <c r="E22" s="22">
        <v>46146</v>
      </c>
      <c r="F22" s="23">
        <v>0.442</v>
      </c>
      <c r="G22" s="23">
        <v>0.45400000000000001</v>
      </c>
      <c r="H22" s="24">
        <f t="shared" si="0"/>
        <v>-1.2000000000000011E-2</v>
      </c>
      <c r="I22" s="25">
        <f t="shared" si="1"/>
        <v>-2.643171806167403E-2</v>
      </c>
      <c r="J22" s="21" t="str">
        <f t="shared" si="2"/>
        <v>Highland</v>
      </c>
    </row>
    <row r="23" spans="1:10" x14ac:dyDescent="0.25">
      <c r="A23" s="21" t="s">
        <v>85</v>
      </c>
      <c r="B23" s="5" t="s">
        <v>86</v>
      </c>
      <c r="C23" s="21" t="s">
        <v>50</v>
      </c>
      <c r="D23" s="22">
        <v>46146</v>
      </c>
      <c r="E23" s="22">
        <v>46146</v>
      </c>
      <c r="F23" s="23">
        <v>0.96</v>
      </c>
      <c r="G23" s="23">
        <v>1.1319999999999999</v>
      </c>
      <c r="H23" s="24">
        <f t="shared" si="0"/>
        <v>-0.17199999999999993</v>
      </c>
      <c r="I23" s="25">
        <f t="shared" si="1"/>
        <v>-0.15194346289752644</v>
      </c>
      <c r="J23" s="21" t="str">
        <f t="shared" si="2"/>
        <v>Highland</v>
      </c>
    </row>
    <row r="24" spans="1:10" x14ac:dyDescent="0.25">
      <c r="A24" s="21" t="s">
        <v>87</v>
      </c>
      <c r="B24" s="5" t="s">
        <v>88</v>
      </c>
      <c r="C24" s="21" t="s">
        <v>50</v>
      </c>
      <c r="D24" s="22">
        <v>46146</v>
      </c>
      <c r="E24" s="22">
        <v>46146</v>
      </c>
      <c r="F24" s="23">
        <v>1.361</v>
      </c>
      <c r="G24" s="23">
        <v>1.663</v>
      </c>
      <c r="H24" s="24">
        <f t="shared" si="0"/>
        <v>-0.30200000000000005</v>
      </c>
      <c r="I24" s="25">
        <f t="shared" si="1"/>
        <v>-0.1815995189416717</v>
      </c>
      <c r="J24" s="21" t="str">
        <f t="shared" si="2"/>
        <v>Highland</v>
      </c>
    </row>
  </sheetData>
  <autoFilter ref="A4:J24" xr:uid="{00000000-0009-0000-0000-000001000000}"/>
  <conditionalFormatting sqref="H5:I24">
    <cfRule type="cellIs" dxfId="1" priority="1" operator="greaterThan">
      <formula>0.000001</formula>
    </cfRule>
    <cfRule type="cellIs" dxfId="0" priority="2" operator="lessThan">
      <formula>-0.000001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46" customWidth="1"/>
    <col min="3" max="3" width="7" customWidth="1"/>
    <col min="4" max="5" width="14" customWidth="1"/>
  </cols>
  <sheetData>
    <row r="1" spans="1:5" ht="17.25" x14ac:dyDescent="0.3">
      <c r="A1" s="18" t="s">
        <v>89</v>
      </c>
    </row>
    <row r="3" spans="1:5" ht="32.1" customHeight="1" x14ac:dyDescent="0.25">
      <c r="A3" s="20" t="s">
        <v>39</v>
      </c>
      <c r="B3" s="20" t="s">
        <v>40</v>
      </c>
      <c r="C3" s="20" t="s">
        <v>41</v>
      </c>
      <c r="D3" s="20" t="s">
        <v>42</v>
      </c>
      <c r="E3" s="20" t="s">
        <v>44</v>
      </c>
    </row>
    <row r="4" spans="1:5" x14ac:dyDescent="0.25">
      <c r="A4" s="21" t="s">
        <v>90</v>
      </c>
      <c r="B4" s="5" t="s">
        <v>91</v>
      </c>
      <c r="C4" s="21" t="s">
        <v>50</v>
      </c>
      <c r="D4" s="22">
        <v>46140</v>
      </c>
      <c r="E4" s="23">
        <v>1.663</v>
      </c>
    </row>
    <row r="5" spans="1:5" x14ac:dyDescent="0.25">
      <c r="A5" s="21" t="s">
        <v>92</v>
      </c>
      <c r="B5" s="5" t="s">
        <v>93</v>
      </c>
      <c r="C5" s="21" t="s">
        <v>50</v>
      </c>
      <c r="D5" s="22">
        <v>46146</v>
      </c>
      <c r="E5" s="23">
        <v>0.51300000000000001</v>
      </c>
    </row>
    <row r="6" spans="1:5" x14ac:dyDescent="0.25">
      <c r="A6" s="21" t="s">
        <v>94</v>
      </c>
      <c r="B6" s="5" t="s">
        <v>95</v>
      </c>
      <c r="C6" s="21" t="s">
        <v>50</v>
      </c>
      <c r="D6" s="22">
        <v>46146</v>
      </c>
      <c r="E6" s="23">
        <v>1.2090000000000001</v>
      </c>
    </row>
    <row r="7" spans="1:5" x14ac:dyDescent="0.25">
      <c r="A7" s="21" t="s">
        <v>96</v>
      </c>
      <c r="B7" s="5" t="s">
        <v>97</v>
      </c>
      <c r="C7" s="21" t="s">
        <v>50</v>
      </c>
      <c r="D7" s="22">
        <v>46146</v>
      </c>
      <c r="E7" s="23">
        <v>0.35399999999999998</v>
      </c>
    </row>
    <row r="8" spans="1:5" x14ac:dyDescent="0.25">
      <c r="A8" s="21" t="s">
        <v>98</v>
      </c>
      <c r="B8" s="5" t="s">
        <v>99</v>
      </c>
      <c r="C8" s="21" t="s">
        <v>50</v>
      </c>
      <c r="D8" s="22">
        <v>46146</v>
      </c>
      <c r="E8" s="23">
        <v>0.629</v>
      </c>
    </row>
    <row r="9" spans="1:5" x14ac:dyDescent="0.25">
      <c r="A9" s="21" t="s">
        <v>100</v>
      </c>
      <c r="B9" s="5" t="s">
        <v>101</v>
      </c>
      <c r="C9" s="21" t="s">
        <v>50</v>
      </c>
      <c r="D9" s="22">
        <v>46146</v>
      </c>
      <c r="E9" s="23">
        <v>0.50600000000000001</v>
      </c>
    </row>
    <row r="10" spans="1:5" x14ac:dyDescent="0.25">
      <c r="A10" s="21" t="s">
        <v>102</v>
      </c>
      <c r="B10" s="5" t="s">
        <v>103</v>
      </c>
      <c r="C10" s="21" t="s">
        <v>50</v>
      </c>
      <c r="D10" s="22">
        <v>46146</v>
      </c>
      <c r="E10" s="23">
        <v>1.8</v>
      </c>
    </row>
    <row r="11" spans="1:5" x14ac:dyDescent="0.25">
      <c r="A11" s="21" t="s">
        <v>104</v>
      </c>
      <c r="B11" s="5" t="s">
        <v>105</v>
      </c>
      <c r="C11" s="21" t="s">
        <v>50</v>
      </c>
      <c r="D11" s="22">
        <v>46146</v>
      </c>
      <c r="E11" s="23">
        <v>0.96</v>
      </c>
    </row>
    <row r="12" spans="1:5" x14ac:dyDescent="0.25">
      <c r="A12" s="21" t="s">
        <v>106</v>
      </c>
      <c r="B12" s="5" t="s">
        <v>107</v>
      </c>
      <c r="C12" s="21" t="s">
        <v>50</v>
      </c>
      <c r="D12" s="22">
        <v>46146</v>
      </c>
      <c r="E12" s="23">
        <v>3.556</v>
      </c>
    </row>
    <row r="13" spans="1:5" x14ac:dyDescent="0.25">
      <c r="A13" s="21" t="s">
        <v>108</v>
      </c>
      <c r="B13" s="5" t="s">
        <v>109</v>
      </c>
      <c r="C13" s="21" t="s">
        <v>50</v>
      </c>
      <c r="D13" s="22">
        <v>46164</v>
      </c>
      <c r="E13" s="23">
        <v>0.48</v>
      </c>
    </row>
    <row r="14" spans="1:5" x14ac:dyDescent="0.25">
      <c r="A14" s="21" t="s">
        <v>110</v>
      </c>
      <c r="B14" s="5" t="s">
        <v>111</v>
      </c>
      <c r="C14" s="21" t="s">
        <v>50</v>
      </c>
      <c r="D14" s="22">
        <v>46172</v>
      </c>
      <c r="E14" s="23">
        <v>0.48</v>
      </c>
    </row>
    <row r="15" spans="1:5" x14ac:dyDescent="0.25">
      <c r="A15" s="21" t="s">
        <v>112</v>
      </c>
      <c r="B15" s="5" t="s">
        <v>113</v>
      </c>
      <c r="C15" s="21" t="s">
        <v>50</v>
      </c>
      <c r="D15" s="22">
        <v>46146</v>
      </c>
      <c r="E15" s="23">
        <v>3.4380000000000002</v>
      </c>
    </row>
    <row r="16" spans="1:5" x14ac:dyDescent="0.25">
      <c r="A16" s="21" t="s">
        <v>114</v>
      </c>
      <c r="B16" s="5" t="s">
        <v>115</v>
      </c>
      <c r="C16" s="21" t="s">
        <v>50</v>
      </c>
      <c r="D16" s="22">
        <v>46146</v>
      </c>
      <c r="E16" s="23">
        <v>1.266</v>
      </c>
    </row>
    <row r="17" spans="1:5" x14ac:dyDescent="0.25">
      <c r="A17" s="21" t="s">
        <v>116</v>
      </c>
      <c r="B17" s="5" t="s">
        <v>117</v>
      </c>
      <c r="C17" s="21" t="s">
        <v>50</v>
      </c>
      <c r="D17" s="22">
        <v>46146</v>
      </c>
      <c r="E17" s="23">
        <v>1.466</v>
      </c>
    </row>
    <row r="18" spans="1:5" x14ac:dyDescent="0.25">
      <c r="A18" s="21" t="s">
        <v>118</v>
      </c>
      <c r="B18" s="5" t="s">
        <v>119</v>
      </c>
      <c r="C18" s="21" t="s">
        <v>50</v>
      </c>
      <c r="D18" s="22">
        <v>46140</v>
      </c>
      <c r="E18" s="23">
        <v>2.6589999999999998</v>
      </c>
    </row>
    <row r="19" spans="1:5" x14ac:dyDescent="0.25">
      <c r="A19" s="21" t="s">
        <v>120</v>
      </c>
      <c r="B19" s="5" t="s">
        <v>121</v>
      </c>
      <c r="C19" s="21" t="s">
        <v>50</v>
      </c>
      <c r="D19" s="22">
        <v>46172</v>
      </c>
      <c r="E19" s="23">
        <v>0.40699999999999997</v>
      </c>
    </row>
    <row r="20" spans="1:5" x14ac:dyDescent="0.25">
      <c r="A20" s="21" t="s">
        <v>122</v>
      </c>
      <c r="B20" s="5" t="s">
        <v>123</v>
      </c>
      <c r="C20" s="21" t="s">
        <v>50</v>
      </c>
      <c r="D20" s="22">
        <v>46142</v>
      </c>
      <c r="E20" s="23">
        <v>0.36499999999999999</v>
      </c>
    </row>
  </sheetData>
  <autoFilter ref="A3:E2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46" customWidth="1"/>
    <col min="3" max="3" width="7" customWidth="1"/>
    <col min="4" max="5" width="14" customWidth="1"/>
  </cols>
  <sheetData>
    <row r="1" spans="1:5" ht="17.25" x14ac:dyDescent="0.3">
      <c r="A1" s="18" t="s">
        <v>124</v>
      </c>
    </row>
    <row r="3" spans="1:5" ht="32.1" customHeight="1" x14ac:dyDescent="0.25">
      <c r="A3" s="20" t="s">
        <v>39</v>
      </c>
      <c r="B3" s="20" t="s">
        <v>40</v>
      </c>
      <c r="C3" s="20" t="s">
        <v>41</v>
      </c>
      <c r="D3" s="20" t="s">
        <v>43</v>
      </c>
      <c r="E3" s="20" t="s">
        <v>45</v>
      </c>
    </row>
    <row r="4" spans="1:5" x14ac:dyDescent="0.25">
      <c r="A4" s="21" t="s">
        <v>125</v>
      </c>
      <c r="B4" s="5" t="s">
        <v>126</v>
      </c>
      <c r="C4" s="21" t="s">
        <v>50</v>
      </c>
      <c r="D4" s="22">
        <v>46146</v>
      </c>
      <c r="E4" s="23">
        <v>2.2570000000000001</v>
      </c>
    </row>
    <row r="5" spans="1:5" x14ac:dyDescent="0.25">
      <c r="A5" s="21" t="s">
        <v>127</v>
      </c>
      <c r="B5" s="5" t="s">
        <v>128</v>
      </c>
      <c r="C5" s="21" t="s">
        <v>50</v>
      </c>
      <c r="D5" s="22">
        <v>46217</v>
      </c>
      <c r="E5" s="23">
        <v>0.59499999999999997</v>
      </c>
    </row>
    <row r="6" spans="1:5" x14ac:dyDescent="0.25">
      <c r="A6" s="21" t="s">
        <v>129</v>
      </c>
      <c r="B6" s="5" t="s">
        <v>130</v>
      </c>
      <c r="C6" s="21" t="s">
        <v>50</v>
      </c>
      <c r="D6" s="22">
        <v>46146</v>
      </c>
      <c r="E6" s="23">
        <v>1.1779999999999999</v>
      </c>
    </row>
    <row r="7" spans="1:5" x14ac:dyDescent="0.25">
      <c r="A7" s="21" t="s">
        <v>131</v>
      </c>
      <c r="B7" s="5" t="s">
        <v>132</v>
      </c>
      <c r="C7" s="21" t="s">
        <v>50</v>
      </c>
      <c r="D7" s="22">
        <v>46146</v>
      </c>
      <c r="E7" s="23">
        <v>0.53</v>
      </c>
    </row>
    <row r="8" spans="1:5" x14ac:dyDescent="0.25">
      <c r="A8" s="21" t="s">
        <v>133</v>
      </c>
      <c r="B8" s="5" t="s">
        <v>134</v>
      </c>
      <c r="C8" s="21" t="s">
        <v>50</v>
      </c>
      <c r="D8" s="22">
        <v>46301</v>
      </c>
      <c r="E8" s="23">
        <v>1.1160000000000001</v>
      </c>
    </row>
    <row r="9" spans="1:5" x14ac:dyDescent="0.25">
      <c r="A9" s="21" t="s">
        <v>135</v>
      </c>
      <c r="B9" s="5" t="s">
        <v>136</v>
      </c>
      <c r="C9" s="21" t="s">
        <v>50</v>
      </c>
      <c r="D9" s="22">
        <v>46233</v>
      </c>
      <c r="E9" s="23">
        <v>0.63500000000000001</v>
      </c>
    </row>
    <row r="10" spans="1:5" x14ac:dyDescent="0.25">
      <c r="A10" s="21" t="s">
        <v>137</v>
      </c>
      <c r="B10" s="5" t="s">
        <v>138</v>
      </c>
      <c r="C10" s="21" t="s">
        <v>50</v>
      </c>
      <c r="D10" s="22">
        <v>46146</v>
      </c>
      <c r="E10" s="23">
        <v>1.1879999999999999</v>
      </c>
    </row>
    <row r="11" spans="1:5" x14ac:dyDescent="0.25">
      <c r="A11" s="21" t="s">
        <v>139</v>
      </c>
      <c r="B11" s="5" t="s">
        <v>140</v>
      </c>
      <c r="C11" s="21" t="s">
        <v>50</v>
      </c>
      <c r="D11" s="22">
        <v>46301</v>
      </c>
      <c r="E11" s="23">
        <v>1.45</v>
      </c>
    </row>
    <row r="12" spans="1:5" x14ac:dyDescent="0.25">
      <c r="A12" s="21" t="s">
        <v>141</v>
      </c>
      <c r="B12" s="5" t="s">
        <v>142</v>
      </c>
      <c r="C12" s="21" t="s">
        <v>50</v>
      </c>
      <c r="D12" s="22">
        <v>46146</v>
      </c>
      <c r="E12" s="23">
        <v>0.505</v>
      </c>
    </row>
    <row r="13" spans="1:5" x14ac:dyDescent="0.25">
      <c r="A13" s="21" t="s">
        <v>143</v>
      </c>
      <c r="B13" s="5" t="s">
        <v>144</v>
      </c>
      <c r="C13" s="21" t="s">
        <v>50</v>
      </c>
      <c r="D13" s="22">
        <v>46146</v>
      </c>
      <c r="E13" s="23">
        <v>1.0509999999999999</v>
      </c>
    </row>
    <row r="14" spans="1:5" x14ac:dyDescent="0.25">
      <c r="A14" s="21" t="s">
        <v>145</v>
      </c>
      <c r="B14" s="5" t="s">
        <v>146</v>
      </c>
      <c r="C14" s="21" t="s">
        <v>50</v>
      </c>
      <c r="D14" s="22">
        <v>46301</v>
      </c>
      <c r="E14" s="23">
        <v>2.5430000000000001</v>
      </c>
    </row>
    <row r="15" spans="1:5" x14ac:dyDescent="0.25">
      <c r="A15" s="21" t="s">
        <v>147</v>
      </c>
      <c r="B15" s="5" t="s">
        <v>148</v>
      </c>
      <c r="C15" s="21" t="s">
        <v>50</v>
      </c>
      <c r="D15" s="22">
        <v>46146</v>
      </c>
      <c r="E15" s="23">
        <v>1.141</v>
      </c>
    </row>
    <row r="16" spans="1:5" x14ac:dyDescent="0.25">
      <c r="A16" s="21" t="s">
        <v>149</v>
      </c>
      <c r="B16" s="5" t="s">
        <v>150</v>
      </c>
      <c r="C16" s="21" t="s">
        <v>50</v>
      </c>
      <c r="D16" s="22">
        <v>46146</v>
      </c>
      <c r="E16" s="23">
        <v>0.48399999999999999</v>
      </c>
    </row>
    <row r="17" spans="1:5" x14ac:dyDescent="0.25">
      <c r="A17" s="21" t="s">
        <v>151</v>
      </c>
      <c r="B17" s="5" t="s">
        <v>152</v>
      </c>
      <c r="C17" s="21" t="s">
        <v>50</v>
      </c>
      <c r="D17" s="22">
        <v>46146</v>
      </c>
      <c r="E17" s="23">
        <v>0.58099999999999996</v>
      </c>
    </row>
    <row r="18" spans="1:5" x14ac:dyDescent="0.25">
      <c r="A18" s="21" t="s">
        <v>153</v>
      </c>
      <c r="B18" s="5" t="s">
        <v>154</v>
      </c>
      <c r="C18" s="21" t="s">
        <v>50</v>
      </c>
      <c r="D18" s="22">
        <v>46217</v>
      </c>
      <c r="E18" s="23">
        <v>0.55500000000000005</v>
      </c>
    </row>
    <row r="19" spans="1:5" x14ac:dyDescent="0.25">
      <c r="A19" s="21" t="s">
        <v>155</v>
      </c>
      <c r="B19" s="5" t="s">
        <v>156</v>
      </c>
      <c r="C19" s="21" t="s">
        <v>50</v>
      </c>
      <c r="D19" s="22">
        <v>46296</v>
      </c>
      <c r="E19" s="23">
        <v>0.94499999999999995</v>
      </c>
    </row>
    <row r="20" spans="1:5" x14ac:dyDescent="0.25">
      <c r="A20" s="21" t="s">
        <v>157</v>
      </c>
      <c r="B20" s="5" t="s">
        <v>158</v>
      </c>
      <c r="C20" s="21" t="s">
        <v>50</v>
      </c>
      <c r="D20" s="22">
        <v>46146</v>
      </c>
      <c r="E20" s="23">
        <v>0.51800000000000002</v>
      </c>
    </row>
    <row r="21" spans="1:5" x14ac:dyDescent="0.25">
      <c r="A21" s="21" t="s">
        <v>159</v>
      </c>
      <c r="B21" s="5" t="s">
        <v>160</v>
      </c>
      <c r="C21" s="21" t="s">
        <v>50</v>
      </c>
      <c r="D21" s="22">
        <v>46146</v>
      </c>
      <c r="E21" s="23">
        <v>0.748</v>
      </c>
    </row>
    <row r="22" spans="1:5" x14ac:dyDescent="0.25">
      <c r="A22" s="21" t="s">
        <v>161</v>
      </c>
      <c r="B22" s="5" t="s">
        <v>162</v>
      </c>
      <c r="C22" s="21" t="s">
        <v>50</v>
      </c>
      <c r="D22" s="22">
        <v>46262</v>
      </c>
      <c r="E22" s="23">
        <v>1.4710000000000001</v>
      </c>
    </row>
    <row r="23" spans="1:5" x14ac:dyDescent="0.25">
      <c r="A23" s="21" t="s">
        <v>163</v>
      </c>
      <c r="B23" s="5" t="s">
        <v>164</v>
      </c>
      <c r="C23" s="21" t="s">
        <v>50</v>
      </c>
      <c r="D23" s="22">
        <v>46146</v>
      </c>
      <c r="E23" s="23">
        <v>0.43</v>
      </c>
    </row>
    <row r="24" spans="1:5" x14ac:dyDescent="0.25">
      <c r="A24" s="21" t="s">
        <v>165</v>
      </c>
      <c r="B24" s="5" t="s">
        <v>166</v>
      </c>
      <c r="C24" s="21" t="s">
        <v>50</v>
      </c>
      <c r="D24" s="22">
        <v>46220</v>
      </c>
      <c r="E24" s="23">
        <v>0.44</v>
      </c>
    </row>
    <row r="25" spans="1:5" x14ac:dyDescent="0.25">
      <c r="A25" s="21" t="s">
        <v>167</v>
      </c>
      <c r="B25" s="5" t="s">
        <v>168</v>
      </c>
      <c r="C25" s="21" t="s">
        <v>50</v>
      </c>
      <c r="D25" s="22">
        <v>46146</v>
      </c>
      <c r="E25" s="23">
        <v>0.82499999999999996</v>
      </c>
    </row>
    <row r="26" spans="1:5" x14ac:dyDescent="0.25">
      <c r="A26" s="21" t="s">
        <v>169</v>
      </c>
      <c r="B26" s="5" t="s">
        <v>170</v>
      </c>
      <c r="C26" s="21" t="s">
        <v>50</v>
      </c>
      <c r="D26" s="22">
        <v>46146</v>
      </c>
      <c r="E26" s="23">
        <v>0.41199999999999998</v>
      </c>
    </row>
    <row r="27" spans="1:5" x14ac:dyDescent="0.25">
      <c r="A27" s="21" t="s">
        <v>171</v>
      </c>
      <c r="B27" s="5" t="s">
        <v>172</v>
      </c>
      <c r="C27" s="21" t="s">
        <v>50</v>
      </c>
      <c r="D27" s="22">
        <v>46146</v>
      </c>
      <c r="E27" s="23">
        <v>0.53300000000000003</v>
      </c>
    </row>
    <row r="28" spans="1:5" x14ac:dyDescent="0.25">
      <c r="A28" s="21" t="s">
        <v>173</v>
      </c>
      <c r="B28" s="5" t="s">
        <v>174</v>
      </c>
      <c r="C28" s="21" t="s">
        <v>50</v>
      </c>
      <c r="D28" s="22">
        <v>46146</v>
      </c>
      <c r="E28" s="23">
        <v>0.56000000000000005</v>
      </c>
    </row>
    <row r="29" spans="1:5" x14ac:dyDescent="0.25">
      <c r="A29" s="21" t="s">
        <v>175</v>
      </c>
      <c r="B29" s="5" t="s">
        <v>176</v>
      </c>
      <c r="C29" s="21" t="s">
        <v>50</v>
      </c>
      <c r="D29" s="22">
        <v>46165</v>
      </c>
      <c r="E29" s="23">
        <v>0.80100000000000005</v>
      </c>
    </row>
    <row r="30" spans="1:5" x14ac:dyDescent="0.25">
      <c r="A30" s="21" t="s">
        <v>177</v>
      </c>
      <c r="B30" s="5" t="s">
        <v>178</v>
      </c>
      <c r="C30" s="21" t="s">
        <v>50</v>
      </c>
      <c r="D30" s="22">
        <v>46146</v>
      </c>
      <c r="E30" s="23">
        <v>0.41499999999999998</v>
      </c>
    </row>
    <row r="31" spans="1:5" x14ac:dyDescent="0.25">
      <c r="A31" s="21" t="s">
        <v>179</v>
      </c>
      <c r="B31" s="5" t="s">
        <v>180</v>
      </c>
      <c r="C31" s="21" t="s">
        <v>50</v>
      </c>
      <c r="D31" s="22">
        <v>46146</v>
      </c>
      <c r="E31" s="23">
        <v>0.38800000000000001</v>
      </c>
    </row>
    <row r="32" spans="1:5" x14ac:dyDescent="0.25">
      <c r="A32" s="21" t="s">
        <v>181</v>
      </c>
      <c r="B32" s="5" t="s">
        <v>182</v>
      </c>
      <c r="C32" s="21" t="s">
        <v>50</v>
      </c>
      <c r="D32" s="22">
        <v>46146</v>
      </c>
      <c r="E32" s="23">
        <v>0.57599999999999996</v>
      </c>
    </row>
    <row r="33" spans="1:5" x14ac:dyDescent="0.25">
      <c r="A33" s="21" t="s">
        <v>183</v>
      </c>
      <c r="B33" s="5" t="s">
        <v>184</v>
      </c>
      <c r="C33" s="21" t="s">
        <v>50</v>
      </c>
      <c r="D33" s="22">
        <v>46146</v>
      </c>
      <c r="E33" s="23">
        <v>0.5</v>
      </c>
    </row>
    <row r="34" spans="1:5" x14ac:dyDescent="0.25">
      <c r="A34" s="21" t="s">
        <v>185</v>
      </c>
      <c r="B34" s="5" t="s">
        <v>186</v>
      </c>
      <c r="C34" s="21" t="s">
        <v>50</v>
      </c>
      <c r="D34" s="22">
        <v>46146</v>
      </c>
      <c r="E34" s="23">
        <v>0.52700000000000002</v>
      </c>
    </row>
    <row r="35" spans="1:5" x14ac:dyDescent="0.25">
      <c r="A35" s="21" t="s">
        <v>187</v>
      </c>
      <c r="B35" s="5" t="s">
        <v>188</v>
      </c>
      <c r="C35" s="21" t="s">
        <v>50</v>
      </c>
      <c r="D35" s="22">
        <v>46146</v>
      </c>
      <c r="E35" s="23">
        <v>0.84</v>
      </c>
    </row>
    <row r="36" spans="1:5" x14ac:dyDescent="0.25">
      <c r="A36" s="21" t="s">
        <v>189</v>
      </c>
      <c r="B36" s="5" t="s">
        <v>190</v>
      </c>
      <c r="C36" s="21" t="s">
        <v>50</v>
      </c>
      <c r="D36" s="22">
        <v>46146</v>
      </c>
      <c r="E36" s="23">
        <v>0.60399999999999998</v>
      </c>
    </row>
    <row r="37" spans="1:5" x14ac:dyDescent="0.25">
      <c r="A37" s="21" t="s">
        <v>191</v>
      </c>
      <c r="B37" s="5" t="s">
        <v>192</v>
      </c>
      <c r="C37" s="21" t="s">
        <v>50</v>
      </c>
      <c r="D37" s="22">
        <v>46146</v>
      </c>
      <c r="E37" s="23">
        <v>0.58299999999999996</v>
      </c>
    </row>
    <row r="38" spans="1:5" x14ac:dyDescent="0.25">
      <c r="A38" s="21" t="s">
        <v>193</v>
      </c>
      <c r="B38" s="5" t="s">
        <v>194</v>
      </c>
      <c r="C38" s="21" t="s">
        <v>50</v>
      </c>
      <c r="D38" s="22">
        <v>46146</v>
      </c>
      <c r="E38" s="23">
        <v>0.58299999999999996</v>
      </c>
    </row>
    <row r="39" spans="1:5" x14ac:dyDescent="0.25">
      <c r="A39" s="21" t="s">
        <v>195</v>
      </c>
      <c r="B39" s="5" t="s">
        <v>196</v>
      </c>
      <c r="C39" s="21" t="s">
        <v>50</v>
      </c>
      <c r="D39" s="22">
        <v>46146</v>
      </c>
      <c r="E39" s="23">
        <v>0.60399999999999998</v>
      </c>
    </row>
    <row r="40" spans="1:5" x14ac:dyDescent="0.25">
      <c r="A40" s="21" t="s">
        <v>197</v>
      </c>
      <c r="B40" s="5" t="s">
        <v>198</v>
      </c>
      <c r="C40" s="21" t="s">
        <v>50</v>
      </c>
      <c r="D40" s="22">
        <v>46146</v>
      </c>
      <c r="E40" s="23">
        <v>0.58299999999999996</v>
      </c>
    </row>
    <row r="41" spans="1:5" x14ac:dyDescent="0.25">
      <c r="A41" s="21" t="s">
        <v>199</v>
      </c>
      <c r="B41" s="5" t="s">
        <v>200</v>
      </c>
      <c r="C41" s="21" t="s">
        <v>50</v>
      </c>
      <c r="D41" s="22">
        <v>46226</v>
      </c>
      <c r="E41" s="23">
        <v>2.1779999999999999</v>
      </c>
    </row>
    <row r="42" spans="1:5" x14ac:dyDescent="0.25">
      <c r="A42" s="21" t="s">
        <v>201</v>
      </c>
      <c r="B42" s="5" t="s">
        <v>202</v>
      </c>
      <c r="C42" s="21" t="s">
        <v>50</v>
      </c>
      <c r="D42" s="22">
        <v>46146</v>
      </c>
      <c r="E42" s="23">
        <v>1.958</v>
      </c>
    </row>
    <row r="43" spans="1:5" x14ac:dyDescent="0.25">
      <c r="A43" s="21" t="s">
        <v>203</v>
      </c>
      <c r="B43" s="5" t="s">
        <v>204</v>
      </c>
      <c r="C43" s="21" t="s">
        <v>50</v>
      </c>
      <c r="D43" s="22">
        <v>46146</v>
      </c>
      <c r="E43" s="23">
        <v>1.3260000000000001</v>
      </c>
    </row>
    <row r="44" spans="1:5" x14ac:dyDescent="0.25">
      <c r="A44" s="21" t="s">
        <v>205</v>
      </c>
      <c r="B44" s="5" t="s">
        <v>206</v>
      </c>
      <c r="C44" s="21" t="s">
        <v>50</v>
      </c>
      <c r="D44" s="22">
        <v>46146</v>
      </c>
      <c r="E44" s="23">
        <v>1.591</v>
      </c>
    </row>
    <row r="45" spans="1:5" x14ac:dyDescent="0.25">
      <c r="A45" s="21" t="s">
        <v>207</v>
      </c>
      <c r="B45" s="5" t="s">
        <v>208</v>
      </c>
      <c r="C45" s="21" t="s">
        <v>50</v>
      </c>
      <c r="D45" s="22">
        <v>46146</v>
      </c>
      <c r="E45" s="23">
        <v>1.859</v>
      </c>
    </row>
    <row r="46" spans="1:5" x14ac:dyDescent="0.25">
      <c r="A46" s="21" t="s">
        <v>209</v>
      </c>
      <c r="B46" s="5" t="s">
        <v>210</v>
      </c>
      <c r="C46" s="21" t="s">
        <v>50</v>
      </c>
      <c r="D46" s="22">
        <v>46146</v>
      </c>
      <c r="E46" s="23">
        <v>1.5640000000000001</v>
      </c>
    </row>
    <row r="47" spans="1:5" x14ac:dyDescent="0.25">
      <c r="A47" s="21" t="s">
        <v>211</v>
      </c>
      <c r="B47" s="5" t="s">
        <v>212</v>
      </c>
      <c r="C47" s="21" t="s">
        <v>50</v>
      </c>
      <c r="D47" s="22">
        <v>46146</v>
      </c>
      <c r="E47" s="23">
        <v>1.383</v>
      </c>
    </row>
    <row r="48" spans="1:5" x14ac:dyDescent="0.25">
      <c r="A48" s="21" t="s">
        <v>213</v>
      </c>
      <c r="B48" s="5" t="s">
        <v>214</v>
      </c>
      <c r="C48" s="21" t="s">
        <v>50</v>
      </c>
      <c r="D48" s="22">
        <v>46269</v>
      </c>
      <c r="E48" s="23">
        <v>2.9020000000000001</v>
      </c>
    </row>
    <row r="49" spans="1:5" x14ac:dyDescent="0.25">
      <c r="A49" s="21" t="s">
        <v>215</v>
      </c>
      <c r="B49" s="5" t="s">
        <v>216</v>
      </c>
      <c r="C49" s="21" t="s">
        <v>50</v>
      </c>
      <c r="D49" s="22">
        <v>46146</v>
      </c>
      <c r="E49" s="23">
        <v>8.6180000000000003</v>
      </c>
    </row>
    <row r="50" spans="1:5" x14ac:dyDescent="0.25">
      <c r="A50" s="21" t="s">
        <v>217</v>
      </c>
      <c r="B50" s="5" t="s">
        <v>218</v>
      </c>
      <c r="C50" s="21" t="s">
        <v>50</v>
      </c>
      <c r="D50" s="22">
        <v>46261</v>
      </c>
      <c r="E50" s="23">
        <v>0.748</v>
      </c>
    </row>
    <row r="51" spans="1:5" x14ac:dyDescent="0.25">
      <c r="A51" s="21" t="s">
        <v>219</v>
      </c>
      <c r="B51" s="5" t="s">
        <v>220</v>
      </c>
      <c r="C51" s="21" t="s">
        <v>50</v>
      </c>
      <c r="D51" s="22">
        <v>46205</v>
      </c>
      <c r="E51" s="23">
        <v>1.208</v>
      </c>
    </row>
    <row r="52" spans="1:5" x14ac:dyDescent="0.25">
      <c r="A52" s="21" t="s">
        <v>221</v>
      </c>
      <c r="B52" s="5" t="s">
        <v>222</v>
      </c>
      <c r="C52" s="21" t="s">
        <v>50</v>
      </c>
      <c r="D52" s="22">
        <v>46183</v>
      </c>
      <c r="E52" s="23">
        <v>0.875</v>
      </c>
    </row>
    <row r="53" spans="1:5" x14ac:dyDescent="0.25">
      <c r="A53" s="21" t="s">
        <v>223</v>
      </c>
      <c r="B53" s="5" t="s">
        <v>224</v>
      </c>
      <c r="C53" s="21" t="s">
        <v>50</v>
      </c>
      <c r="D53" s="22">
        <v>46220</v>
      </c>
      <c r="E53" s="23">
        <v>2.488</v>
      </c>
    </row>
    <row r="54" spans="1:5" x14ac:dyDescent="0.25">
      <c r="A54" s="21" t="s">
        <v>225</v>
      </c>
      <c r="B54" s="5" t="s">
        <v>226</v>
      </c>
      <c r="C54" s="21" t="s">
        <v>50</v>
      </c>
      <c r="D54" s="22">
        <v>46220</v>
      </c>
      <c r="E54" s="23">
        <v>2.73</v>
      </c>
    </row>
    <row r="55" spans="1:5" x14ac:dyDescent="0.25">
      <c r="A55" s="21" t="s">
        <v>227</v>
      </c>
      <c r="B55" s="5" t="s">
        <v>228</v>
      </c>
      <c r="C55" s="21" t="s">
        <v>50</v>
      </c>
      <c r="D55" s="22">
        <v>46220</v>
      </c>
      <c r="E55" s="23">
        <v>0.90100000000000002</v>
      </c>
    </row>
    <row r="56" spans="1:5" x14ac:dyDescent="0.25">
      <c r="A56" s="21" t="s">
        <v>229</v>
      </c>
      <c r="B56" s="5" t="s">
        <v>230</v>
      </c>
      <c r="C56" s="21" t="s">
        <v>50</v>
      </c>
      <c r="D56" s="22">
        <v>46220</v>
      </c>
      <c r="E56" s="23">
        <v>1.1759999999999999</v>
      </c>
    </row>
    <row r="57" spans="1:5" x14ac:dyDescent="0.25">
      <c r="A57" s="21" t="s">
        <v>231</v>
      </c>
      <c r="B57" s="5" t="s">
        <v>232</v>
      </c>
      <c r="C57" s="21" t="s">
        <v>50</v>
      </c>
      <c r="D57" s="22">
        <v>46146</v>
      </c>
      <c r="E57" s="23">
        <v>3.649</v>
      </c>
    </row>
    <row r="58" spans="1:5" x14ac:dyDescent="0.25">
      <c r="A58" s="21" t="s">
        <v>233</v>
      </c>
      <c r="B58" s="5" t="s">
        <v>234</v>
      </c>
      <c r="C58" s="21" t="s">
        <v>50</v>
      </c>
      <c r="D58" s="22">
        <v>46220</v>
      </c>
      <c r="E58" s="23">
        <v>1.5780000000000001</v>
      </c>
    </row>
    <row r="59" spans="1:5" x14ac:dyDescent="0.25">
      <c r="A59" s="21" t="s">
        <v>235</v>
      </c>
      <c r="B59" s="5" t="s">
        <v>236</v>
      </c>
      <c r="C59" s="21" t="s">
        <v>50</v>
      </c>
      <c r="D59" s="22">
        <v>46171</v>
      </c>
      <c r="E59" s="23">
        <v>1.7170000000000001</v>
      </c>
    </row>
    <row r="60" spans="1:5" x14ac:dyDescent="0.25">
      <c r="A60" s="21" t="s">
        <v>237</v>
      </c>
      <c r="B60" s="5" t="s">
        <v>238</v>
      </c>
      <c r="C60" s="21" t="s">
        <v>50</v>
      </c>
      <c r="D60" s="22">
        <v>46301</v>
      </c>
      <c r="E60" s="23">
        <v>1.536</v>
      </c>
    </row>
    <row r="61" spans="1:5" x14ac:dyDescent="0.25">
      <c r="A61" s="21" t="s">
        <v>239</v>
      </c>
      <c r="B61" s="5" t="s">
        <v>240</v>
      </c>
      <c r="C61" s="21" t="s">
        <v>50</v>
      </c>
      <c r="D61" s="22">
        <v>46146</v>
      </c>
      <c r="E61" s="23">
        <v>3.1320000000000001</v>
      </c>
    </row>
    <row r="62" spans="1:5" x14ac:dyDescent="0.25">
      <c r="A62" s="21" t="s">
        <v>241</v>
      </c>
      <c r="B62" s="5" t="s">
        <v>242</v>
      </c>
      <c r="C62" s="21" t="s">
        <v>50</v>
      </c>
      <c r="D62" s="22">
        <v>46283</v>
      </c>
      <c r="E62" s="23">
        <v>1.54</v>
      </c>
    </row>
    <row r="63" spans="1:5" x14ac:dyDescent="0.25">
      <c r="A63" s="21" t="s">
        <v>243</v>
      </c>
      <c r="B63" s="5" t="s">
        <v>244</v>
      </c>
      <c r="C63" s="21" t="s">
        <v>50</v>
      </c>
      <c r="D63" s="22">
        <v>46146</v>
      </c>
      <c r="E63" s="23">
        <v>0.97199999999999998</v>
      </c>
    </row>
    <row r="64" spans="1:5" x14ac:dyDescent="0.25">
      <c r="A64" s="21" t="s">
        <v>245</v>
      </c>
      <c r="B64" s="5" t="s">
        <v>246</v>
      </c>
      <c r="C64" s="21" t="s">
        <v>50</v>
      </c>
      <c r="D64" s="22">
        <v>46146</v>
      </c>
      <c r="E64" s="23">
        <v>1.0029999999999999</v>
      </c>
    </row>
    <row r="65" spans="1:5" x14ac:dyDescent="0.25">
      <c r="A65" s="21" t="s">
        <v>247</v>
      </c>
      <c r="B65" s="5" t="s">
        <v>248</v>
      </c>
      <c r="C65" s="21" t="s">
        <v>50</v>
      </c>
      <c r="D65" s="22">
        <v>46146</v>
      </c>
      <c r="E65" s="23">
        <v>0.94399999999999995</v>
      </c>
    </row>
    <row r="66" spans="1:5" x14ac:dyDescent="0.25">
      <c r="A66" s="21" t="s">
        <v>249</v>
      </c>
      <c r="B66" s="5" t="s">
        <v>250</v>
      </c>
      <c r="C66" s="21" t="s">
        <v>50</v>
      </c>
      <c r="D66" s="22">
        <v>46146</v>
      </c>
      <c r="E66" s="23">
        <v>1.327</v>
      </c>
    </row>
    <row r="67" spans="1:5" x14ac:dyDescent="0.25">
      <c r="A67" s="21" t="s">
        <v>251</v>
      </c>
      <c r="B67" s="5" t="s">
        <v>252</v>
      </c>
      <c r="C67" s="21" t="s">
        <v>50</v>
      </c>
      <c r="D67" s="22">
        <v>46146</v>
      </c>
      <c r="E67" s="23">
        <v>1.7889999999999999</v>
      </c>
    </row>
    <row r="68" spans="1:5" x14ac:dyDescent="0.25">
      <c r="A68" s="21" t="s">
        <v>253</v>
      </c>
      <c r="B68" s="5" t="s">
        <v>254</v>
      </c>
      <c r="C68" s="21" t="s">
        <v>50</v>
      </c>
      <c r="D68" s="22">
        <v>46142</v>
      </c>
      <c r="E68" s="23">
        <v>0.85599999999999998</v>
      </c>
    </row>
    <row r="69" spans="1:5" x14ac:dyDescent="0.25">
      <c r="A69" s="21" t="s">
        <v>255</v>
      </c>
      <c r="B69" s="5" t="s">
        <v>256</v>
      </c>
      <c r="C69" s="21" t="s">
        <v>50</v>
      </c>
      <c r="D69" s="22">
        <v>46146</v>
      </c>
      <c r="E69" s="23">
        <v>0.93899999999999995</v>
      </c>
    </row>
    <row r="70" spans="1:5" x14ac:dyDescent="0.25">
      <c r="A70" s="21" t="s">
        <v>257</v>
      </c>
      <c r="B70" s="5" t="s">
        <v>258</v>
      </c>
      <c r="C70" s="21" t="s">
        <v>50</v>
      </c>
      <c r="D70" s="22">
        <v>46220</v>
      </c>
      <c r="E70" s="23">
        <v>2.1680000000000001</v>
      </c>
    </row>
    <row r="71" spans="1:5" x14ac:dyDescent="0.25">
      <c r="A71" s="21" t="s">
        <v>259</v>
      </c>
      <c r="B71" s="5" t="s">
        <v>260</v>
      </c>
      <c r="C71" s="21" t="s">
        <v>50</v>
      </c>
      <c r="D71" s="22">
        <v>46161</v>
      </c>
      <c r="E71" s="23">
        <v>0.85</v>
      </c>
    </row>
    <row r="72" spans="1:5" x14ac:dyDescent="0.25">
      <c r="A72" s="21" t="s">
        <v>261</v>
      </c>
      <c r="B72" s="5" t="s">
        <v>262</v>
      </c>
      <c r="C72" s="21" t="s">
        <v>50</v>
      </c>
      <c r="D72" s="22">
        <v>46259</v>
      </c>
      <c r="E72" s="23">
        <v>0.94399999999999995</v>
      </c>
    </row>
    <row r="73" spans="1:5" x14ac:dyDescent="0.25">
      <c r="A73" s="21" t="s">
        <v>263</v>
      </c>
      <c r="B73" s="5" t="s">
        <v>264</v>
      </c>
      <c r="C73" s="21" t="s">
        <v>50</v>
      </c>
      <c r="D73" s="22">
        <v>46220</v>
      </c>
      <c r="E73" s="23">
        <v>0.87</v>
      </c>
    </row>
    <row r="74" spans="1:5" x14ac:dyDescent="0.25">
      <c r="A74" s="21" t="s">
        <v>265</v>
      </c>
      <c r="B74" s="5" t="s">
        <v>266</v>
      </c>
      <c r="C74" s="21" t="s">
        <v>50</v>
      </c>
      <c r="D74" s="22">
        <v>46220</v>
      </c>
      <c r="E74" s="23">
        <v>0.75900000000000001</v>
      </c>
    </row>
    <row r="75" spans="1:5" x14ac:dyDescent="0.25">
      <c r="A75" s="21" t="s">
        <v>267</v>
      </c>
      <c r="B75" s="5" t="s">
        <v>268</v>
      </c>
      <c r="C75" s="21" t="s">
        <v>50</v>
      </c>
      <c r="D75" s="22">
        <v>46146</v>
      </c>
      <c r="E75" s="23">
        <v>1.5640000000000001</v>
      </c>
    </row>
    <row r="76" spans="1:5" x14ac:dyDescent="0.25">
      <c r="A76" s="21" t="s">
        <v>269</v>
      </c>
      <c r="B76" s="5" t="s">
        <v>270</v>
      </c>
      <c r="C76" s="21" t="s">
        <v>50</v>
      </c>
      <c r="D76" s="22">
        <v>46205</v>
      </c>
      <c r="E76" s="23">
        <v>1.3440000000000001</v>
      </c>
    </row>
    <row r="77" spans="1:5" x14ac:dyDescent="0.25">
      <c r="A77" s="21" t="s">
        <v>271</v>
      </c>
      <c r="B77" s="5" t="s">
        <v>272</v>
      </c>
      <c r="C77" s="21" t="s">
        <v>50</v>
      </c>
      <c r="D77" s="22">
        <v>46220</v>
      </c>
      <c r="E77" s="23">
        <v>1.6890000000000001</v>
      </c>
    </row>
    <row r="78" spans="1:5" x14ac:dyDescent="0.25">
      <c r="A78" s="21" t="s">
        <v>273</v>
      </c>
      <c r="B78" s="5" t="s">
        <v>274</v>
      </c>
      <c r="C78" s="21" t="s">
        <v>50</v>
      </c>
      <c r="D78" s="22">
        <v>46220</v>
      </c>
      <c r="E78" s="23">
        <v>0.97699999999999998</v>
      </c>
    </row>
    <row r="79" spans="1:5" x14ac:dyDescent="0.25">
      <c r="A79" s="21" t="s">
        <v>275</v>
      </c>
      <c r="B79" s="5" t="s">
        <v>276</v>
      </c>
      <c r="C79" s="21" t="s">
        <v>50</v>
      </c>
      <c r="D79" s="22">
        <v>46146</v>
      </c>
      <c r="E79" s="23">
        <v>1.6519999999999999</v>
      </c>
    </row>
    <row r="80" spans="1:5" x14ac:dyDescent="0.25">
      <c r="A80" s="21" t="s">
        <v>277</v>
      </c>
      <c r="B80" s="5" t="s">
        <v>278</v>
      </c>
      <c r="C80" s="21" t="s">
        <v>50</v>
      </c>
      <c r="D80" s="22">
        <v>46146</v>
      </c>
      <c r="E80" s="23">
        <v>2.391</v>
      </c>
    </row>
    <row r="81" spans="1:5" x14ac:dyDescent="0.25">
      <c r="A81" s="21" t="s">
        <v>279</v>
      </c>
      <c r="B81" s="5" t="s">
        <v>280</v>
      </c>
      <c r="C81" s="21" t="s">
        <v>50</v>
      </c>
      <c r="D81" s="22">
        <v>46146</v>
      </c>
      <c r="E81" s="23">
        <v>0.91200000000000003</v>
      </c>
    </row>
    <row r="82" spans="1:5" x14ac:dyDescent="0.25">
      <c r="A82" s="21" t="s">
        <v>281</v>
      </c>
      <c r="B82" s="5" t="s">
        <v>282</v>
      </c>
      <c r="C82" s="21" t="s">
        <v>50</v>
      </c>
      <c r="D82" s="22">
        <v>46146</v>
      </c>
      <c r="E82" s="23">
        <v>1.0369999999999999</v>
      </c>
    </row>
    <row r="83" spans="1:5" x14ac:dyDescent="0.25">
      <c r="A83" s="21" t="s">
        <v>283</v>
      </c>
      <c r="B83" s="5" t="s">
        <v>284</v>
      </c>
      <c r="C83" s="21" t="s">
        <v>50</v>
      </c>
      <c r="D83" s="22">
        <v>46146</v>
      </c>
      <c r="E83" s="23">
        <v>1.2929999999999999</v>
      </c>
    </row>
    <row r="84" spans="1:5" x14ac:dyDescent="0.25">
      <c r="A84" s="21" t="s">
        <v>285</v>
      </c>
      <c r="B84" s="5" t="s">
        <v>286</v>
      </c>
      <c r="C84" s="21" t="s">
        <v>50</v>
      </c>
      <c r="D84" s="22">
        <v>46214</v>
      </c>
      <c r="E84" s="23">
        <v>1.4019999999999999</v>
      </c>
    </row>
    <row r="85" spans="1:5" x14ac:dyDescent="0.25">
      <c r="A85" s="21" t="s">
        <v>287</v>
      </c>
      <c r="B85" s="5" t="s">
        <v>288</v>
      </c>
      <c r="C85" s="21" t="s">
        <v>50</v>
      </c>
      <c r="D85" s="22">
        <v>46220</v>
      </c>
      <c r="E85" s="23">
        <v>1.0389999999999999</v>
      </c>
    </row>
    <row r="86" spans="1:5" x14ac:dyDescent="0.25">
      <c r="A86" s="21" t="s">
        <v>289</v>
      </c>
      <c r="B86" s="5" t="s">
        <v>290</v>
      </c>
      <c r="C86" s="21" t="s">
        <v>50</v>
      </c>
      <c r="D86" s="22">
        <v>46146</v>
      </c>
      <c r="E86" s="23">
        <v>0.70899999999999996</v>
      </c>
    </row>
    <row r="87" spans="1:5" x14ac:dyDescent="0.25">
      <c r="A87" s="21" t="s">
        <v>291</v>
      </c>
      <c r="B87" s="5" t="s">
        <v>292</v>
      </c>
      <c r="C87" s="21" t="s">
        <v>50</v>
      </c>
      <c r="D87" s="22">
        <v>46146</v>
      </c>
      <c r="E87" s="23">
        <v>0.86</v>
      </c>
    </row>
    <row r="88" spans="1:5" x14ac:dyDescent="0.25">
      <c r="A88" s="21" t="s">
        <v>293</v>
      </c>
      <c r="B88" s="5" t="s">
        <v>294</v>
      </c>
      <c r="C88" s="21" t="s">
        <v>50</v>
      </c>
      <c r="D88" s="22">
        <v>46220</v>
      </c>
      <c r="E88" s="23">
        <v>0.52400000000000002</v>
      </c>
    </row>
    <row r="89" spans="1:5" x14ac:dyDescent="0.25">
      <c r="A89" s="21" t="s">
        <v>295</v>
      </c>
      <c r="B89" s="5" t="s">
        <v>296</v>
      </c>
      <c r="C89" s="21" t="s">
        <v>50</v>
      </c>
      <c r="D89" s="22">
        <v>46220</v>
      </c>
      <c r="E89" s="23">
        <v>0.36299999999999999</v>
      </c>
    </row>
    <row r="90" spans="1:5" x14ac:dyDescent="0.25">
      <c r="A90" s="21" t="s">
        <v>297</v>
      </c>
      <c r="B90" s="5" t="s">
        <v>298</v>
      </c>
      <c r="C90" s="21" t="s">
        <v>50</v>
      </c>
      <c r="D90" s="22">
        <v>46296</v>
      </c>
      <c r="E90" s="23">
        <v>0.83199999999999996</v>
      </c>
    </row>
    <row r="91" spans="1:5" x14ac:dyDescent="0.25">
      <c r="A91" s="21" t="s">
        <v>299</v>
      </c>
      <c r="B91" s="5" t="s">
        <v>300</v>
      </c>
      <c r="C91" s="21" t="s">
        <v>50</v>
      </c>
      <c r="D91" s="22">
        <v>46248</v>
      </c>
      <c r="E91" s="23">
        <v>0.76200000000000001</v>
      </c>
    </row>
    <row r="92" spans="1:5" x14ac:dyDescent="0.25">
      <c r="A92" s="21" t="s">
        <v>301</v>
      </c>
      <c r="B92" s="5" t="s">
        <v>302</v>
      </c>
      <c r="C92" s="21" t="s">
        <v>50</v>
      </c>
      <c r="D92" s="22">
        <v>46146</v>
      </c>
      <c r="E92" s="23">
        <v>1.4059999999999999</v>
      </c>
    </row>
    <row r="93" spans="1:5" x14ac:dyDescent="0.25">
      <c r="A93" s="21" t="s">
        <v>303</v>
      </c>
      <c r="B93" s="5" t="s">
        <v>304</v>
      </c>
      <c r="C93" s="21" t="s">
        <v>50</v>
      </c>
      <c r="D93" s="22">
        <v>46146</v>
      </c>
      <c r="E93" s="23">
        <v>1.024</v>
      </c>
    </row>
    <row r="94" spans="1:5" x14ac:dyDescent="0.25">
      <c r="A94" s="21" t="s">
        <v>305</v>
      </c>
      <c r="B94" s="5" t="s">
        <v>306</v>
      </c>
      <c r="C94" s="21" t="s">
        <v>50</v>
      </c>
      <c r="D94" s="22">
        <v>46146</v>
      </c>
      <c r="E94" s="23">
        <v>1.0069999999999999</v>
      </c>
    </row>
    <row r="95" spans="1:5" x14ac:dyDescent="0.25">
      <c r="A95" s="21" t="s">
        <v>307</v>
      </c>
      <c r="B95" s="5" t="s">
        <v>308</v>
      </c>
      <c r="C95" s="21" t="s">
        <v>50</v>
      </c>
      <c r="D95" s="22">
        <v>46146</v>
      </c>
      <c r="E95" s="23">
        <v>0.96499999999999997</v>
      </c>
    </row>
    <row r="96" spans="1:5" x14ac:dyDescent="0.25">
      <c r="A96" s="21" t="s">
        <v>309</v>
      </c>
      <c r="B96" s="5" t="s">
        <v>310</v>
      </c>
      <c r="C96" s="21" t="s">
        <v>50</v>
      </c>
      <c r="D96" s="22">
        <v>46146</v>
      </c>
      <c r="E96" s="23">
        <v>0.58799999999999997</v>
      </c>
    </row>
    <row r="97" spans="1:5" x14ac:dyDescent="0.25">
      <c r="A97" s="21" t="s">
        <v>311</v>
      </c>
      <c r="B97" s="5" t="s">
        <v>312</v>
      </c>
      <c r="C97" s="21" t="s">
        <v>50</v>
      </c>
      <c r="D97" s="22">
        <v>46146</v>
      </c>
      <c r="E97" s="23">
        <v>0.45</v>
      </c>
    </row>
    <row r="98" spans="1:5" x14ac:dyDescent="0.25">
      <c r="A98" s="21" t="s">
        <v>313</v>
      </c>
      <c r="B98" s="5" t="s">
        <v>314</v>
      </c>
      <c r="C98" s="21" t="s">
        <v>50</v>
      </c>
      <c r="D98" s="22">
        <v>46146</v>
      </c>
      <c r="E98" s="23">
        <v>0.51500000000000001</v>
      </c>
    </row>
    <row r="99" spans="1:5" x14ac:dyDescent="0.25">
      <c r="A99" s="21" t="s">
        <v>315</v>
      </c>
      <c r="B99" s="5" t="s">
        <v>316</v>
      </c>
      <c r="C99" s="21" t="s">
        <v>50</v>
      </c>
      <c r="D99" s="22">
        <v>46146</v>
      </c>
      <c r="E99" s="23">
        <v>0.52100000000000002</v>
      </c>
    </row>
    <row r="100" spans="1:5" x14ac:dyDescent="0.25">
      <c r="A100" s="21" t="s">
        <v>317</v>
      </c>
      <c r="B100" s="5" t="s">
        <v>318</v>
      </c>
      <c r="C100" s="21" t="s">
        <v>50</v>
      </c>
      <c r="D100" s="22">
        <v>46146</v>
      </c>
      <c r="E100" s="23">
        <v>0.52500000000000002</v>
      </c>
    </row>
    <row r="101" spans="1:5" x14ac:dyDescent="0.25">
      <c r="A101" s="21" t="s">
        <v>319</v>
      </c>
      <c r="B101" s="5" t="s">
        <v>320</v>
      </c>
      <c r="C101" s="21" t="s">
        <v>50</v>
      </c>
      <c r="D101" s="22">
        <v>46146</v>
      </c>
      <c r="E101" s="23">
        <v>0.46500000000000002</v>
      </c>
    </row>
    <row r="102" spans="1:5" x14ac:dyDescent="0.25">
      <c r="A102" s="21" t="s">
        <v>321</v>
      </c>
      <c r="B102" s="5" t="s">
        <v>322</v>
      </c>
      <c r="C102" s="21" t="s">
        <v>50</v>
      </c>
      <c r="D102" s="22">
        <v>46146</v>
      </c>
      <c r="E102" s="23">
        <v>0.63200000000000001</v>
      </c>
    </row>
    <row r="103" spans="1:5" x14ac:dyDescent="0.25">
      <c r="A103" s="21" t="s">
        <v>323</v>
      </c>
      <c r="B103" s="5" t="s">
        <v>324</v>
      </c>
      <c r="C103" s="21" t="s">
        <v>50</v>
      </c>
      <c r="D103" s="22">
        <v>46146</v>
      </c>
      <c r="E103" s="23">
        <v>1.1919999999999999</v>
      </c>
    </row>
    <row r="104" spans="1:5" x14ac:dyDescent="0.25">
      <c r="A104" s="21" t="s">
        <v>325</v>
      </c>
      <c r="B104" s="5" t="s">
        <v>326</v>
      </c>
      <c r="C104" s="21" t="s">
        <v>50</v>
      </c>
      <c r="D104" s="22">
        <v>46146</v>
      </c>
      <c r="E104" s="23">
        <v>1.748</v>
      </c>
    </row>
    <row r="105" spans="1:5" x14ac:dyDescent="0.25">
      <c r="A105" s="21" t="s">
        <v>327</v>
      </c>
      <c r="B105" s="5" t="s">
        <v>328</v>
      </c>
      <c r="C105" s="21" t="s">
        <v>50</v>
      </c>
      <c r="D105" s="22">
        <v>46146</v>
      </c>
      <c r="E105" s="23">
        <v>1.8140000000000001</v>
      </c>
    </row>
    <row r="106" spans="1:5" x14ac:dyDescent="0.25">
      <c r="A106" s="21" t="s">
        <v>329</v>
      </c>
      <c r="B106" s="5" t="s">
        <v>330</v>
      </c>
      <c r="C106" s="21" t="s">
        <v>50</v>
      </c>
      <c r="D106" s="22">
        <v>46146</v>
      </c>
      <c r="E106" s="23">
        <v>1.2929999999999999</v>
      </c>
    </row>
    <row r="107" spans="1:5" x14ac:dyDescent="0.25">
      <c r="A107" s="21" t="s">
        <v>331</v>
      </c>
      <c r="B107" s="5" t="s">
        <v>332</v>
      </c>
      <c r="C107" s="21" t="s">
        <v>50</v>
      </c>
      <c r="D107" s="22">
        <v>46146</v>
      </c>
      <c r="E107" s="23">
        <v>0.54200000000000004</v>
      </c>
    </row>
    <row r="108" spans="1:5" x14ac:dyDescent="0.25">
      <c r="A108" s="21" t="s">
        <v>333</v>
      </c>
      <c r="B108" s="5" t="s">
        <v>334</v>
      </c>
      <c r="C108" s="21" t="s">
        <v>50</v>
      </c>
      <c r="D108" s="22">
        <v>46146</v>
      </c>
      <c r="E108" s="23">
        <v>0.61</v>
      </c>
    </row>
    <row r="109" spans="1:5" x14ac:dyDescent="0.25">
      <c r="A109" s="21" t="s">
        <v>335</v>
      </c>
      <c r="B109" s="5" t="s">
        <v>336</v>
      </c>
      <c r="C109" s="21" t="s">
        <v>50</v>
      </c>
      <c r="D109" s="22">
        <v>46146</v>
      </c>
      <c r="E109" s="23">
        <v>9.9000000000000005E-2</v>
      </c>
    </row>
    <row r="110" spans="1:5" x14ac:dyDescent="0.25">
      <c r="A110" s="21" t="s">
        <v>337</v>
      </c>
      <c r="B110" s="5" t="s">
        <v>338</v>
      </c>
      <c r="C110" s="21" t="s">
        <v>50</v>
      </c>
      <c r="D110" s="22">
        <v>46146</v>
      </c>
      <c r="E110" s="23">
        <v>0.112</v>
      </c>
    </row>
    <row r="111" spans="1:5" x14ac:dyDescent="0.25">
      <c r="A111" s="21" t="s">
        <v>339</v>
      </c>
      <c r="B111" s="5" t="s">
        <v>340</v>
      </c>
      <c r="C111" s="21" t="s">
        <v>50</v>
      </c>
      <c r="D111" s="22">
        <v>46183</v>
      </c>
      <c r="E111" s="23">
        <v>0.20100000000000001</v>
      </c>
    </row>
    <row r="112" spans="1:5" x14ac:dyDescent="0.25">
      <c r="A112" s="21" t="s">
        <v>341</v>
      </c>
      <c r="B112" s="5" t="s">
        <v>342</v>
      </c>
      <c r="C112" s="21" t="s">
        <v>50</v>
      </c>
      <c r="D112" s="22">
        <v>46146</v>
      </c>
      <c r="E112" s="23">
        <v>0.44700000000000001</v>
      </c>
    </row>
    <row r="113" spans="1:5" x14ac:dyDescent="0.25">
      <c r="A113" s="21" t="s">
        <v>343</v>
      </c>
      <c r="B113" s="5" t="s">
        <v>344</v>
      </c>
      <c r="C113" s="21" t="s">
        <v>50</v>
      </c>
      <c r="D113" s="22">
        <v>46146</v>
      </c>
      <c r="E113" s="23">
        <v>0.223</v>
      </c>
    </row>
    <row r="114" spans="1:5" x14ac:dyDescent="0.25">
      <c r="A114" s="21" t="s">
        <v>345</v>
      </c>
      <c r="B114" s="5" t="s">
        <v>346</v>
      </c>
      <c r="C114" s="21" t="s">
        <v>50</v>
      </c>
      <c r="D114" s="22">
        <v>46146</v>
      </c>
      <c r="E114" s="23">
        <v>0.80700000000000005</v>
      </c>
    </row>
    <row r="115" spans="1:5" x14ac:dyDescent="0.25">
      <c r="A115" s="21" t="s">
        <v>347</v>
      </c>
      <c r="B115" s="5" t="s">
        <v>348</v>
      </c>
      <c r="C115" s="21" t="s">
        <v>50</v>
      </c>
      <c r="D115" s="22">
        <v>46146</v>
      </c>
      <c r="E115" s="23">
        <v>0.499</v>
      </c>
    </row>
    <row r="116" spans="1:5" x14ac:dyDescent="0.25">
      <c r="A116" s="21" t="s">
        <v>349</v>
      </c>
      <c r="B116" s="5" t="s">
        <v>350</v>
      </c>
      <c r="C116" s="21" t="s">
        <v>50</v>
      </c>
      <c r="D116" s="22">
        <v>46146</v>
      </c>
      <c r="E116" s="23">
        <v>0.99199999999999999</v>
      </c>
    </row>
    <row r="117" spans="1:5" x14ac:dyDescent="0.25">
      <c r="A117" s="21" t="s">
        <v>351</v>
      </c>
      <c r="B117" s="5" t="s">
        <v>352</v>
      </c>
      <c r="C117" s="21" t="s">
        <v>50</v>
      </c>
      <c r="D117" s="22">
        <v>46146</v>
      </c>
      <c r="E117" s="23">
        <v>0.156</v>
      </c>
    </row>
    <row r="118" spans="1:5" x14ac:dyDescent="0.25">
      <c r="A118" s="21" t="s">
        <v>353</v>
      </c>
      <c r="B118" s="5" t="s">
        <v>354</v>
      </c>
      <c r="C118" s="21" t="s">
        <v>50</v>
      </c>
      <c r="D118" s="22">
        <v>46146</v>
      </c>
      <c r="E118" s="23">
        <v>0.216</v>
      </c>
    </row>
    <row r="119" spans="1:5" x14ac:dyDescent="0.25">
      <c r="A119" s="21" t="s">
        <v>355</v>
      </c>
      <c r="B119" s="5" t="s">
        <v>356</v>
      </c>
      <c r="C119" s="21" t="s">
        <v>50</v>
      </c>
      <c r="D119" s="22">
        <v>46146</v>
      </c>
      <c r="E119" s="23">
        <v>0.34699999999999998</v>
      </c>
    </row>
    <row r="120" spans="1:5" x14ac:dyDescent="0.25">
      <c r="A120" s="21" t="s">
        <v>357</v>
      </c>
      <c r="B120" s="5" t="s">
        <v>358</v>
      </c>
      <c r="C120" s="21" t="s">
        <v>50</v>
      </c>
      <c r="D120" s="22">
        <v>46146</v>
      </c>
      <c r="E120" s="23">
        <v>0.96899999999999997</v>
      </c>
    </row>
    <row r="121" spans="1:5" x14ac:dyDescent="0.25">
      <c r="A121" s="21" t="s">
        <v>359</v>
      </c>
      <c r="B121" s="5" t="s">
        <v>360</v>
      </c>
      <c r="C121" s="21" t="s">
        <v>50</v>
      </c>
      <c r="D121" s="22">
        <v>46146</v>
      </c>
      <c r="E121" s="23">
        <v>0.89400000000000002</v>
      </c>
    </row>
    <row r="122" spans="1:5" x14ac:dyDescent="0.25">
      <c r="A122" s="21" t="s">
        <v>361</v>
      </c>
      <c r="B122" s="5" t="s">
        <v>362</v>
      </c>
      <c r="C122" s="21" t="s">
        <v>50</v>
      </c>
      <c r="D122" s="22">
        <v>46146</v>
      </c>
      <c r="E122" s="23">
        <v>1.9510000000000001</v>
      </c>
    </row>
    <row r="123" spans="1:5" x14ac:dyDescent="0.25">
      <c r="A123" s="21" t="s">
        <v>363</v>
      </c>
      <c r="B123" s="5" t="s">
        <v>364</v>
      </c>
      <c r="C123" s="21" t="s">
        <v>50</v>
      </c>
      <c r="D123" s="22">
        <v>46146</v>
      </c>
      <c r="E123" s="23">
        <v>1.734</v>
      </c>
    </row>
    <row r="124" spans="1:5" x14ac:dyDescent="0.25">
      <c r="A124" s="21" t="s">
        <v>365</v>
      </c>
      <c r="B124" s="5" t="s">
        <v>366</v>
      </c>
      <c r="C124" s="21" t="s">
        <v>50</v>
      </c>
      <c r="D124" s="22">
        <v>46146</v>
      </c>
      <c r="E124" s="23">
        <v>1.635</v>
      </c>
    </row>
    <row r="125" spans="1:5" x14ac:dyDescent="0.25">
      <c r="A125" s="21" t="s">
        <v>367</v>
      </c>
      <c r="B125" s="5" t="s">
        <v>368</v>
      </c>
      <c r="C125" s="21" t="s">
        <v>50</v>
      </c>
      <c r="D125" s="22">
        <v>46189</v>
      </c>
      <c r="E125" s="23">
        <v>0.37</v>
      </c>
    </row>
    <row r="126" spans="1:5" x14ac:dyDescent="0.25">
      <c r="A126" s="21" t="s">
        <v>369</v>
      </c>
      <c r="B126" s="5" t="s">
        <v>370</v>
      </c>
      <c r="C126" s="21" t="s">
        <v>50</v>
      </c>
      <c r="D126" s="22">
        <v>46146</v>
      </c>
      <c r="E126" s="23">
        <v>1.0820000000000001</v>
      </c>
    </row>
    <row r="127" spans="1:5" x14ac:dyDescent="0.25">
      <c r="A127" s="21" t="s">
        <v>371</v>
      </c>
      <c r="B127" s="5" t="s">
        <v>372</v>
      </c>
      <c r="C127" s="21" t="s">
        <v>50</v>
      </c>
      <c r="D127" s="22">
        <v>46146</v>
      </c>
      <c r="E127" s="23">
        <v>0.57999999999999996</v>
      </c>
    </row>
    <row r="128" spans="1:5" x14ac:dyDescent="0.25">
      <c r="A128" s="21" t="s">
        <v>373</v>
      </c>
      <c r="B128" s="5" t="s">
        <v>374</v>
      </c>
      <c r="C128" s="21" t="s">
        <v>375</v>
      </c>
      <c r="D128" s="22">
        <v>46204</v>
      </c>
      <c r="E128" s="23">
        <v>3.4299999999999997E-2</v>
      </c>
    </row>
    <row r="129" spans="1:5" x14ac:dyDescent="0.25">
      <c r="A129" s="21" t="s">
        <v>376</v>
      </c>
      <c r="B129" s="5" t="s">
        <v>377</v>
      </c>
      <c r="C129" s="21" t="s">
        <v>375</v>
      </c>
      <c r="D129" s="22">
        <v>46204</v>
      </c>
      <c r="E129" s="23">
        <v>2.81E-2</v>
      </c>
    </row>
    <row r="130" spans="1:5" x14ac:dyDescent="0.25">
      <c r="A130" s="21" t="s">
        <v>378</v>
      </c>
      <c r="B130" s="5" t="s">
        <v>379</v>
      </c>
      <c r="C130" s="21" t="s">
        <v>375</v>
      </c>
      <c r="D130" s="22">
        <v>46204</v>
      </c>
      <c r="E130" s="23">
        <v>5.0799999999999998E-2</v>
      </c>
    </row>
    <row r="131" spans="1:5" x14ac:dyDescent="0.25">
      <c r="A131" s="21" t="s">
        <v>380</v>
      </c>
      <c r="B131" s="5" t="s">
        <v>381</v>
      </c>
      <c r="C131" s="21" t="s">
        <v>375</v>
      </c>
      <c r="D131" s="22">
        <v>46204</v>
      </c>
      <c r="E131" s="23">
        <v>3.1199999999999999E-2</v>
      </c>
    </row>
    <row r="132" spans="1:5" x14ac:dyDescent="0.25">
      <c r="A132" s="21" t="s">
        <v>382</v>
      </c>
      <c r="B132" s="5" t="s">
        <v>383</v>
      </c>
      <c r="C132" s="21" t="s">
        <v>375</v>
      </c>
      <c r="D132" s="22">
        <v>46204</v>
      </c>
      <c r="E132" s="23">
        <v>3.0200000000000001E-2</v>
      </c>
    </row>
    <row r="133" spans="1:5" x14ac:dyDescent="0.25">
      <c r="A133" s="21" t="s">
        <v>384</v>
      </c>
      <c r="B133" s="5" t="s">
        <v>385</v>
      </c>
      <c r="C133" s="21" t="s">
        <v>375</v>
      </c>
      <c r="D133" s="22">
        <v>46204</v>
      </c>
      <c r="E133" s="23">
        <v>4.7800000000000002E-2</v>
      </c>
    </row>
  </sheetData>
  <autoFilter ref="A3:E13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Price Comparison</vt:lpstr>
      <vt:lpstr>Highland Only</vt:lpstr>
      <vt:lpstr>Wise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 Prettyman</cp:lastModifiedBy>
  <dcterms:created xsi:type="dcterms:W3CDTF">2026-10-05T17:48:37Z</dcterms:created>
  <dcterms:modified xsi:type="dcterms:W3CDTF">2026-10-05T17:48:45Z</dcterms:modified>
</cp:coreProperties>
</file>